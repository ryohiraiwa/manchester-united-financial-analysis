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ryohiraiwa/Desktop/Man u final/"/>
    </mc:Choice>
  </mc:AlternateContent>
  <xr:revisionPtr revIDLastSave="0" documentId="8_{E7CA0716-69F6-8546-8ACB-8CA574654D52}" xr6:coauthVersionLast="47" xr6:coauthVersionMax="47" xr10:uidLastSave="{00000000-0000-0000-0000-000000000000}"/>
  <bookViews>
    <workbookView xWindow="0" yWindow="500" windowWidth="28800" windowHeight="15920" xr2:uid="{00000000-000D-0000-FFFF-FFFF00000000}"/>
  </bookViews>
  <sheets>
    <sheet name="Overview" sheetId="1" r:id="rId1"/>
    <sheet name="Capacity" sheetId="2" r:id="rId2"/>
    <sheet name="Assumptions" sheetId="3" r:id="rId3"/>
    <sheet name="Statements" sheetId="4" r:id="rId4"/>
    <sheet name="Revenue costs" sheetId="5" r:id="rId5"/>
    <sheet name="Registrations" sheetId="6" r:id="rId6"/>
    <sheet name="Transfers" sheetId="7" r:id="rId7"/>
    <sheet name="Debt cash" sheetId="8" r:id="rId8"/>
    <sheet name="PL bridge" sheetId="9" r:id="rId9"/>
    <sheet name="UEFA bridge" sheetId="10" r:id="rId10"/>
    <sheet name="Case comparison" sheetId="11" r:id="rId11"/>
    <sheet name="Historical" sheetId="12" r:id="rId12"/>
    <sheet name="Rules sources" sheetId="13" r:id="rId13"/>
    <sheet name="Audit" sheetId="14" r:id="rId14"/>
    <sheet name="ReadMe" sheetId="15" r:id="rId15"/>
    <sheet name="Financial review" sheetId="16" r:id="rId16"/>
    <sheet name="FCFF" sheetId="17" r:id="rId17"/>
    <sheet name="Valuation" sheetId="18" r:id="rId18"/>
    <sheet name="Comps" sheetId="19" r:id="rId19"/>
    <sheet name="Valuation sources" sheetId="20"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19" l="1"/>
  <c r="F19" i="19"/>
  <c r="E18" i="19"/>
  <c r="E17" i="19"/>
  <c r="E19" i="19" s="1"/>
  <c r="E16" i="19"/>
  <c r="G10" i="19"/>
  <c r="G22" i="19" s="1"/>
  <c r="F33" i="19" s="1"/>
  <c r="F10" i="19"/>
  <c r="E10" i="19"/>
  <c r="E9" i="19"/>
  <c r="E8" i="19"/>
  <c r="E79" i="18"/>
  <c r="E73" i="18"/>
  <c r="E69" i="18"/>
  <c r="E56" i="18"/>
  <c r="E35" i="18"/>
  <c r="E24" i="18"/>
  <c r="E43" i="18" s="1"/>
  <c r="E14" i="18"/>
  <c r="E13" i="18"/>
  <c r="E17" i="18" s="1"/>
  <c r="E18" i="18" s="1"/>
  <c r="E20" i="18" s="1"/>
  <c r="BL43" i="17"/>
  <c r="BK43" i="17"/>
  <c r="BJ43" i="17"/>
  <c r="BI43" i="17"/>
  <c r="BH43" i="17"/>
  <c r="BG43" i="17"/>
  <c r="BF43" i="17"/>
  <c r="BE43" i="17"/>
  <c r="BD43" i="17"/>
  <c r="BC43" i="17"/>
  <c r="BB43" i="17"/>
  <c r="BA43" i="17"/>
  <c r="AZ43" i="17"/>
  <c r="AY43" i="17"/>
  <c r="AX43" i="17"/>
  <c r="AW43" i="17"/>
  <c r="AV43" i="17"/>
  <c r="AU43" i="17"/>
  <c r="AT43" i="17"/>
  <c r="AS43" i="17"/>
  <c r="AR43" i="17"/>
  <c r="AQ43" i="17"/>
  <c r="AP43" i="17"/>
  <c r="AO43" i="17"/>
  <c r="AN43" i="17"/>
  <c r="AM43" i="17"/>
  <c r="AL43" i="17"/>
  <c r="AK43" i="17"/>
  <c r="AJ43" i="17"/>
  <c r="AI43" i="17"/>
  <c r="AH43" i="17"/>
  <c r="AG43" i="17"/>
  <c r="AF43" i="17"/>
  <c r="AE43" i="17"/>
  <c r="AD43" i="17"/>
  <c r="AC43" i="17"/>
  <c r="AB43" i="17"/>
  <c r="AA43" i="17"/>
  <c r="Z43" i="17"/>
  <c r="Y43" i="17"/>
  <c r="X43" i="17"/>
  <c r="W43" i="17"/>
  <c r="V43" i="17"/>
  <c r="U43" i="17"/>
  <c r="T43" i="17"/>
  <c r="S43" i="17"/>
  <c r="R43" i="17"/>
  <c r="Q43" i="17"/>
  <c r="P43" i="17"/>
  <c r="O43" i="17"/>
  <c r="N43" i="17"/>
  <c r="M43" i="17"/>
  <c r="L43" i="17"/>
  <c r="K43" i="17"/>
  <c r="J43" i="17"/>
  <c r="I43" i="17"/>
  <c r="H43" i="17"/>
  <c r="G43" i="17"/>
  <c r="F43" i="17"/>
  <c r="E43" i="17"/>
  <c r="G42" i="17"/>
  <c r="F42" i="17"/>
  <c r="F44" i="17" s="1"/>
  <c r="E42" i="17"/>
  <c r="E24" i="17"/>
  <c r="G37" i="16"/>
  <c r="G38" i="16" s="1"/>
  <c r="F37" i="16"/>
  <c r="E37" i="16"/>
  <c r="G36" i="16"/>
  <c r="F36" i="16"/>
  <c r="F38" i="16" s="1"/>
  <c r="E36" i="16"/>
  <c r="G35" i="16"/>
  <c r="F35" i="16"/>
  <c r="E35" i="16"/>
  <c r="F34" i="16"/>
  <c r="G33" i="16"/>
  <c r="F33" i="16"/>
  <c r="E33" i="16"/>
  <c r="E34" i="16" s="1"/>
  <c r="G32" i="16"/>
  <c r="F32" i="16"/>
  <c r="E32" i="16"/>
  <c r="G31" i="16"/>
  <c r="F31" i="16"/>
  <c r="E31" i="16"/>
  <c r="G30" i="16"/>
  <c r="F30" i="16"/>
  <c r="E30" i="16"/>
  <c r="G29" i="16"/>
  <c r="F29" i="16"/>
  <c r="E29" i="16"/>
  <c r="G28" i="16"/>
  <c r="F28" i="16"/>
  <c r="E28" i="16"/>
  <c r="G27" i="16"/>
  <c r="F27" i="16"/>
  <c r="E27" i="16"/>
  <c r="G24" i="16"/>
  <c r="G25" i="16" s="1"/>
  <c r="F24" i="16"/>
  <c r="F25" i="16" s="1"/>
  <c r="E24" i="16"/>
  <c r="E25" i="16" s="1"/>
  <c r="G23" i="16"/>
  <c r="F23" i="16"/>
  <c r="E23" i="16"/>
  <c r="G21" i="16"/>
  <c r="F21" i="16"/>
  <c r="E21" i="16"/>
  <c r="G20" i="16"/>
  <c r="F20" i="16"/>
  <c r="E20" i="16"/>
  <c r="G19" i="16"/>
  <c r="F19" i="16"/>
  <c r="E19" i="16"/>
  <c r="G18" i="16"/>
  <c r="G22" i="16" s="1"/>
  <c r="F18" i="16"/>
  <c r="F22" i="16" s="1"/>
  <c r="F40" i="16" s="1"/>
  <c r="E18" i="16"/>
  <c r="F16" i="16"/>
  <c r="G15" i="16"/>
  <c r="F15" i="16"/>
  <c r="E15" i="16"/>
  <c r="G14" i="16"/>
  <c r="F14" i="16"/>
  <c r="E14" i="16"/>
  <c r="G12" i="16"/>
  <c r="F12" i="16"/>
  <c r="E12" i="16"/>
  <c r="G11" i="16"/>
  <c r="F11" i="16"/>
  <c r="E11" i="16"/>
  <c r="G10" i="16"/>
  <c r="F10" i="16"/>
  <c r="E10" i="16"/>
  <c r="F9" i="16"/>
  <c r="G8" i="16"/>
  <c r="G9" i="16" s="1"/>
  <c r="F8" i="16"/>
  <c r="E8" i="16"/>
  <c r="E16" i="16" s="1"/>
  <c r="E4" i="15"/>
  <c r="E52" i="14"/>
  <c r="E48" i="14"/>
  <c r="E47" i="14"/>
  <c r="E45" i="14"/>
  <c r="E44" i="14"/>
  <c r="G27" i="14"/>
  <c r="F27" i="14"/>
  <c r="E27" i="14"/>
  <c r="G26" i="14"/>
  <c r="F26" i="14"/>
  <c r="E26" i="14"/>
  <c r="G25" i="14"/>
  <c r="F25" i="14"/>
  <c r="E25" i="14"/>
  <c r="E22" i="14"/>
  <c r="E4" i="14"/>
  <c r="E4" i="13"/>
  <c r="E4" i="12"/>
  <c r="E4" i="11"/>
  <c r="E33" i="10"/>
  <c r="E32" i="10" s="1"/>
  <c r="E31" i="10"/>
  <c r="E25" i="10"/>
  <c r="E22" i="10"/>
  <c r="E4" i="10"/>
  <c r="I48" i="9"/>
  <c r="H48" i="9"/>
  <c r="G48" i="9"/>
  <c r="F48" i="9"/>
  <c r="E48" i="9"/>
  <c r="E46" i="9"/>
  <c r="E43" i="9"/>
  <c r="E35" i="9"/>
  <c r="E33" i="9"/>
  <c r="E28" i="9"/>
  <c r="E29" i="9" s="1"/>
  <c r="E4" i="9"/>
  <c r="BL57" i="8"/>
  <c r="BK57" i="8"/>
  <c r="BJ57" i="8"/>
  <c r="BI57" i="8"/>
  <c r="BH57" i="8"/>
  <c r="BG57" i="8"/>
  <c r="BF57" i="8"/>
  <c r="BE57" i="8"/>
  <c r="BD57" i="8"/>
  <c r="BC57" i="8"/>
  <c r="BB57" i="8"/>
  <c r="BA57" i="8"/>
  <c r="AZ57" i="8"/>
  <c r="AY57" i="8"/>
  <c r="AX57" i="8"/>
  <c r="AW57" i="8"/>
  <c r="AV57" i="8"/>
  <c r="AU57" i="8"/>
  <c r="AT57" i="8"/>
  <c r="AS57" i="8"/>
  <c r="AR57" i="8"/>
  <c r="AQ57" i="8"/>
  <c r="AP57" i="8"/>
  <c r="AO57" i="8"/>
  <c r="AN57" i="8"/>
  <c r="AM57" i="8"/>
  <c r="AL57" i="8"/>
  <c r="AK57" i="8"/>
  <c r="AJ57" i="8"/>
  <c r="AI57" i="8"/>
  <c r="AH57" i="8"/>
  <c r="AG57" i="8"/>
  <c r="AF57" i="8"/>
  <c r="AE57" i="8"/>
  <c r="AD57" i="8"/>
  <c r="AC57" i="8"/>
  <c r="AB57" i="8"/>
  <c r="AA57" i="8"/>
  <c r="Z57" i="8"/>
  <c r="Y57" i="8"/>
  <c r="X57" i="8"/>
  <c r="W57" i="8"/>
  <c r="V57" i="8"/>
  <c r="U57" i="8"/>
  <c r="T57" i="8"/>
  <c r="S57" i="8"/>
  <c r="R57" i="8"/>
  <c r="Q57" i="8"/>
  <c r="P57" i="8"/>
  <c r="O57" i="8"/>
  <c r="N57" i="8"/>
  <c r="M57" i="8"/>
  <c r="L57" i="8"/>
  <c r="K57" i="8"/>
  <c r="J57" i="8"/>
  <c r="I57" i="8"/>
  <c r="H57" i="8"/>
  <c r="G57" i="8"/>
  <c r="F57" i="8"/>
  <c r="E57" i="8"/>
  <c r="BL56" i="8"/>
  <c r="BL39" i="17" s="1"/>
  <c r="BK56" i="8"/>
  <c r="BK39" i="17" s="1"/>
  <c r="BJ56" i="8"/>
  <c r="BJ39" i="17" s="1"/>
  <c r="BI56" i="8"/>
  <c r="BI39" i="17" s="1"/>
  <c r="BH56" i="8"/>
  <c r="BH39" i="17" s="1"/>
  <c r="BG56" i="8"/>
  <c r="BG39" i="17" s="1"/>
  <c r="BF56" i="8"/>
  <c r="BF39" i="17" s="1"/>
  <c r="BE56" i="8"/>
  <c r="BE39" i="17" s="1"/>
  <c r="BD56" i="8"/>
  <c r="BD39" i="17" s="1"/>
  <c r="BC56" i="8"/>
  <c r="BC39" i="17" s="1"/>
  <c r="BB56" i="8"/>
  <c r="BB39" i="17" s="1"/>
  <c r="BA56" i="8"/>
  <c r="BA39" i="17" s="1"/>
  <c r="AZ56" i="8"/>
  <c r="AZ39" i="17" s="1"/>
  <c r="AY56" i="8"/>
  <c r="AY39" i="17" s="1"/>
  <c r="AX56" i="8"/>
  <c r="AX39" i="17" s="1"/>
  <c r="AW56" i="8"/>
  <c r="AW39" i="17" s="1"/>
  <c r="AV56" i="8"/>
  <c r="AV39" i="17" s="1"/>
  <c r="AU56" i="8"/>
  <c r="AU39" i="17" s="1"/>
  <c r="AT56" i="8"/>
  <c r="AT39" i="17" s="1"/>
  <c r="AS56" i="8"/>
  <c r="AS39" i="17" s="1"/>
  <c r="AR56" i="8"/>
  <c r="AR39" i="17" s="1"/>
  <c r="AQ56" i="8"/>
  <c r="AQ39" i="17" s="1"/>
  <c r="AP56" i="8"/>
  <c r="AP39" i="17" s="1"/>
  <c r="AO56" i="8"/>
  <c r="AO39" i="17" s="1"/>
  <c r="AN56" i="8"/>
  <c r="AN39" i="17" s="1"/>
  <c r="AM56" i="8"/>
  <c r="AM39" i="17" s="1"/>
  <c r="AL56" i="8"/>
  <c r="AL39" i="17" s="1"/>
  <c r="AK56" i="8"/>
  <c r="AK39" i="17" s="1"/>
  <c r="AJ56" i="8"/>
  <c r="AJ39" i="17" s="1"/>
  <c r="AI56" i="8"/>
  <c r="AI39" i="17" s="1"/>
  <c r="AH56" i="8"/>
  <c r="AH39" i="17" s="1"/>
  <c r="AG56" i="8"/>
  <c r="AG39" i="17" s="1"/>
  <c r="AF56" i="8"/>
  <c r="AF39" i="17" s="1"/>
  <c r="AE56" i="8"/>
  <c r="AE39" i="17" s="1"/>
  <c r="AD56" i="8"/>
  <c r="AD39" i="17" s="1"/>
  <c r="AC56" i="8"/>
  <c r="AC39" i="17" s="1"/>
  <c r="AB56" i="8"/>
  <c r="AB39" i="17" s="1"/>
  <c r="AA56" i="8"/>
  <c r="AA39" i="17" s="1"/>
  <c r="Z56" i="8"/>
  <c r="Z39" i="17" s="1"/>
  <c r="Y56" i="8"/>
  <c r="Y39" i="17" s="1"/>
  <c r="X56" i="8"/>
  <c r="X39" i="17" s="1"/>
  <c r="W56" i="8"/>
  <c r="W39" i="17" s="1"/>
  <c r="V56" i="8"/>
  <c r="V39" i="17" s="1"/>
  <c r="U56" i="8"/>
  <c r="U39" i="17" s="1"/>
  <c r="T56" i="8"/>
  <c r="T39" i="17" s="1"/>
  <c r="S56" i="8"/>
  <c r="S39" i="17" s="1"/>
  <c r="R56" i="8"/>
  <c r="R39" i="17" s="1"/>
  <c r="Q56" i="8"/>
  <c r="Q39" i="17" s="1"/>
  <c r="P56" i="8"/>
  <c r="P39" i="17" s="1"/>
  <c r="O56" i="8"/>
  <c r="O39" i="17" s="1"/>
  <c r="N56" i="8"/>
  <c r="N39" i="17" s="1"/>
  <c r="M56" i="8"/>
  <c r="M39" i="17" s="1"/>
  <c r="L56" i="8"/>
  <c r="L39" i="17" s="1"/>
  <c r="K56" i="8"/>
  <c r="K39" i="17" s="1"/>
  <c r="J56" i="8"/>
  <c r="J39" i="17" s="1"/>
  <c r="I56" i="8"/>
  <c r="I39" i="17" s="1"/>
  <c r="H56" i="8"/>
  <c r="H39" i="17" s="1"/>
  <c r="G56" i="8"/>
  <c r="G39" i="17" s="1"/>
  <c r="F56" i="8"/>
  <c r="F39" i="17" s="1"/>
  <c r="E56" i="8"/>
  <c r="E53" i="8"/>
  <c r="BK49" i="8"/>
  <c r="BJ49" i="8"/>
  <c r="BI49" i="8"/>
  <c r="BH49" i="8"/>
  <c r="BG49" i="8"/>
  <c r="BE49" i="8"/>
  <c r="BD49" i="8"/>
  <c r="BC49" i="8"/>
  <c r="BB49" i="8"/>
  <c r="BA49" i="8"/>
  <c r="AY49" i="8"/>
  <c r="AX49" i="8"/>
  <c r="AW49" i="8"/>
  <c r="AV49" i="8"/>
  <c r="AU49" i="8"/>
  <c r="AS49" i="8"/>
  <c r="AR49" i="8"/>
  <c r="AQ49" i="8"/>
  <c r="AP49" i="8"/>
  <c r="AO49" i="8"/>
  <c r="AM49" i="8"/>
  <c r="AL49" i="8"/>
  <c r="AK49" i="8"/>
  <c r="AJ49" i="8"/>
  <c r="AI49" i="8"/>
  <c r="AG49" i="8"/>
  <c r="AF49" i="8"/>
  <c r="AE49" i="8"/>
  <c r="AD49" i="8"/>
  <c r="AC49" i="8"/>
  <c r="AA49" i="8"/>
  <c r="Z49" i="8"/>
  <c r="Y49" i="8"/>
  <c r="X49" i="8"/>
  <c r="W49" i="8"/>
  <c r="U49" i="8"/>
  <c r="T49" i="8"/>
  <c r="S49" i="8"/>
  <c r="R49" i="8"/>
  <c r="Q49" i="8"/>
  <c r="O49" i="8"/>
  <c r="N49" i="8"/>
  <c r="M49" i="8"/>
  <c r="L49" i="8"/>
  <c r="K49" i="8"/>
  <c r="I49" i="8"/>
  <c r="H49" i="8"/>
  <c r="G49" i="8"/>
  <c r="F49" i="8"/>
  <c r="E49" i="8"/>
  <c r="G31" i="8"/>
  <c r="F31" i="8"/>
  <c r="E31" i="8"/>
  <c r="G30" i="8"/>
  <c r="F30" i="8"/>
  <c r="E30" i="8"/>
  <c r="BL27" i="8"/>
  <c r="BK27" i="8"/>
  <c r="BJ27" i="8"/>
  <c r="BI27" i="8"/>
  <c r="BH27" i="8"/>
  <c r="BG27" i="8"/>
  <c r="BF27" i="8"/>
  <c r="BE27" i="8"/>
  <c r="BD27" i="8"/>
  <c r="BC27" i="8"/>
  <c r="BB27" i="8"/>
  <c r="BA27" i="8"/>
  <c r="AZ27" i="8"/>
  <c r="AY27" i="8"/>
  <c r="AX27" i="8"/>
  <c r="AW27" i="8"/>
  <c r="AV27" i="8"/>
  <c r="AU27" i="8"/>
  <c r="AT27" i="8"/>
  <c r="AS27" i="8"/>
  <c r="AR27" i="8"/>
  <c r="AQ27" i="8"/>
  <c r="AP27" i="8"/>
  <c r="AO27" i="8"/>
  <c r="AN27" i="8"/>
  <c r="AM27" i="8"/>
  <c r="AL27" i="8"/>
  <c r="AK27" i="8"/>
  <c r="AJ27" i="8"/>
  <c r="AI27" i="8"/>
  <c r="AH27" i="8"/>
  <c r="AG27" i="8"/>
  <c r="AF27" i="8"/>
  <c r="AE27" i="8"/>
  <c r="AD27" i="8"/>
  <c r="AC27" i="8"/>
  <c r="AB27" i="8"/>
  <c r="AA27" i="8"/>
  <c r="Z27" i="8"/>
  <c r="Y27" i="8"/>
  <c r="X27" i="8"/>
  <c r="W27" i="8"/>
  <c r="V27" i="8"/>
  <c r="U27" i="8"/>
  <c r="T27" i="8"/>
  <c r="S27" i="8"/>
  <c r="R27" i="8"/>
  <c r="Q27" i="8"/>
  <c r="P27" i="8"/>
  <c r="O27" i="8"/>
  <c r="N27" i="8"/>
  <c r="M27" i="8"/>
  <c r="L27" i="8"/>
  <c r="K27" i="8"/>
  <c r="J27" i="8"/>
  <c r="I27" i="8"/>
  <c r="H27" i="8"/>
  <c r="G27" i="8"/>
  <c r="F27" i="8"/>
  <c r="E27" i="8"/>
  <c r="BG26" i="8"/>
  <c r="BF26" i="8"/>
  <c r="BE26" i="8"/>
  <c r="BC26" i="8"/>
  <c r="AY26" i="8"/>
  <c r="AX26" i="8"/>
  <c r="AW26" i="8"/>
  <c r="AV26" i="8"/>
  <c r="AU26" i="8"/>
  <c r="AS26" i="8"/>
  <c r="AP26" i="8"/>
  <c r="AO26" i="8"/>
  <c r="AM26" i="8"/>
  <c r="AH26" i="8"/>
  <c r="AG26" i="8"/>
  <c r="AE26" i="8"/>
  <c r="AA26" i="8"/>
  <c r="Z26" i="8"/>
  <c r="W26" i="8"/>
  <c r="S26" i="8"/>
  <c r="R26" i="8"/>
  <c r="M26" i="8"/>
  <c r="K26" i="8"/>
  <c r="J26" i="8"/>
  <c r="I26" i="8"/>
  <c r="BK25" i="8"/>
  <c r="BK26" i="8" s="1"/>
  <c r="BJ25" i="8"/>
  <c r="BJ26" i="8" s="1"/>
  <c r="BI25" i="8"/>
  <c r="BI26" i="8" s="1"/>
  <c r="BH25" i="8"/>
  <c r="BH26" i="8" s="1"/>
  <c r="BG25" i="8"/>
  <c r="BF25" i="8"/>
  <c r="BE25" i="8"/>
  <c r="BD25" i="8"/>
  <c r="BD26" i="8" s="1"/>
  <c r="BC25" i="8"/>
  <c r="BB25" i="8"/>
  <c r="BB26" i="8" s="1"/>
  <c r="BA25" i="8"/>
  <c r="BA26" i="8" s="1"/>
  <c r="AZ25" i="8"/>
  <c r="AZ26" i="8" s="1"/>
  <c r="AY25" i="8"/>
  <c r="AX25" i="8"/>
  <c r="AW25" i="8"/>
  <c r="AV25" i="8"/>
  <c r="AU25" i="8"/>
  <c r="AS25" i="8"/>
  <c r="AR25" i="8"/>
  <c r="AR26" i="8" s="1"/>
  <c r="AQ25" i="8"/>
  <c r="AQ26" i="8" s="1"/>
  <c r="AP25" i="8"/>
  <c r="AO25" i="8"/>
  <c r="AN25" i="8"/>
  <c r="AN26" i="8" s="1"/>
  <c r="AM25" i="8"/>
  <c r="AL25" i="8"/>
  <c r="AL26" i="8" s="1"/>
  <c r="AK25" i="8"/>
  <c r="AK26" i="8" s="1"/>
  <c r="AJ25" i="8"/>
  <c r="AJ26" i="8" s="1"/>
  <c r="AI25" i="8"/>
  <c r="AI26" i="8" s="1"/>
  <c r="AH25" i="8"/>
  <c r="AG25" i="8"/>
  <c r="AF25" i="8"/>
  <c r="AF26" i="8" s="1"/>
  <c r="AE25" i="8"/>
  <c r="AD25" i="8"/>
  <c r="AD26" i="8" s="1"/>
  <c r="AC25" i="8"/>
  <c r="AC26" i="8" s="1"/>
  <c r="AB25" i="8"/>
  <c r="AB26" i="8" s="1"/>
  <c r="AA25" i="8"/>
  <c r="Z25" i="8"/>
  <c r="Y25" i="8"/>
  <c r="Y26" i="8" s="1"/>
  <c r="X25" i="8"/>
  <c r="X26" i="8" s="1"/>
  <c r="W25" i="8"/>
  <c r="V25" i="8"/>
  <c r="V26" i="8" s="1"/>
  <c r="U25" i="8"/>
  <c r="U26" i="8" s="1"/>
  <c r="T25" i="8"/>
  <c r="T26" i="8" s="1"/>
  <c r="S25" i="8"/>
  <c r="R25" i="8"/>
  <c r="Q25" i="8"/>
  <c r="Q26" i="8" s="1"/>
  <c r="P25" i="8"/>
  <c r="P26" i="8" s="1"/>
  <c r="O25" i="8"/>
  <c r="O26" i="8" s="1"/>
  <c r="N25" i="8"/>
  <c r="N26" i="8" s="1"/>
  <c r="M25" i="8"/>
  <c r="L25" i="8"/>
  <c r="L26" i="8" s="1"/>
  <c r="K25" i="8"/>
  <c r="J25" i="8"/>
  <c r="I25" i="8"/>
  <c r="H25" i="8"/>
  <c r="H26" i="8" s="1"/>
  <c r="G25" i="8"/>
  <c r="G26" i="8" s="1"/>
  <c r="F25" i="8"/>
  <c r="F26" i="8" s="1"/>
  <c r="E25" i="8"/>
  <c r="E26" i="8" s="1"/>
  <c r="BL24" i="8"/>
  <c r="BK24" i="8"/>
  <c r="BJ24" i="8"/>
  <c r="BI24" i="8"/>
  <c r="BH24" i="8"/>
  <c r="BG24" i="8"/>
  <c r="BF24" i="8"/>
  <c r="BE24" i="8"/>
  <c r="BD24" i="8"/>
  <c r="BC24" i="8"/>
  <c r="BB24" i="8"/>
  <c r="BA24" i="8"/>
  <c r="AZ24" i="8"/>
  <c r="AY24" i="8"/>
  <c r="AX24" i="8"/>
  <c r="AW24" i="8"/>
  <c r="AV24" i="8"/>
  <c r="AU24" i="8"/>
  <c r="AT24" i="8"/>
  <c r="AS24" i="8"/>
  <c r="AR24" i="8"/>
  <c r="AQ24" i="8"/>
  <c r="AP24" i="8"/>
  <c r="AO24" i="8"/>
  <c r="AN24" i="8"/>
  <c r="AM24" i="8"/>
  <c r="AL24" i="8"/>
  <c r="AK24" i="8"/>
  <c r="AJ24" i="8"/>
  <c r="AI24" i="8"/>
  <c r="AH24" i="8"/>
  <c r="AG24" i="8"/>
  <c r="AF24" i="8"/>
  <c r="AE24" i="8"/>
  <c r="AD24" i="8"/>
  <c r="AC24" i="8"/>
  <c r="AB24" i="8"/>
  <c r="AA24" i="8"/>
  <c r="Z24" i="8"/>
  <c r="Y24" i="8"/>
  <c r="X24" i="8"/>
  <c r="W24" i="8"/>
  <c r="V24" i="8"/>
  <c r="U24" i="8"/>
  <c r="T24" i="8"/>
  <c r="S24" i="8"/>
  <c r="R24" i="8"/>
  <c r="Q24" i="8"/>
  <c r="P24" i="8"/>
  <c r="O24" i="8"/>
  <c r="N24" i="8"/>
  <c r="M24" i="8"/>
  <c r="L24" i="8"/>
  <c r="K24" i="8"/>
  <c r="J24" i="8"/>
  <c r="I24" i="8"/>
  <c r="H24" i="8"/>
  <c r="G24" i="8"/>
  <c r="F24" i="8"/>
  <c r="E24" i="8"/>
  <c r="BL23" i="8"/>
  <c r="BK23" i="8"/>
  <c r="BJ23" i="8"/>
  <c r="BI23" i="8"/>
  <c r="BH23" i="8"/>
  <c r="BG23" i="8"/>
  <c r="BF23" i="8"/>
  <c r="BE23" i="8"/>
  <c r="BD23" i="8"/>
  <c r="BC23" i="8"/>
  <c r="BB23" i="8"/>
  <c r="BA23" i="8"/>
  <c r="AZ23" i="8"/>
  <c r="AY23" i="8"/>
  <c r="AX23" i="8"/>
  <c r="AW23" i="8"/>
  <c r="AV23" i="8"/>
  <c r="AU23" i="8"/>
  <c r="AT23" i="8"/>
  <c r="AS23" i="8"/>
  <c r="AR23" i="8"/>
  <c r="AQ23" i="8"/>
  <c r="AP23" i="8"/>
  <c r="AO23" i="8"/>
  <c r="AN23" i="8"/>
  <c r="AM23" i="8"/>
  <c r="AL23" i="8"/>
  <c r="AK23" i="8"/>
  <c r="AJ23" i="8"/>
  <c r="AI23" i="8"/>
  <c r="AH23" i="8"/>
  <c r="AG23" i="8"/>
  <c r="AF23" i="8"/>
  <c r="AE23" i="8"/>
  <c r="AD23" i="8"/>
  <c r="AC23" i="8"/>
  <c r="AB23" i="8"/>
  <c r="AA23" i="8"/>
  <c r="Z23" i="8"/>
  <c r="Y23" i="8"/>
  <c r="X23" i="8"/>
  <c r="W23" i="8"/>
  <c r="V23" i="8"/>
  <c r="U23" i="8"/>
  <c r="T23" i="8"/>
  <c r="S23" i="8"/>
  <c r="R23" i="8"/>
  <c r="Q23" i="8"/>
  <c r="P23" i="8"/>
  <c r="O23" i="8"/>
  <c r="N23" i="8"/>
  <c r="M23" i="8"/>
  <c r="L23" i="8"/>
  <c r="K23" i="8"/>
  <c r="J23" i="8"/>
  <c r="I23" i="8"/>
  <c r="H23" i="8"/>
  <c r="G23" i="8"/>
  <c r="F23" i="8"/>
  <c r="E23" i="8"/>
  <c r="E17" i="8"/>
  <c r="F14" i="8"/>
  <c r="E14" i="8"/>
  <c r="E41" i="8" s="1"/>
  <c r="F41" i="8" s="1"/>
  <c r="E8" i="8"/>
  <c r="E4" i="8"/>
  <c r="E34" i="7"/>
  <c r="E30" i="7"/>
  <c r="BL21" i="7"/>
  <c r="BK21" i="7"/>
  <c r="BJ21" i="7"/>
  <c r="BI21" i="7"/>
  <c r="BH21" i="7"/>
  <c r="BG21" i="7"/>
  <c r="BF21" i="7"/>
  <c r="BE21" i="7"/>
  <c r="BD21" i="7"/>
  <c r="BC21" i="7"/>
  <c r="BB21" i="7"/>
  <c r="BA21" i="7"/>
  <c r="AZ21" i="7"/>
  <c r="AY21" i="7"/>
  <c r="AX21" i="7"/>
  <c r="AW21" i="7"/>
  <c r="AV21" i="7"/>
  <c r="AU21" i="7"/>
  <c r="AT21" i="7"/>
  <c r="AS21" i="7"/>
  <c r="AR21" i="7"/>
  <c r="AQ21" i="7"/>
  <c r="AP21" i="7"/>
  <c r="AO21" i="7"/>
  <c r="AN21" i="7"/>
  <c r="AM21" i="7"/>
  <c r="AL21" i="7"/>
  <c r="AK21" i="7"/>
  <c r="AJ21" i="7"/>
  <c r="AI21" i="7"/>
  <c r="AH21" i="7"/>
  <c r="AG21" i="7"/>
  <c r="AF21" i="7"/>
  <c r="AE21" i="7"/>
  <c r="AD21" i="7"/>
  <c r="AC21" i="7"/>
  <c r="AB21" i="7"/>
  <c r="AA21" i="7"/>
  <c r="Z21" i="7"/>
  <c r="Y21" i="7"/>
  <c r="X21" i="7"/>
  <c r="W21" i="7"/>
  <c r="V21" i="7"/>
  <c r="U21" i="7"/>
  <c r="T21" i="7"/>
  <c r="S21" i="7"/>
  <c r="R21" i="7"/>
  <c r="Q21" i="7"/>
  <c r="P21" i="7"/>
  <c r="O21" i="7"/>
  <c r="N21" i="7"/>
  <c r="M21" i="7"/>
  <c r="L21" i="7"/>
  <c r="K21" i="7"/>
  <c r="J21" i="7"/>
  <c r="I21" i="7"/>
  <c r="H21" i="7"/>
  <c r="G21" i="7"/>
  <c r="F21" i="7"/>
  <c r="E21" i="7"/>
  <c r="BL18" i="7"/>
  <c r="BK18" i="7"/>
  <c r="BJ18" i="7"/>
  <c r="BI18" i="7"/>
  <c r="BH18" i="7"/>
  <c r="BG18" i="7"/>
  <c r="BF18" i="7"/>
  <c r="BE18" i="7"/>
  <c r="BD18" i="7"/>
  <c r="BC18" i="7"/>
  <c r="BA18" i="7"/>
  <c r="AZ18" i="7"/>
  <c r="AY18" i="7"/>
  <c r="AX18" i="7"/>
  <c r="AW18" i="7"/>
  <c r="AV18" i="7"/>
  <c r="AU18" i="7"/>
  <c r="AT18" i="7"/>
  <c r="AS18" i="7"/>
  <c r="AR18" i="7"/>
  <c r="AQ18" i="7"/>
  <c r="AO18" i="7"/>
  <c r="AN18" i="7"/>
  <c r="AM18" i="7"/>
  <c r="AL18" i="7"/>
  <c r="AK18" i="7"/>
  <c r="AJ18" i="7"/>
  <c r="AI18" i="7"/>
  <c r="AH18" i="7"/>
  <c r="AG18" i="7"/>
  <c r="AF18" i="7"/>
  <c r="AE18" i="7"/>
  <c r="AC18" i="7"/>
  <c r="AB18" i="7"/>
  <c r="AA18" i="7"/>
  <c r="Z18" i="7"/>
  <c r="Y18" i="7"/>
  <c r="X18" i="7"/>
  <c r="W18" i="7"/>
  <c r="V18" i="7"/>
  <c r="U18" i="7"/>
  <c r="T18" i="7"/>
  <c r="S18" i="7"/>
  <c r="Q18" i="7"/>
  <c r="P18" i="7"/>
  <c r="O18" i="7"/>
  <c r="N18" i="7"/>
  <c r="M18" i="7"/>
  <c r="L18" i="7"/>
  <c r="K18" i="7"/>
  <c r="J18" i="7"/>
  <c r="I18" i="7"/>
  <c r="H18" i="7"/>
  <c r="G18" i="7"/>
  <c r="E18" i="7"/>
  <c r="BL12" i="7"/>
  <c r="BK12" i="7"/>
  <c r="BJ12" i="7"/>
  <c r="BI12" i="7"/>
  <c r="BH12" i="7"/>
  <c r="BG12" i="7"/>
  <c r="BF12" i="7"/>
  <c r="BE12" i="7"/>
  <c r="BD12" i="7"/>
  <c r="BC12" i="7"/>
  <c r="BB12" i="7"/>
  <c r="AZ12" i="7"/>
  <c r="AY12" i="7"/>
  <c r="AX12" i="7"/>
  <c r="AW12" i="7"/>
  <c r="AV12" i="7"/>
  <c r="AU12" i="7"/>
  <c r="AT12" i="7"/>
  <c r="AS12" i="7"/>
  <c r="AR12" i="7"/>
  <c r="AQ12" i="7"/>
  <c r="AP12" i="7"/>
  <c r="AN12" i="7"/>
  <c r="AM12" i="7"/>
  <c r="AL12" i="7"/>
  <c r="AK12" i="7"/>
  <c r="AJ12" i="7"/>
  <c r="AI12" i="7"/>
  <c r="AH12" i="7"/>
  <c r="AG12" i="7"/>
  <c r="AF12" i="7"/>
  <c r="AE12" i="7"/>
  <c r="AD12" i="7"/>
  <c r="AB12" i="7"/>
  <c r="AA12" i="7"/>
  <c r="Z12" i="7"/>
  <c r="Y12" i="7"/>
  <c r="X12" i="7"/>
  <c r="W12" i="7"/>
  <c r="V12" i="7"/>
  <c r="U12" i="7"/>
  <c r="T12" i="7"/>
  <c r="S12" i="7"/>
  <c r="R12" i="7"/>
  <c r="P12" i="7"/>
  <c r="O12" i="7"/>
  <c r="N12" i="7"/>
  <c r="M12" i="7"/>
  <c r="L12" i="7"/>
  <c r="J12" i="7"/>
  <c r="I12" i="7"/>
  <c r="H12" i="7"/>
  <c r="G12" i="7"/>
  <c r="F12" i="7"/>
  <c r="E12" i="7"/>
  <c r="BL11" i="7"/>
  <c r="BK11" i="7"/>
  <c r="BJ11" i="7"/>
  <c r="BI11" i="7"/>
  <c r="BH11" i="7"/>
  <c r="BG11" i="7"/>
  <c r="BF11" i="7"/>
  <c r="BE11" i="7"/>
  <c r="BD11" i="7"/>
  <c r="BC11" i="7"/>
  <c r="BB11" i="7"/>
  <c r="BA11" i="7"/>
  <c r="AZ11" i="7"/>
  <c r="AY11" i="7"/>
  <c r="AX11" i="7"/>
  <c r="AW11" i="7"/>
  <c r="AV11" i="7"/>
  <c r="AU11" i="7"/>
  <c r="AT11" i="7"/>
  <c r="AS11" i="7"/>
  <c r="AR11" i="7"/>
  <c r="AQ11" i="7"/>
  <c r="AP11" i="7"/>
  <c r="AO11" i="7"/>
  <c r="AN11" i="7"/>
  <c r="AM11" i="7"/>
  <c r="AL11" i="7"/>
  <c r="AK11" i="7"/>
  <c r="AJ11" i="7"/>
  <c r="AI11" i="7"/>
  <c r="AH11" i="7"/>
  <c r="AG11" i="7"/>
  <c r="AF11" i="7"/>
  <c r="AE11" i="7"/>
  <c r="AD11" i="7"/>
  <c r="AC11" i="7"/>
  <c r="AB11" i="7"/>
  <c r="AA11" i="7"/>
  <c r="Z11" i="7"/>
  <c r="Y11" i="7"/>
  <c r="X11" i="7"/>
  <c r="W11" i="7"/>
  <c r="V11" i="7"/>
  <c r="U11" i="7"/>
  <c r="T11" i="7"/>
  <c r="S11" i="7"/>
  <c r="R11" i="7"/>
  <c r="Q11" i="7"/>
  <c r="P11" i="7"/>
  <c r="O11" i="7"/>
  <c r="N11" i="7"/>
  <c r="M11" i="7"/>
  <c r="L11" i="7"/>
  <c r="K11" i="7"/>
  <c r="J11" i="7"/>
  <c r="I11" i="7"/>
  <c r="H11" i="7"/>
  <c r="F11" i="7"/>
  <c r="E11" i="7"/>
  <c r="BL8" i="7"/>
  <c r="BK8" i="7"/>
  <c r="BJ8" i="7"/>
  <c r="BI8" i="7"/>
  <c r="BH8" i="7"/>
  <c r="BG8" i="7"/>
  <c r="BF8" i="7"/>
  <c r="BE8" i="7"/>
  <c r="BD8" i="7"/>
  <c r="BC8" i="7"/>
  <c r="BB8" i="7"/>
  <c r="AZ8" i="7"/>
  <c r="AY8" i="7"/>
  <c r="AX8" i="7"/>
  <c r="AW8" i="7"/>
  <c r="AV8" i="7"/>
  <c r="AU8" i="7"/>
  <c r="AT8" i="7"/>
  <c r="AS8" i="7"/>
  <c r="AR8" i="7"/>
  <c r="AQ8" i="7"/>
  <c r="AP8" i="7"/>
  <c r="AN8" i="7"/>
  <c r="AM8" i="7"/>
  <c r="AL8" i="7"/>
  <c r="AK8" i="7"/>
  <c r="AJ8" i="7"/>
  <c r="AI8" i="7"/>
  <c r="AH8" i="7"/>
  <c r="AG8" i="7"/>
  <c r="AF8" i="7"/>
  <c r="AE8" i="7"/>
  <c r="AD8" i="7"/>
  <c r="AB8" i="7"/>
  <c r="AA8" i="7"/>
  <c r="Z8" i="7"/>
  <c r="Y8" i="7"/>
  <c r="X8" i="7"/>
  <c r="W8" i="7"/>
  <c r="V8" i="7"/>
  <c r="U8" i="7"/>
  <c r="T8" i="7"/>
  <c r="S8" i="7"/>
  <c r="R8" i="7"/>
  <c r="P8" i="7"/>
  <c r="O8" i="7"/>
  <c r="N8" i="7"/>
  <c r="M8" i="7"/>
  <c r="L8" i="7"/>
  <c r="K8" i="7"/>
  <c r="J8" i="7"/>
  <c r="I8" i="7"/>
  <c r="H8" i="7"/>
  <c r="G8" i="7"/>
  <c r="F8" i="7"/>
  <c r="E8" i="7"/>
  <c r="E4" i="7"/>
  <c r="E82" i="6"/>
  <c r="AZ81" i="6"/>
  <c r="AY81" i="6"/>
  <c r="AX81" i="6"/>
  <c r="AW81" i="6"/>
  <c r="AV81" i="6"/>
  <c r="AU81" i="6"/>
  <c r="AT81" i="6"/>
  <c r="AS81" i="6"/>
  <c r="AR81" i="6"/>
  <c r="AQ81" i="6"/>
  <c r="AP81" i="6"/>
  <c r="AO81" i="6"/>
  <c r="AN81" i="6"/>
  <c r="AM81" i="6"/>
  <c r="AL81" i="6"/>
  <c r="AK81" i="6"/>
  <c r="AJ81" i="6"/>
  <c r="AI81" i="6"/>
  <c r="AH81" i="6"/>
  <c r="AG81" i="6"/>
  <c r="AF81" i="6"/>
  <c r="AE81" i="6"/>
  <c r="AD81" i="6"/>
  <c r="AC81" i="6"/>
  <c r="AB81" i="6"/>
  <c r="AA81" i="6"/>
  <c r="Z81" i="6"/>
  <c r="Y81" i="6"/>
  <c r="X81" i="6"/>
  <c r="W81" i="6"/>
  <c r="V81" i="6"/>
  <c r="U81" i="6"/>
  <c r="T81" i="6"/>
  <c r="S81" i="6"/>
  <c r="R81" i="6"/>
  <c r="Q81" i="6"/>
  <c r="P81" i="6"/>
  <c r="O81" i="6"/>
  <c r="N81" i="6"/>
  <c r="M81" i="6"/>
  <c r="L81" i="6"/>
  <c r="K81" i="6"/>
  <c r="J81" i="6"/>
  <c r="I81" i="6"/>
  <c r="H81" i="6"/>
  <c r="G81" i="6"/>
  <c r="F81" i="6"/>
  <c r="E81" i="6"/>
  <c r="AZ80" i="6"/>
  <c r="AY80" i="6"/>
  <c r="AX80" i="6"/>
  <c r="AW80" i="6"/>
  <c r="AV80" i="6"/>
  <c r="AU80" i="6"/>
  <c r="AT80" i="6"/>
  <c r="AS80" i="6"/>
  <c r="AR80" i="6"/>
  <c r="AQ80" i="6"/>
  <c r="AP80" i="6"/>
  <c r="AO80" i="6"/>
  <c r="AN80" i="6"/>
  <c r="AM80" i="6"/>
  <c r="AL80" i="6"/>
  <c r="AK80" i="6"/>
  <c r="AJ80" i="6"/>
  <c r="AI80" i="6"/>
  <c r="AH80" i="6"/>
  <c r="AG80" i="6"/>
  <c r="AF80" i="6"/>
  <c r="AE80" i="6"/>
  <c r="AD80" i="6"/>
  <c r="AC80" i="6"/>
  <c r="AB80" i="6"/>
  <c r="AA80" i="6"/>
  <c r="Z80" i="6"/>
  <c r="Y80" i="6"/>
  <c r="X80" i="6"/>
  <c r="W80" i="6"/>
  <c r="V80" i="6"/>
  <c r="U80" i="6"/>
  <c r="T80" i="6"/>
  <c r="S80" i="6"/>
  <c r="R80" i="6"/>
  <c r="Q80" i="6"/>
  <c r="P80" i="6"/>
  <c r="O80" i="6"/>
  <c r="N80" i="6"/>
  <c r="M80" i="6"/>
  <c r="L80" i="6"/>
  <c r="K80" i="6"/>
  <c r="J80" i="6"/>
  <c r="I80" i="6"/>
  <c r="H80" i="6"/>
  <c r="G80" i="6"/>
  <c r="F80" i="6"/>
  <c r="E80" i="6"/>
  <c r="E79" i="6"/>
  <c r="E75" i="6"/>
  <c r="AN74" i="6"/>
  <c r="AM74" i="6"/>
  <c r="AL74" i="6"/>
  <c r="AK74" i="6"/>
  <c r="AJ74" i="6"/>
  <c r="AI74" i="6"/>
  <c r="AH74" i="6"/>
  <c r="AG74" i="6"/>
  <c r="AF74" i="6"/>
  <c r="AE74" i="6"/>
  <c r="AD74" i="6"/>
  <c r="AC74" i="6"/>
  <c r="AB74" i="6"/>
  <c r="AA74" i="6"/>
  <c r="Z74" i="6"/>
  <c r="Y74" i="6"/>
  <c r="X74" i="6"/>
  <c r="W74" i="6"/>
  <c r="V74" i="6"/>
  <c r="U74" i="6"/>
  <c r="T74" i="6"/>
  <c r="S74" i="6"/>
  <c r="R74" i="6"/>
  <c r="Q74" i="6"/>
  <c r="P74" i="6"/>
  <c r="O74" i="6"/>
  <c r="N74" i="6"/>
  <c r="M74" i="6"/>
  <c r="L74" i="6"/>
  <c r="K74" i="6"/>
  <c r="J74" i="6"/>
  <c r="I74" i="6"/>
  <c r="H74" i="6"/>
  <c r="G74" i="6"/>
  <c r="F74" i="6"/>
  <c r="E74" i="6"/>
  <c r="BL73" i="6"/>
  <c r="BK73" i="6"/>
  <c r="BJ73" i="6"/>
  <c r="BI73" i="6"/>
  <c r="BH73" i="6"/>
  <c r="BG73" i="6"/>
  <c r="BF73" i="6"/>
  <c r="BE73" i="6"/>
  <c r="BD73" i="6"/>
  <c r="BC73" i="6"/>
  <c r="BB73" i="6"/>
  <c r="BA73" i="6"/>
  <c r="AN73" i="6"/>
  <c r="AM73" i="6"/>
  <c r="AL73" i="6"/>
  <c r="AK73" i="6"/>
  <c r="AJ73" i="6"/>
  <c r="AI73" i="6"/>
  <c r="AH73" i="6"/>
  <c r="AG73" i="6"/>
  <c r="AF73" i="6"/>
  <c r="AE73" i="6"/>
  <c r="AD73" i="6"/>
  <c r="AC73" i="6"/>
  <c r="AB73" i="6"/>
  <c r="AA73" i="6"/>
  <c r="Z73" i="6"/>
  <c r="Y73" i="6"/>
  <c r="X73" i="6"/>
  <c r="W73" i="6"/>
  <c r="V73" i="6"/>
  <c r="U73" i="6"/>
  <c r="T73" i="6"/>
  <c r="S73" i="6"/>
  <c r="R73" i="6"/>
  <c r="Q73" i="6"/>
  <c r="P73" i="6"/>
  <c r="O73" i="6"/>
  <c r="N73" i="6"/>
  <c r="M73" i="6"/>
  <c r="L73" i="6"/>
  <c r="K73" i="6"/>
  <c r="J73" i="6"/>
  <c r="I73" i="6"/>
  <c r="H73" i="6"/>
  <c r="G73" i="6"/>
  <c r="F73" i="6"/>
  <c r="E73" i="6"/>
  <c r="E72" i="6"/>
  <c r="E68" i="6"/>
  <c r="AB67" i="6"/>
  <c r="AA67" i="6"/>
  <c r="Z67" i="6"/>
  <c r="Y67" i="6"/>
  <c r="X67" i="6"/>
  <c r="W67" i="6"/>
  <c r="V67" i="6"/>
  <c r="U67" i="6"/>
  <c r="T67" i="6"/>
  <c r="S67" i="6"/>
  <c r="R67" i="6"/>
  <c r="Q67" i="6"/>
  <c r="P67" i="6"/>
  <c r="O67" i="6"/>
  <c r="N67" i="6"/>
  <c r="M67" i="6"/>
  <c r="L67" i="6"/>
  <c r="K67" i="6"/>
  <c r="J67" i="6"/>
  <c r="I67" i="6"/>
  <c r="H67" i="6"/>
  <c r="G67" i="6"/>
  <c r="F67" i="6"/>
  <c r="E67" i="6"/>
  <c r="BL66" i="6"/>
  <c r="BK66" i="6"/>
  <c r="BJ66" i="6"/>
  <c r="BI66" i="6"/>
  <c r="BH66" i="6"/>
  <c r="BG66" i="6"/>
  <c r="BF66" i="6"/>
  <c r="BE66" i="6"/>
  <c r="BD66" i="6"/>
  <c r="BC66" i="6"/>
  <c r="BB66" i="6"/>
  <c r="BA66" i="6"/>
  <c r="AZ66" i="6"/>
  <c r="AY66" i="6"/>
  <c r="AX66" i="6"/>
  <c r="AW66" i="6"/>
  <c r="AV66" i="6"/>
  <c r="AU66" i="6"/>
  <c r="AT66" i="6"/>
  <c r="AS66" i="6"/>
  <c r="AR66" i="6"/>
  <c r="AQ66" i="6"/>
  <c r="AP66" i="6"/>
  <c r="AO66" i="6"/>
  <c r="AB66" i="6"/>
  <c r="AA66" i="6"/>
  <c r="Z66" i="6"/>
  <c r="Y66" i="6"/>
  <c r="X66" i="6"/>
  <c r="W66" i="6"/>
  <c r="V66" i="6"/>
  <c r="U66" i="6"/>
  <c r="T66" i="6"/>
  <c r="S66" i="6"/>
  <c r="R66" i="6"/>
  <c r="Q66" i="6"/>
  <c r="P66" i="6"/>
  <c r="O66" i="6"/>
  <c r="N66" i="6"/>
  <c r="M66" i="6"/>
  <c r="L66" i="6"/>
  <c r="K66" i="6"/>
  <c r="J66" i="6"/>
  <c r="I66" i="6"/>
  <c r="H66" i="6"/>
  <c r="G66" i="6"/>
  <c r="F66" i="6"/>
  <c r="E66" i="6"/>
  <c r="E65" i="6"/>
  <c r="P60" i="6"/>
  <c r="O60" i="6"/>
  <c r="N60" i="6"/>
  <c r="M60" i="6"/>
  <c r="L60" i="6"/>
  <c r="K60" i="6"/>
  <c r="J60" i="6"/>
  <c r="I60" i="6"/>
  <c r="H60" i="6"/>
  <c r="G60" i="6"/>
  <c r="F60" i="6"/>
  <c r="E60" i="6"/>
  <c r="BL59" i="6"/>
  <c r="BK59" i="6"/>
  <c r="BJ59" i="6"/>
  <c r="BI59" i="6"/>
  <c r="BH59" i="6"/>
  <c r="BG59" i="6"/>
  <c r="BF59" i="6"/>
  <c r="BE59" i="6"/>
  <c r="BD59" i="6"/>
  <c r="BC59" i="6"/>
  <c r="BB59" i="6"/>
  <c r="BA59" i="6"/>
  <c r="AZ59" i="6"/>
  <c r="AY59" i="6"/>
  <c r="AX59" i="6"/>
  <c r="AW59" i="6"/>
  <c r="AV59" i="6"/>
  <c r="AU59" i="6"/>
  <c r="AT59" i="6"/>
  <c r="AS59" i="6"/>
  <c r="AR59" i="6"/>
  <c r="AQ59" i="6"/>
  <c r="AP59" i="6"/>
  <c r="AO59" i="6"/>
  <c r="AN59" i="6"/>
  <c r="AM59" i="6"/>
  <c r="AL59" i="6"/>
  <c r="AK59" i="6"/>
  <c r="AJ59" i="6"/>
  <c r="AI59" i="6"/>
  <c r="AH59" i="6"/>
  <c r="AG59" i="6"/>
  <c r="AF59" i="6"/>
  <c r="AE59" i="6"/>
  <c r="AD59" i="6"/>
  <c r="AC59" i="6"/>
  <c r="P59" i="6"/>
  <c r="O59" i="6"/>
  <c r="N59" i="6"/>
  <c r="M59" i="6"/>
  <c r="L59" i="6"/>
  <c r="K59" i="6"/>
  <c r="J59" i="6"/>
  <c r="I59" i="6"/>
  <c r="H59" i="6"/>
  <c r="G59" i="6"/>
  <c r="F59" i="6"/>
  <c r="E59" i="6"/>
  <c r="E58" i="6"/>
  <c r="E61" i="6" s="1"/>
  <c r="J53" i="6"/>
  <c r="I53" i="6"/>
  <c r="H53" i="6"/>
  <c r="G53" i="6"/>
  <c r="F53" i="6"/>
  <c r="E53" i="6"/>
  <c r="BL52" i="6"/>
  <c r="BK52" i="6"/>
  <c r="BJ52" i="6"/>
  <c r="BI52" i="6"/>
  <c r="BH52" i="6"/>
  <c r="BG52" i="6"/>
  <c r="BF52" i="6"/>
  <c r="BE52" i="6"/>
  <c r="BD52" i="6"/>
  <c r="BC52" i="6"/>
  <c r="BB52" i="6"/>
  <c r="BA52" i="6"/>
  <c r="AZ52" i="6"/>
  <c r="AY52" i="6"/>
  <c r="AX52" i="6"/>
  <c r="AW52" i="6"/>
  <c r="AV52" i="6"/>
  <c r="AU52" i="6"/>
  <c r="AT52" i="6"/>
  <c r="AS52" i="6"/>
  <c r="AR52" i="6"/>
  <c r="AQ52" i="6"/>
  <c r="AP52" i="6"/>
  <c r="AO52" i="6"/>
  <c r="AN52" i="6"/>
  <c r="AM52" i="6"/>
  <c r="AL52" i="6"/>
  <c r="AK52" i="6"/>
  <c r="AJ52" i="6"/>
  <c r="AI52" i="6"/>
  <c r="AH52" i="6"/>
  <c r="AG52" i="6"/>
  <c r="AF52" i="6"/>
  <c r="AE52" i="6"/>
  <c r="AD52" i="6"/>
  <c r="AC52" i="6"/>
  <c r="AB52" i="6"/>
  <c r="AA52" i="6"/>
  <c r="Z52" i="6"/>
  <c r="Y52" i="6"/>
  <c r="X52" i="6"/>
  <c r="W52" i="6"/>
  <c r="V52" i="6"/>
  <c r="U52" i="6"/>
  <c r="T52" i="6"/>
  <c r="S52" i="6"/>
  <c r="R52" i="6"/>
  <c r="Q52" i="6"/>
  <c r="E51" i="6"/>
  <c r="F46" i="6"/>
  <c r="E46" i="6"/>
  <c r="BL45" i="6"/>
  <c r="BK45" i="6"/>
  <c r="BJ45" i="6"/>
  <c r="BI45" i="6"/>
  <c r="BH45" i="6"/>
  <c r="BG45" i="6"/>
  <c r="BF45" i="6"/>
  <c r="BE45" i="6"/>
  <c r="BD45" i="6"/>
  <c r="BC45" i="6"/>
  <c r="BB45" i="6"/>
  <c r="BA45" i="6"/>
  <c r="AZ45" i="6"/>
  <c r="AY45" i="6"/>
  <c r="AX45" i="6"/>
  <c r="AW45" i="6"/>
  <c r="AV45" i="6"/>
  <c r="AU45" i="6"/>
  <c r="AT45" i="6"/>
  <c r="AS45" i="6"/>
  <c r="AR45" i="6"/>
  <c r="AQ45" i="6"/>
  <c r="AP45" i="6"/>
  <c r="AO45" i="6"/>
  <c r="AN45" i="6"/>
  <c r="AM45" i="6"/>
  <c r="AL45" i="6"/>
  <c r="AK45" i="6"/>
  <c r="AJ45" i="6"/>
  <c r="AI45" i="6"/>
  <c r="AH45" i="6"/>
  <c r="AG45" i="6"/>
  <c r="AF45" i="6"/>
  <c r="AE45" i="6"/>
  <c r="AD45" i="6"/>
  <c r="AC45" i="6"/>
  <c r="AB45" i="6"/>
  <c r="AA45" i="6"/>
  <c r="Z45" i="6"/>
  <c r="Y45" i="6"/>
  <c r="X45" i="6"/>
  <c r="W45" i="6"/>
  <c r="V45" i="6"/>
  <c r="U45" i="6"/>
  <c r="T45" i="6"/>
  <c r="S45" i="6"/>
  <c r="R45" i="6"/>
  <c r="Q45" i="6"/>
  <c r="P45" i="6"/>
  <c r="O45" i="6"/>
  <c r="N45" i="6"/>
  <c r="M45" i="6"/>
  <c r="L45" i="6"/>
  <c r="K45" i="6"/>
  <c r="J45" i="6"/>
  <c r="I45" i="6"/>
  <c r="H45" i="6"/>
  <c r="F45" i="6"/>
  <c r="E45" i="6"/>
  <c r="E44" i="6"/>
  <c r="BL38" i="6"/>
  <c r="BK38" i="6"/>
  <c r="BJ38" i="6"/>
  <c r="BI38" i="6"/>
  <c r="BH38" i="6"/>
  <c r="BG38" i="6"/>
  <c r="BF38" i="6"/>
  <c r="BE38" i="6"/>
  <c r="BD38" i="6"/>
  <c r="BC38" i="6"/>
  <c r="BB38" i="6"/>
  <c r="BA38" i="6"/>
  <c r="AZ38" i="6"/>
  <c r="AY38" i="6"/>
  <c r="AX38" i="6"/>
  <c r="AW38" i="6"/>
  <c r="AV38" i="6"/>
  <c r="AU38" i="6"/>
  <c r="AT38" i="6"/>
  <c r="AS38" i="6"/>
  <c r="AR38" i="6"/>
  <c r="AQ38" i="6"/>
  <c r="AP38" i="6"/>
  <c r="AO38" i="6"/>
  <c r="AN38" i="6"/>
  <c r="AM38" i="6"/>
  <c r="AL38" i="6"/>
  <c r="AK38" i="6"/>
  <c r="AJ38" i="6"/>
  <c r="AI38" i="6"/>
  <c r="AH38" i="6"/>
  <c r="AG38" i="6"/>
  <c r="AF38" i="6"/>
  <c r="AE38" i="6"/>
  <c r="AD38" i="6"/>
  <c r="AC38" i="6"/>
  <c r="AB38" i="6"/>
  <c r="AA38" i="6"/>
  <c r="Z38" i="6"/>
  <c r="Y38" i="6"/>
  <c r="X38" i="6"/>
  <c r="W38" i="6"/>
  <c r="V38" i="6"/>
  <c r="U38" i="6"/>
  <c r="T38" i="6"/>
  <c r="S38" i="6"/>
  <c r="R38" i="6"/>
  <c r="Q38" i="6"/>
  <c r="P38" i="6"/>
  <c r="O38" i="6"/>
  <c r="N38" i="6"/>
  <c r="M38" i="6"/>
  <c r="L38" i="6"/>
  <c r="K38" i="6"/>
  <c r="J38" i="6"/>
  <c r="I38" i="6"/>
  <c r="H38" i="6"/>
  <c r="G38" i="6"/>
  <c r="F38" i="6"/>
  <c r="E38" i="6"/>
  <c r="BL31" i="6"/>
  <c r="BK31" i="6"/>
  <c r="BJ31" i="6"/>
  <c r="BI31" i="6"/>
  <c r="BH31" i="6"/>
  <c r="BG31" i="6"/>
  <c r="BF31" i="6"/>
  <c r="BE31" i="6"/>
  <c r="BD31" i="6"/>
  <c r="BC31" i="6"/>
  <c r="BB31" i="6"/>
  <c r="BA31" i="6"/>
  <c r="AZ31" i="6"/>
  <c r="AY31" i="6"/>
  <c r="AX31" i="6"/>
  <c r="AW31" i="6"/>
  <c r="AV31" i="6"/>
  <c r="AU31" i="6"/>
  <c r="AT31" i="6"/>
  <c r="AS31" i="6"/>
  <c r="AR31" i="6"/>
  <c r="AQ31" i="6"/>
  <c r="AP31" i="6"/>
  <c r="AO31" i="6"/>
  <c r="AN31" i="6"/>
  <c r="AM31" i="6"/>
  <c r="AL31" i="6"/>
  <c r="AK31" i="6"/>
  <c r="AJ31" i="6"/>
  <c r="AI31" i="6"/>
  <c r="AH31" i="6"/>
  <c r="AG31" i="6"/>
  <c r="AF31" i="6"/>
  <c r="AE31" i="6"/>
  <c r="AD31" i="6"/>
  <c r="AC31" i="6"/>
  <c r="AB31" i="6"/>
  <c r="AA31" i="6"/>
  <c r="Z31" i="6"/>
  <c r="Y31" i="6"/>
  <c r="X31" i="6"/>
  <c r="W31" i="6"/>
  <c r="V31" i="6"/>
  <c r="U31" i="6"/>
  <c r="T31" i="6"/>
  <c r="S31" i="6"/>
  <c r="R31" i="6"/>
  <c r="Q31" i="6"/>
  <c r="P31" i="6"/>
  <c r="O31" i="6"/>
  <c r="N31" i="6"/>
  <c r="M31" i="6"/>
  <c r="L31" i="6"/>
  <c r="K31" i="6"/>
  <c r="J31" i="6"/>
  <c r="I31" i="6"/>
  <c r="H31" i="6"/>
  <c r="G31" i="6"/>
  <c r="F31" i="6"/>
  <c r="E31" i="6"/>
  <c r="BL24" i="6"/>
  <c r="BK24" i="6"/>
  <c r="BJ24" i="6"/>
  <c r="BI24" i="6"/>
  <c r="BH24" i="6"/>
  <c r="BG24" i="6"/>
  <c r="BF24" i="6"/>
  <c r="BE24" i="6"/>
  <c r="BD24" i="6"/>
  <c r="BC24" i="6"/>
  <c r="BB24" i="6"/>
  <c r="BA24" i="6"/>
  <c r="AZ24" i="6"/>
  <c r="AY24" i="6"/>
  <c r="AX24" i="6"/>
  <c r="AW24" i="6"/>
  <c r="AV24" i="6"/>
  <c r="AU24" i="6"/>
  <c r="AT24" i="6"/>
  <c r="AS24" i="6"/>
  <c r="AR24" i="6"/>
  <c r="AQ24" i="6"/>
  <c r="AP24" i="6"/>
  <c r="AO24" i="6"/>
  <c r="AN24" i="6"/>
  <c r="AM24" i="6"/>
  <c r="AL24" i="6"/>
  <c r="AK24" i="6"/>
  <c r="AJ24" i="6"/>
  <c r="AI24" i="6"/>
  <c r="AH24" i="6"/>
  <c r="AG24" i="6"/>
  <c r="AF24" i="6"/>
  <c r="AE24" i="6"/>
  <c r="AD24" i="6"/>
  <c r="AC24" i="6"/>
  <c r="AB24" i="6"/>
  <c r="AA24" i="6"/>
  <c r="Z24" i="6"/>
  <c r="Y24" i="6"/>
  <c r="X24" i="6"/>
  <c r="W24" i="6"/>
  <c r="V24" i="6"/>
  <c r="U24" i="6"/>
  <c r="T24" i="6"/>
  <c r="S24" i="6"/>
  <c r="R24" i="6"/>
  <c r="Q24" i="6"/>
  <c r="P24" i="6"/>
  <c r="O24" i="6"/>
  <c r="N24" i="6"/>
  <c r="M24" i="6"/>
  <c r="L24" i="6"/>
  <c r="K24" i="6"/>
  <c r="J24" i="6"/>
  <c r="I24" i="6"/>
  <c r="H24" i="6"/>
  <c r="G24" i="6"/>
  <c r="F24" i="6"/>
  <c r="E24" i="6"/>
  <c r="BL17" i="6"/>
  <c r="BK17" i="6"/>
  <c r="BJ17" i="6"/>
  <c r="BI17" i="6"/>
  <c r="BH17" i="6"/>
  <c r="BG17" i="6"/>
  <c r="BF17" i="6"/>
  <c r="BE17" i="6"/>
  <c r="BD17" i="6"/>
  <c r="BC17" i="6"/>
  <c r="BB17" i="6"/>
  <c r="BA17" i="6"/>
  <c r="AZ17" i="6"/>
  <c r="AY17" i="6"/>
  <c r="AX17" i="6"/>
  <c r="AW17" i="6"/>
  <c r="AV17" i="6"/>
  <c r="AU17" i="6"/>
  <c r="AT17" i="6"/>
  <c r="AS17" i="6"/>
  <c r="AR17" i="6"/>
  <c r="AQ17" i="6"/>
  <c r="AP17" i="6"/>
  <c r="AO17" i="6"/>
  <c r="AN17" i="6"/>
  <c r="AM17" i="6"/>
  <c r="AL17" i="6"/>
  <c r="AK17" i="6"/>
  <c r="AJ17" i="6"/>
  <c r="AI17" i="6"/>
  <c r="AH17" i="6"/>
  <c r="AG17" i="6"/>
  <c r="AF17" i="6"/>
  <c r="AE17" i="6"/>
  <c r="AD17" i="6"/>
  <c r="AC17" i="6"/>
  <c r="AB17" i="6"/>
  <c r="AA17" i="6"/>
  <c r="Z17" i="6"/>
  <c r="Y17" i="6"/>
  <c r="X17" i="6"/>
  <c r="W17" i="6"/>
  <c r="V17" i="6"/>
  <c r="U17" i="6"/>
  <c r="T17" i="6"/>
  <c r="S17" i="6"/>
  <c r="R17" i="6"/>
  <c r="Q17" i="6"/>
  <c r="P17" i="6"/>
  <c r="O17" i="6"/>
  <c r="N17" i="6"/>
  <c r="M17" i="6"/>
  <c r="L17" i="6"/>
  <c r="K17" i="6"/>
  <c r="J17" i="6"/>
  <c r="I17" i="6"/>
  <c r="H17" i="6"/>
  <c r="G17" i="6"/>
  <c r="F17" i="6"/>
  <c r="E17" i="6"/>
  <c r="BL10" i="6"/>
  <c r="BK10" i="6"/>
  <c r="BJ10" i="6"/>
  <c r="BI10" i="6"/>
  <c r="BH10" i="6"/>
  <c r="BG10" i="6"/>
  <c r="BF10" i="6"/>
  <c r="BE10" i="6"/>
  <c r="BD10" i="6"/>
  <c r="BC10" i="6"/>
  <c r="BB10" i="6"/>
  <c r="BA10" i="6"/>
  <c r="AZ10" i="6"/>
  <c r="AY10" i="6"/>
  <c r="AX10" i="6"/>
  <c r="AW10" i="6"/>
  <c r="AV10" i="6"/>
  <c r="AU10" i="6"/>
  <c r="AT10" i="6"/>
  <c r="AS10" i="6"/>
  <c r="AR10" i="6"/>
  <c r="AQ10" i="6"/>
  <c r="AP10" i="6"/>
  <c r="AO10" i="6"/>
  <c r="AN10" i="6"/>
  <c r="AM10" i="6"/>
  <c r="AL10" i="6"/>
  <c r="AK10" i="6"/>
  <c r="AJ10" i="6"/>
  <c r="AI10" i="6"/>
  <c r="AH10" i="6"/>
  <c r="AG10" i="6"/>
  <c r="AF10" i="6"/>
  <c r="AE10" i="6"/>
  <c r="AD10" i="6"/>
  <c r="AC10" i="6"/>
  <c r="AB10" i="6"/>
  <c r="AA10" i="6"/>
  <c r="Z10" i="6"/>
  <c r="Y10" i="6"/>
  <c r="X10" i="6"/>
  <c r="W10" i="6"/>
  <c r="V10" i="6"/>
  <c r="U10" i="6"/>
  <c r="T10" i="6"/>
  <c r="S10" i="6"/>
  <c r="R10" i="6"/>
  <c r="Q10" i="6"/>
  <c r="P10" i="6"/>
  <c r="O10" i="6"/>
  <c r="N10" i="6"/>
  <c r="M10" i="6"/>
  <c r="L10" i="6"/>
  <c r="K10" i="6"/>
  <c r="J10" i="6"/>
  <c r="I10" i="6"/>
  <c r="H10" i="6"/>
  <c r="G10" i="6"/>
  <c r="F10" i="6"/>
  <c r="E10" i="6"/>
  <c r="E4" i="6"/>
  <c r="AE29" i="5"/>
  <c r="AE37" i="17" s="1"/>
  <c r="Z29" i="5"/>
  <c r="Z37" i="17" s="1"/>
  <c r="AM27" i="5"/>
  <c r="AH27" i="5"/>
  <c r="AD27" i="5"/>
  <c r="Z26" i="5"/>
  <c r="X26" i="5"/>
  <c r="N26" i="5"/>
  <c r="H26" i="5"/>
  <c r="AZ25" i="5"/>
  <c r="AE25" i="5"/>
  <c r="J25" i="5"/>
  <c r="BL24" i="5"/>
  <c r="BI24" i="5"/>
  <c r="BG24" i="5"/>
  <c r="AX24" i="5"/>
  <c r="AV24" i="5"/>
  <c r="AF24" i="5"/>
  <c r="AD24" i="5"/>
  <c r="AF21" i="5"/>
  <c r="X21" i="5"/>
  <c r="S21" i="5"/>
  <c r="R21" i="5"/>
  <c r="N21" i="5"/>
  <c r="L18" i="5"/>
  <c r="K18" i="5"/>
  <c r="J18" i="5"/>
  <c r="I18" i="5"/>
  <c r="H18" i="5"/>
  <c r="G18" i="5"/>
  <c r="F18" i="5"/>
  <c r="E18" i="5"/>
  <c r="BI13" i="5"/>
  <c r="BF13" i="5"/>
  <c r="BE13" i="5"/>
  <c r="BB13" i="5"/>
  <c r="BA13" i="5"/>
  <c r="AT13" i="5"/>
  <c r="AS13" i="5"/>
  <c r="AI13" i="5"/>
  <c r="U13" i="5"/>
  <c r="J13" i="5"/>
  <c r="BF12" i="5"/>
  <c r="AK12" i="5"/>
  <c r="AA12" i="5"/>
  <c r="Z12" i="5"/>
  <c r="Y12" i="5"/>
  <c r="W12" i="5"/>
  <c r="V12" i="5"/>
  <c r="Q12" i="5"/>
  <c r="P12" i="5"/>
  <c r="O12" i="5"/>
  <c r="K12" i="5"/>
  <c r="F12" i="5"/>
  <c r="E12" i="5"/>
  <c r="BC11" i="5"/>
  <c r="AS11" i="5"/>
  <c r="AI11" i="5"/>
  <c r="W11" i="5"/>
  <c r="I9" i="5"/>
  <c r="BF8" i="5"/>
  <c r="BF10" i="5" s="1"/>
  <c r="AX8" i="5"/>
  <c r="AW8" i="5"/>
  <c r="AV8" i="5"/>
  <c r="AT8" i="5"/>
  <c r="AS8" i="5"/>
  <c r="AO8" i="5"/>
  <c r="AN8" i="5"/>
  <c r="AM8" i="5"/>
  <c r="AJ8" i="5"/>
  <c r="AE8" i="5"/>
  <c r="AD8" i="5"/>
  <c r="V8" i="5"/>
  <c r="E4" i="5"/>
  <c r="G34" i="4"/>
  <c r="F34" i="4"/>
  <c r="E34" i="4"/>
  <c r="G33" i="4"/>
  <c r="F33" i="4"/>
  <c r="E33" i="4"/>
  <c r="I20" i="4"/>
  <c r="H20" i="4"/>
  <c r="G20" i="4"/>
  <c r="F20" i="4"/>
  <c r="E20" i="4"/>
  <c r="E4" i="4"/>
  <c r="I303" i="3"/>
  <c r="I19" i="10" s="1"/>
  <c r="H303" i="3"/>
  <c r="H19" i="10" s="1"/>
  <c r="G303" i="3"/>
  <c r="G19" i="10" s="1"/>
  <c r="F303" i="3"/>
  <c r="F19" i="10" s="1"/>
  <c r="E303" i="3"/>
  <c r="E19" i="10" s="1"/>
  <c r="I298" i="3"/>
  <c r="H298" i="3"/>
  <c r="G298" i="3"/>
  <c r="F298" i="3"/>
  <c r="E298" i="3"/>
  <c r="I293" i="3"/>
  <c r="H293" i="3"/>
  <c r="G293" i="3"/>
  <c r="F293" i="3"/>
  <c r="E293" i="3"/>
  <c r="E26" i="10" s="1"/>
  <c r="E44" i="1" s="1"/>
  <c r="I288" i="3"/>
  <c r="H288" i="3"/>
  <c r="G288" i="3"/>
  <c r="F288" i="3"/>
  <c r="I23" i="10" s="1"/>
  <c r="E288" i="3"/>
  <c r="I283" i="3"/>
  <c r="H283" i="3"/>
  <c r="G283" i="3"/>
  <c r="F283" i="3"/>
  <c r="E283" i="3"/>
  <c r="I278" i="3"/>
  <c r="I40" i="9" s="1"/>
  <c r="H278" i="3"/>
  <c r="H40" i="9" s="1"/>
  <c r="G278" i="3"/>
  <c r="G40" i="9" s="1"/>
  <c r="F278" i="3"/>
  <c r="F40" i="9" s="1"/>
  <c r="E278" i="3"/>
  <c r="E40" i="9" s="1"/>
  <c r="I273" i="3"/>
  <c r="H273" i="3"/>
  <c r="G273" i="3"/>
  <c r="F273" i="3"/>
  <c r="E273" i="3"/>
  <c r="I268" i="3"/>
  <c r="I38" i="9" s="1"/>
  <c r="H268" i="3"/>
  <c r="H38" i="9" s="1"/>
  <c r="G268" i="3"/>
  <c r="G38" i="9" s="1"/>
  <c r="F268" i="3"/>
  <c r="F38" i="9" s="1"/>
  <c r="E268" i="3"/>
  <c r="E38" i="9" s="1"/>
  <c r="E44" i="9" s="1"/>
  <c r="E45" i="9" s="1"/>
  <c r="I263" i="3"/>
  <c r="H263" i="3"/>
  <c r="G263" i="3"/>
  <c r="F263" i="3"/>
  <c r="E263" i="3"/>
  <c r="I258" i="3"/>
  <c r="H258" i="3"/>
  <c r="G258" i="3"/>
  <c r="F258" i="3"/>
  <c r="E258" i="3"/>
  <c r="I253" i="3"/>
  <c r="I21" i="9" s="1"/>
  <c r="H253" i="3"/>
  <c r="H21" i="9" s="1"/>
  <c r="G253" i="3"/>
  <c r="G21" i="9" s="1"/>
  <c r="F253" i="3"/>
  <c r="F21" i="9" s="1"/>
  <c r="E253" i="3"/>
  <c r="E21" i="9" s="1"/>
  <c r="I248" i="3"/>
  <c r="I20" i="9" s="1"/>
  <c r="H248" i="3"/>
  <c r="H20" i="9" s="1"/>
  <c r="G248" i="3"/>
  <c r="G20" i="9" s="1"/>
  <c r="F248" i="3"/>
  <c r="F20" i="9" s="1"/>
  <c r="E248" i="3"/>
  <c r="E20" i="9" s="1"/>
  <c r="I243" i="3"/>
  <c r="I23" i="9" s="1"/>
  <c r="H243" i="3"/>
  <c r="H23" i="9" s="1"/>
  <c r="G243" i="3"/>
  <c r="G23" i="9" s="1"/>
  <c r="F243" i="3"/>
  <c r="F23" i="9" s="1"/>
  <c r="E243" i="3"/>
  <c r="E23" i="9" s="1"/>
  <c r="I238" i="3"/>
  <c r="H238" i="3"/>
  <c r="G238" i="3"/>
  <c r="F238" i="3"/>
  <c r="E238" i="3"/>
  <c r="I233" i="3"/>
  <c r="H233" i="3"/>
  <c r="AX29" i="5" s="1"/>
  <c r="AX37" i="17" s="1"/>
  <c r="G233" i="3"/>
  <c r="F233" i="3"/>
  <c r="R29" i="5" s="1"/>
  <c r="R37" i="17" s="1"/>
  <c r="E233" i="3"/>
  <c r="O29" i="5" s="1"/>
  <c r="O37" i="17" s="1"/>
  <c r="I228" i="3"/>
  <c r="H228" i="3"/>
  <c r="AV28" i="5" s="1"/>
  <c r="G228" i="3"/>
  <c r="F228" i="3"/>
  <c r="E228" i="3"/>
  <c r="P28" i="5" s="1"/>
  <c r="I223" i="3"/>
  <c r="H223" i="3"/>
  <c r="G223" i="3"/>
  <c r="F223" i="3"/>
  <c r="E223" i="3"/>
  <c r="I218" i="3"/>
  <c r="H218" i="3"/>
  <c r="G218" i="3"/>
  <c r="F218" i="3"/>
  <c r="E218" i="3"/>
  <c r="I213" i="3"/>
  <c r="H213" i="3"/>
  <c r="G213" i="3"/>
  <c r="F213" i="3"/>
  <c r="E213" i="3"/>
  <c r="I208" i="3"/>
  <c r="H208" i="3"/>
  <c r="G208" i="3"/>
  <c r="F208" i="3"/>
  <c r="E208" i="3"/>
  <c r="I203" i="3"/>
  <c r="H203" i="3"/>
  <c r="G203" i="3"/>
  <c r="F203" i="3"/>
  <c r="E203" i="3"/>
  <c r="I198" i="3"/>
  <c r="BA12" i="7" s="1"/>
  <c r="H198" i="3"/>
  <c r="AO12" i="7" s="1"/>
  <c r="G198" i="3"/>
  <c r="AC12" i="7" s="1"/>
  <c r="F198" i="3"/>
  <c r="Q12" i="7" s="1"/>
  <c r="E198" i="3"/>
  <c r="I193" i="3"/>
  <c r="BH27" i="5" s="1"/>
  <c r="H193" i="3"/>
  <c r="AZ27" i="5" s="1"/>
  <c r="G193" i="3"/>
  <c r="F193" i="3"/>
  <c r="AB27" i="5" s="1"/>
  <c r="E193" i="3"/>
  <c r="G27" i="5" s="1"/>
  <c r="I188" i="3"/>
  <c r="BK25" i="5" s="1"/>
  <c r="H188" i="3"/>
  <c r="AQ25" i="5" s="1"/>
  <c r="G188" i="3"/>
  <c r="F188" i="3"/>
  <c r="Z25" i="5" s="1"/>
  <c r="E188" i="3"/>
  <c r="I183" i="3"/>
  <c r="H183" i="3"/>
  <c r="AQ24" i="5" s="1"/>
  <c r="G183" i="3"/>
  <c r="AN24" i="5" s="1"/>
  <c r="F183" i="3"/>
  <c r="AA24" i="5" s="1"/>
  <c r="E183" i="3"/>
  <c r="E24" i="5" s="1"/>
  <c r="I178" i="3"/>
  <c r="H178" i="3"/>
  <c r="AT26" i="5" s="1"/>
  <c r="G178" i="3"/>
  <c r="F178" i="3"/>
  <c r="E178" i="3"/>
  <c r="E26" i="5" s="1"/>
  <c r="I173" i="3"/>
  <c r="H173" i="3"/>
  <c r="G173" i="3"/>
  <c r="F173" i="3"/>
  <c r="E173" i="3"/>
  <c r="I168" i="3"/>
  <c r="H168" i="3"/>
  <c r="G168" i="3"/>
  <c r="F168" i="3"/>
  <c r="E168" i="3"/>
  <c r="I163" i="3"/>
  <c r="H163" i="3"/>
  <c r="G163" i="3"/>
  <c r="F163" i="3"/>
  <c r="E163" i="3"/>
  <c r="I158" i="3"/>
  <c r="H158" i="3"/>
  <c r="G158" i="3"/>
  <c r="F158" i="3"/>
  <c r="E158" i="3"/>
  <c r="I153" i="3"/>
  <c r="H153" i="3"/>
  <c r="G153" i="3"/>
  <c r="F153" i="3"/>
  <c r="E153" i="3"/>
  <c r="I148" i="3"/>
  <c r="H148" i="3"/>
  <c r="G148" i="3"/>
  <c r="G23" i="10" s="1"/>
  <c r="F148" i="3"/>
  <c r="F23" i="10" s="1"/>
  <c r="E148" i="3"/>
  <c r="I143" i="3"/>
  <c r="E37" i="6" s="1"/>
  <c r="H143" i="3"/>
  <c r="E30" i="6" s="1"/>
  <c r="G143" i="3"/>
  <c r="E23" i="6" s="1"/>
  <c r="F143" i="3"/>
  <c r="E16" i="6" s="1"/>
  <c r="E143" i="3"/>
  <c r="E36" i="14" s="1"/>
  <c r="I138" i="3"/>
  <c r="H138" i="3"/>
  <c r="G138" i="3"/>
  <c r="F138" i="3"/>
  <c r="E138" i="3"/>
  <c r="I133" i="3"/>
  <c r="H133" i="3"/>
  <c r="G133" i="3"/>
  <c r="F133" i="3"/>
  <c r="E133" i="3"/>
  <c r="I128" i="3"/>
  <c r="H128" i="3"/>
  <c r="G128" i="3"/>
  <c r="F128" i="3"/>
  <c r="E128" i="3"/>
  <c r="I123" i="3"/>
  <c r="H123" i="3"/>
  <c r="G123" i="3"/>
  <c r="F123" i="3"/>
  <c r="E123" i="3"/>
  <c r="I118" i="3"/>
  <c r="H118" i="3"/>
  <c r="G118" i="3"/>
  <c r="F118" i="3"/>
  <c r="E118" i="3"/>
  <c r="I113" i="3"/>
  <c r="H113" i="3"/>
  <c r="G113" i="3"/>
  <c r="F113" i="3"/>
  <c r="E113" i="3"/>
  <c r="I108" i="3"/>
  <c r="H108" i="3"/>
  <c r="G108" i="3"/>
  <c r="F108" i="3"/>
  <c r="E108" i="3"/>
  <c r="I103" i="3"/>
  <c r="H103" i="3"/>
  <c r="G103" i="3"/>
  <c r="F103" i="3"/>
  <c r="E103" i="3"/>
  <c r="I98" i="3"/>
  <c r="H98" i="3"/>
  <c r="G98" i="3"/>
  <c r="F98" i="3"/>
  <c r="E98" i="3"/>
  <c r="I93" i="3"/>
  <c r="H93" i="3"/>
  <c r="G93" i="3"/>
  <c r="F93" i="3"/>
  <c r="E93" i="3"/>
  <c r="I88" i="3"/>
  <c r="H88" i="3"/>
  <c r="G88" i="3"/>
  <c r="F88" i="3"/>
  <c r="E88" i="3"/>
  <c r="I83" i="3"/>
  <c r="H83" i="3"/>
  <c r="G83" i="3"/>
  <c r="F83" i="3"/>
  <c r="AY18" i="5" s="1"/>
  <c r="E83" i="3"/>
  <c r="I78" i="3"/>
  <c r="E26" i="18" s="1"/>
  <c r="H78" i="3"/>
  <c r="G78" i="3"/>
  <c r="F78" i="3"/>
  <c r="E78" i="3"/>
  <c r="I73" i="3"/>
  <c r="H73" i="3"/>
  <c r="AP18" i="7" s="1"/>
  <c r="G73" i="3"/>
  <c r="AD18" i="7" s="1"/>
  <c r="F73" i="3"/>
  <c r="R18" i="7" s="1"/>
  <c r="E73" i="3"/>
  <c r="F18" i="7" s="1"/>
  <c r="I68" i="3"/>
  <c r="H68" i="3"/>
  <c r="G68" i="3"/>
  <c r="F68" i="3"/>
  <c r="AB18" i="5" s="1"/>
  <c r="E68" i="3"/>
  <c r="I63" i="3"/>
  <c r="BA8" i="7" s="1"/>
  <c r="H63" i="3"/>
  <c r="AO8" i="7" s="1"/>
  <c r="G63" i="3"/>
  <c r="AC8" i="7" s="1"/>
  <c r="F63" i="3"/>
  <c r="Q8" i="7" s="1"/>
  <c r="E63" i="3"/>
  <c r="I58" i="3"/>
  <c r="BA21" i="5" s="1"/>
  <c r="H58" i="3"/>
  <c r="AX21" i="5" s="1"/>
  <c r="G58" i="3"/>
  <c r="AD21" i="5" s="1"/>
  <c r="F58" i="3"/>
  <c r="E58" i="3"/>
  <c r="J21" i="5" s="1"/>
  <c r="I53" i="3"/>
  <c r="H53" i="3"/>
  <c r="G53" i="3"/>
  <c r="F53" i="3"/>
  <c r="E53" i="3"/>
  <c r="I48" i="3"/>
  <c r="H48" i="3"/>
  <c r="G48" i="3"/>
  <c r="F48" i="3"/>
  <c r="E48" i="3"/>
  <c r="I43" i="3"/>
  <c r="H43" i="3"/>
  <c r="G43" i="3"/>
  <c r="F43" i="3"/>
  <c r="E43" i="3"/>
  <c r="I38" i="3"/>
  <c r="H38" i="3"/>
  <c r="G38" i="3"/>
  <c r="F38" i="3"/>
  <c r="E38" i="3"/>
  <c r="E16" i="5" s="1"/>
  <c r="I33" i="3"/>
  <c r="H33" i="3"/>
  <c r="G33" i="3"/>
  <c r="F33" i="3"/>
  <c r="E33" i="3"/>
  <c r="I28" i="3"/>
  <c r="H28" i="3"/>
  <c r="G28" i="3"/>
  <c r="F28" i="3"/>
  <c r="BH9" i="5" s="1"/>
  <c r="E28" i="3"/>
  <c r="BF9" i="5" s="1"/>
  <c r="I23" i="3"/>
  <c r="H23" i="3"/>
  <c r="G23" i="3"/>
  <c r="AC13" i="5" s="1"/>
  <c r="F23" i="3"/>
  <c r="R13" i="5" s="1"/>
  <c r="E23" i="3"/>
  <c r="F13" i="5" s="1"/>
  <c r="I18" i="3"/>
  <c r="BG12" i="5" s="1"/>
  <c r="H18" i="3"/>
  <c r="AT12" i="5" s="1"/>
  <c r="G18" i="3"/>
  <c r="AH12" i="5" s="1"/>
  <c r="F18" i="3"/>
  <c r="E18" i="3"/>
  <c r="I13" i="3"/>
  <c r="BJ11" i="5" s="1"/>
  <c r="H13" i="3"/>
  <c r="AP11" i="5" s="1"/>
  <c r="G13" i="3"/>
  <c r="AD11" i="5" s="1"/>
  <c r="F13" i="3"/>
  <c r="Z11" i="5" s="1"/>
  <c r="E13" i="3"/>
  <c r="I8" i="3"/>
  <c r="BG8" i="5" s="1"/>
  <c r="H8" i="3"/>
  <c r="G8" i="3"/>
  <c r="AI8" i="5" s="1"/>
  <c r="F8" i="3"/>
  <c r="AB8" i="5" s="1"/>
  <c r="E8" i="3"/>
  <c r="K8" i="5" s="1"/>
  <c r="E4" i="3"/>
  <c r="E4" i="2"/>
  <c r="E54" i="1"/>
  <c r="E53" i="1"/>
  <c r="E36" i="1"/>
  <c r="E4" i="1"/>
  <c r="E17" i="5" l="1"/>
  <c r="E20" i="5" s="1"/>
  <c r="E19" i="5"/>
  <c r="F16" i="5"/>
  <c r="AQ32" i="17"/>
  <c r="H8" i="5"/>
  <c r="Q8" i="5"/>
  <c r="Z8" i="5"/>
  <c r="BB8" i="5"/>
  <c r="BK8" i="5"/>
  <c r="M9" i="5"/>
  <c r="AH9" i="5"/>
  <c r="BC9" i="5"/>
  <c r="BC30" i="5" s="1"/>
  <c r="BC38" i="17" s="1"/>
  <c r="AC11" i="5"/>
  <c r="BH11" i="5"/>
  <c r="AF12" i="5"/>
  <c r="AP12" i="5"/>
  <c r="Q13" i="5"/>
  <c r="AM13" i="5"/>
  <c r="T18" i="5"/>
  <c r="AX18" i="5"/>
  <c r="H21" i="5"/>
  <c r="AP21" i="5"/>
  <c r="BI21" i="5"/>
  <c r="G24" i="5"/>
  <c r="Z24" i="5"/>
  <c r="Z32" i="17" s="1"/>
  <c r="T25" i="5"/>
  <c r="AP25" i="5"/>
  <c r="AX27" i="5"/>
  <c r="AT28" i="5"/>
  <c r="AP29" i="5"/>
  <c r="AP37" i="17" s="1"/>
  <c r="P11" i="5"/>
  <c r="H11" i="5"/>
  <c r="O11" i="5"/>
  <c r="F11" i="5"/>
  <c r="H14" i="14"/>
  <c r="AX9" i="7"/>
  <c r="AP9" i="7"/>
  <c r="AW9" i="7"/>
  <c r="AW10" i="7" s="1"/>
  <c r="AO9" i="7"/>
  <c r="AU9" i="7"/>
  <c r="AT9" i="7"/>
  <c r="AZ14" i="7"/>
  <c r="AV9" i="7"/>
  <c r="AV10" i="7" s="1"/>
  <c r="AS9" i="7"/>
  <c r="AR9" i="7"/>
  <c r="AQ9" i="7"/>
  <c r="AZ9" i="7"/>
  <c r="AZ10" i="7" s="1"/>
  <c r="AY9" i="7"/>
  <c r="AZ26" i="5"/>
  <c r="AZ13" i="8" s="1"/>
  <c r="AZ34" i="17" s="1"/>
  <c r="AR26" i="5"/>
  <c r="AW26" i="5"/>
  <c r="AO26" i="5"/>
  <c r="AS26" i="5"/>
  <c r="AQ26" i="5"/>
  <c r="AP26" i="5"/>
  <c r="AX26" i="5"/>
  <c r="AX13" i="8" s="1"/>
  <c r="AX34" i="17" s="1"/>
  <c r="AB28" i="5"/>
  <c r="T28" i="5"/>
  <c r="Y28" i="5"/>
  <c r="Q28" i="5"/>
  <c r="W28" i="5"/>
  <c r="U28" i="5"/>
  <c r="S28" i="5"/>
  <c r="R28" i="5"/>
  <c r="Z28" i="5"/>
  <c r="AC9" i="5"/>
  <c r="F26" i="7"/>
  <c r="E25" i="6"/>
  <c r="E26" i="6" s="1"/>
  <c r="E15" i="14"/>
  <c r="O19" i="7"/>
  <c r="O20" i="7" s="1"/>
  <c r="G19" i="7"/>
  <c r="L19" i="7"/>
  <c r="K19" i="7"/>
  <c r="I19" i="7"/>
  <c r="I20" i="7" s="1"/>
  <c r="G26" i="7"/>
  <c r="H19" i="7"/>
  <c r="H20" i="7" s="1"/>
  <c r="M19" i="7"/>
  <c r="J19" i="7"/>
  <c r="F19" i="7"/>
  <c r="F20" i="7" s="1"/>
  <c r="P26" i="7"/>
  <c r="E19" i="7"/>
  <c r="N26" i="7"/>
  <c r="P19" i="7"/>
  <c r="N19" i="7"/>
  <c r="N20" i="7" s="1"/>
  <c r="AJ24" i="5"/>
  <c r="AG24" i="5"/>
  <c r="AI24" i="5"/>
  <c r="AH24" i="5"/>
  <c r="AE24" i="5"/>
  <c r="AE32" i="17" s="1"/>
  <c r="P27" i="5"/>
  <c r="H27" i="5"/>
  <c r="M27" i="5"/>
  <c r="E27" i="5"/>
  <c r="F27" i="5"/>
  <c r="O27" i="5"/>
  <c r="N27" i="5"/>
  <c r="K27" i="5"/>
  <c r="AA48" i="8"/>
  <c r="S48" i="8"/>
  <c r="X48" i="8"/>
  <c r="W48" i="8"/>
  <c r="V48" i="8"/>
  <c r="Z48" i="8"/>
  <c r="Q48" i="8"/>
  <c r="V49" i="8"/>
  <c r="AB48" i="8"/>
  <c r="V18" i="8"/>
  <c r="AB49" i="8"/>
  <c r="Y48" i="8"/>
  <c r="U48" i="8"/>
  <c r="T48" i="8"/>
  <c r="AB18" i="8"/>
  <c r="S18" i="8"/>
  <c r="AA18" i="8"/>
  <c r="R18" i="8"/>
  <c r="R48" i="8"/>
  <c r="U18" i="8"/>
  <c r="Q18" i="8"/>
  <c r="Z18" i="8"/>
  <c r="T18" i="8"/>
  <c r="Y18" i="8"/>
  <c r="W18" i="8"/>
  <c r="X18" i="8"/>
  <c r="BJ20" i="8"/>
  <c r="BB20" i="8"/>
  <c r="BC20" i="8"/>
  <c r="BK20" i="8"/>
  <c r="BA20" i="8"/>
  <c r="BG20" i="8"/>
  <c r="BE20" i="8"/>
  <c r="BD20" i="8"/>
  <c r="BI20" i="8"/>
  <c r="BH20" i="8"/>
  <c r="P29" i="5"/>
  <c r="P37" i="17" s="1"/>
  <c r="H29" i="5"/>
  <c r="H37" i="17" s="1"/>
  <c r="M29" i="5"/>
  <c r="M37" i="17" s="1"/>
  <c r="E29" i="5"/>
  <c r="E37" i="17" s="1"/>
  <c r="F29" i="5"/>
  <c r="F37" i="17" s="1"/>
  <c r="N29" i="5"/>
  <c r="N37" i="17" s="1"/>
  <c r="L29" i="5"/>
  <c r="L37" i="17" s="1"/>
  <c r="K29" i="5"/>
  <c r="K37" i="17" s="1"/>
  <c r="I29" i="5"/>
  <c r="I37" i="17" s="1"/>
  <c r="I9" i="10"/>
  <c r="H9" i="9"/>
  <c r="W9" i="5"/>
  <c r="W30" i="5" s="1"/>
  <c r="W38" i="17" s="1"/>
  <c r="AS9" i="5"/>
  <c r="AS10" i="5" s="1"/>
  <c r="AS14" i="5" s="1"/>
  <c r="I11" i="5"/>
  <c r="S11" i="5"/>
  <c r="AM11" i="5"/>
  <c r="AX11" i="5"/>
  <c r="BA12" i="5"/>
  <c r="BK12" i="5"/>
  <c r="AB13" i="5"/>
  <c r="AH18" i="5"/>
  <c r="BK18" i="5"/>
  <c r="L12" i="5"/>
  <c r="J12" i="5"/>
  <c r="AV13" i="5"/>
  <c r="AY13" i="5"/>
  <c r="AP13" i="5"/>
  <c r="AX13" i="5"/>
  <c r="AO13" i="5"/>
  <c r="I8" i="5"/>
  <c r="I10" i="5" s="1"/>
  <c r="R8" i="5"/>
  <c r="AK8" i="5"/>
  <c r="BC8" i="5"/>
  <c r="BC10" i="5" s="1"/>
  <c r="BL8" i="5"/>
  <c r="N9" i="5"/>
  <c r="N30" i="5" s="1"/>
  <c r="N38" i="17" s="1"/>
  <c r="AJ9" i="5"/>
  <c r="AJ10" i="5" s="1"/>
  <c r="AJ14" i="5" s="1"/>
  <c r="AT9" i="5"/>
  <c r="AT10" i="5" s="1"/>
  <c r="AT14" i="5" s="1"/>
  <c r="BE9" i="5"/>
  <c r="J11" i="5"/>
  <c r="T11" i="5"/>
  <c r="AO11" i="5"/>
  <c r="AY11" i="5"/>
  <c r="M12" i="5"/>
  <c r="AG12" i="5"/>
  <c r="AQ12" i="5"/>
  <c r="BB12" i="5"/>
  <c r="AQ13" i="5"/>
  <c r="V18" i="5"/>
  <c r="AL18" i="5"/>
  <c r="AC21" i="5"/>
  <c r="AQ21" i="5"/>
  <c r="BJ21" i="5"/>
  <c r="H24" i="5"/>
  <c r="V25" i="5"/>
  <c r="AU26" i="5"/>
  <c r="I27" i="5"/>
  <c r="V28" i="5"/>
  <c r="AU29" i="5"/>
  <c r="AU37" i="17" s="1"/>
  <c r="AT30" i="5"/>
  <c r="AT38" i="17" s="1"/>
  <c r="BH26" i="5"/>
  <c r="BH13" i="8" s="1"/>
  <c r="BH34" i="17" s="1"/>
  <c r="BE26" i="5"/>
  <c r="BC26" i="5"/>
  <c r="BL26" i="5"/>
  <c r="BB26" i="5"/>
  <c r="BK26" i="5"/>
  <c r="BA26" i="5"/>
  <c r="BI26" i="5"/>
  <c r="AN25" i="5"/>
  <c r="AN32" i="17" s="1"/>
  <c r="AF25" i="5"/>
  <c r="AK25" i="5"/>
  <c r="AC25" i="5"/>
  <c r="AD25" i="5"/>
  <c r="AM25" i="5"/>
  <c r="AL25" i="5"/>
  <c r="AI25" i="5"/>
  <c r="H18" i="14"/>
  <c r="F18" i="14"/>
  <c r="E18" i="14"/>
  <c r="I18" i="14"/>
  <c r="G18" i="14"/>
  <c r="K12" i="7"/>
  <c r="V20" i="8"/>
  <c r="AA20" i="8"/>
  <c r="R20" i="8"/>
  <c r="Z20" i="8"/>
  <c r="Q20" i="8"/>
  <c r="W20" i="8"/>
  <c r="T20" i="8"/>
  <c r="AB20" i="8"/>
  <c r="Y20" i="8"/>
  <c r="X20" i="8"/>
  <c r="S20" i="8"/>
  <c r="U20" i="8"/>
  <c r="AJ28" i="5"/>
  <c r="AG28" i="5"/>
  <c r="AH28" i="5"/>
  <c r="AE28" i="5"/>
  <c r="AN28" i="5"/>
  <c r="AD28" i="5"/>
  <c r="AM28" i="5"/>
  <c r="AC28" i="5"/>
  <c r="AK28" i="5"/>
  <c r="F9" i="10"/>
  <c r="E9" i="10"/>
  <c r="E9" i="9"/>
  <c r="AN11" i="5"/>
  <c r="AF11" i="5"/>
  <c r="AH11" i="5"/>
  <c r="P13" i="5"/>
  <c r="H13" i="5"/>
  <c r="N13" i="5"/>
  <c r="E13" i="5"/>
  <c r="M13" i="5"/>
  <c r="AV25" i="5"/>
  <c r="AS25" i="5"/>
  <c r="AY25" i="5"/>
  <c r="AO25" i="5"/>
  <c r="AX25" i="5"/>
  <c r="AW25" i="5"/>
  <c r="AT25" i="5"/>
  <c r="AL20" i="8"/>
  <c r="AD20" i="8"/>
  <c r="AJ20" i="8"/>
  <c r="AI20" i="8"/>
  <c r="AF20" i="8"/>
  <c r="AC20" i="8"/>
  <c r="AK20" i="8"/>
  <c r="AG20" i="8"/>
  <c r="AE20" i="8"/>
  <c r="AM20" i="8"/>
  <c r="AZ28" i="5"/>
  <c r="AR28" i="5"/>
  <c r="AW28" i="5"/>
  <c r="AO28" i="5"/>
  <c r="AS28" i="5"/>
  <c r="AP28" i="5"/>
  <c r="AY28" i="5"/>
  <c r="AX28" i="5"/>
  <c r="AU28" i="5"/>
  <c r="G9" i="10"/>
  <c r="F9" i="9"/>
  <c r="X13" i="5"/>
  <c r="W13" i="5"/>
  <c r="V13" i="5"/>
  <c r="E18" i="6"/>
  <c r="E19" i="6"/>
  <c r="BG15" i="7"/>
  <c r="AY15" i="7"/>
  <c r="AQ15" i="7"/>
  <c r="AI15" i="7"/>
  <c r="AA15" i="7"/>
  <c r="BK15" i="7"/>
  <c r="BB15" i="7"/>
  <c r="AS15" i="7"/>
  <c r="AJ15" i="7"/>
  <c r="Z15" i="7"/>
  <c r="R15" i="7"/>
  <c r="J15" i="7"/>
  <c r="BJ15" i="7"/>
  <c r="BA15" i="7"/>
  <c r="AR15" i="7"/>
  <c r="AH15" i="7"/>
  <c r="Y15" i="7"/>
  <c r="Q15" i="7"/>
  <c r="I15" i="7"/>
  <c r="BH15" i="7"/>
  <c r="AX15" i="7"/>
  <c r="AO15" i="7"/>
  <c r="AF15" i="7"/>
  <c r="W15" i="7"/>
  <c r="O15" i="7"/>
  <c r="G15" i="7"/>
  <c r="BF15" i="7"/>
  <c r="AW15" i="7"/>
  <c r="AN15" i="7"/>
  <c r="AE15" i="7"/>
  <c r="V15" i="7"/>
  <c r="N15" i="7"/>
  <c r="F15" i="7"/>
  <c r="BI15" i="7"/>
  <c r="AP15" i="7"/>
  <c r="X15" i="7"/>
  <c r="H15" i="7"/>
  <c r="BE15" i="7"/>
  <c r="AM15" i="7"/>
  <c r="U15" i="7"/>
  <c r="E15" i="7"/>
  <c r="BD15" i="7"/>
  <c r="AL15" i="7"/>
  <c r="T15" i="7"/>
  <c r="BC15" i="7"/>
  <c r="AK15" i="7"/>
  <c r="S15" i="7"/>
  <c r="AZ15" i="7"/>
  <c r="AG15" i="7"/>
  <c r="P15" i="7"/>
  <c r="AV15" i="7"/>
  <c r="AD15" i="7"/>
  <c r="M15" i="7"/>
  <c r="AU15" i="7"/>
  <c r="AC15" i="7"/>
  <c r="L15" i="7"/>
  <c r="BL15" i="7"/>
  <c r="AT15" i="7"/>
  <c r="AB15" i="7"/>
  <c r="K15" i="7"/>
  <c r="BL25" i="5"/>
  <c r="BD25" i="5"/>
  <c r="BI25" i="5"/>
  <c r="BI32" i="17" s="1"/>
  <c r="BA25" i="5"/>
  <c r="BJ25" i="5"/>
  <c r="BH25" i="5"/>
  <c r="BG25" i="5"/>
  <c r="BG32" i="17" s="1"/>
  <c r="BE25" i="5"/>
  <c r="K48" i="8"/>
  <c r="O48" i="8"/>
  <c r="F48" i="8"/>
  <c r="P49" i="8"/>
  <c r="N48" i="8"/>
  <c r="E48" i="8"/>
  <c r="E50" i="8" s="1"/>
  <c r="M48" i="8"/>
  <c r="H48" i="8"/>
  <c r="I48" i="8"/>
  <c r="N18" i="8"/>
  <c r="F18" i="8"/>
  <c r="G48" i="8"/>
  <c r="J49" i="8"/>
  <c r="L48" i="8"/>
  <c r="J18" i="8"/>
  <c r="I18" i="8"/>
  <c r="P48" i="8"/>
  <c r="J48" i="8"/>
  <c r="H18" i="8"/>
  <c r="E18" i="8"/>
  <c r="O18" i="8"/>
  <c r="P18" i="8"/>
  <c r="M18" i="8"/>
  <c r="L18" i="8"/>
  <c r="G18" i="8"/>
  <c r="K18" i="8"/>
  <c r="AS20" i="8"/>
  <c r="AR20" i="8"/>
  <c r="AV20" i="8"/>
  <c r="AQ20" i="8"/>
  <c r="AO20" i="8"/>
  <c r="AY20" i="8"/>
  <c r="AX20" i="8"/>
  <c r="AW20" i="8"/>
  <c r="AU20" i="8"/>
  <c r="AP20" i="8"/>
  <c r="BH28" i="5"/>
  <c r="BE28" i="5"/>
  <c r="BC28" i="5"/>
  <c r="BK28" i="5"/>
  <c r="BA28" i="5"/>
  <c r="BJ28" i="5"/>
  <c r="BI28" i="5"/>
  <c r="BF28" i="5"/>
  <c r="H9" i="10"/>
  <c r="G9" i="9"/>
  <c r="AA8" i="5"/>
  <c r="S8" i="5"/>
  <c r="BL11" i="5"/>
  <c r="BD11" i="5"/>
  <c r="BI11" i="5"/>
  <c r="AN13" i="5"/>
  <c r="AF13" i="5"/>
  <c r="AG13" i="5"/>
  <c r="AE13" i="5"/>
  <c r="I30" i="5"/>
  <c r="I38" i="17" s="1"/>
  <c r="M30" i="5"/>
  <c r="M38" i="17" s="1"/>
  <c r="AC14" i="7"/>
  <c r="AC16" i="7" s="1"/>
  <c r="L21" i="5"/>
  <c r="I21" i="5"/>
  <c r="P21" i="5"/>
  <c r="F21" i="5"/>
  <c r="O21" i="5"/>
  <c r="E21" i="5"/>
  <c r="M21" i="5"/>
  <c r="AO14" i="7"/>
  <c r="AO16" i="7" s="1"/>
  <c r="AO10" i="7"/>
  <c r="R26" i="7"/>
  <c r="R20" i="7"/>
  <c r="E14" i="14"/>
  <c r="J9" i="7"/>
  <c r="I9" i="7"/>
  <c r="O9" i="7"/>
  <c r="O10" i="7" s="1"/>
  <c r="G9" i="7"/>
  <c r="G10" i="7" s="1"/>
  <c r="N9" i="7"/>
  <c r="F9" i="7"/>
  <c r="P9" i="7"/>
  <c r="P10" i="7" s="1"/>
  <c r="M9" i="7"/>
  <c r="P14" i="7"/>
  <c r="P16" i="7" s="1"/>
  <c r="L9" i="7"/>
  <c r="O14" i="7"/>
  <c r="K9" i="7"/>
  <c r="H9" i="7"/>
  <c r="H10" i="7" s="1"/>
  <c r="E9" i="7"/>
  <c r="H14" i="7"/>
  <c r="H16" i="7" s="1"/>
  <c r="E32" i="6"/>
  <c r="E33" i="6" s="1"/>
  <c r="F15" i="14"/>
  <c r="W19" i="7"/>
  <c r="W20" i="7" s="1"/>
  <c r="U19" i="7"/>
  <c r="T19" i="7"/>
  <c r="T20" i="7" s="1"/>
  <c r="V26" i="7"/>
  <c r="AA19" i="7"/>
  <c r="R19" i="7"/>
  <c r="Z19" i="7"/>
  <c r="Q19" i="7"/>
  <c r="Q20" i="7" s="1"/>
  <c r="AB26" i="7"/>
  <c r="AB19" i="7"/>
  <c r="AB20" i="7" s="1"/>
  <c r="Y19" i="7"/>
  <c r="X19" i="7"/>
  <c r="V19" i="7"/>
  <c r="V20" i="7" s="1"/>
  <c r="S19" i="7"/>
  <c r="L26" i="5"/>
  <c r="I26" i="5"/>
  <c r="I13" i="8" s="1"/>
  <c r="I34" i="17" s="1"/>
  <c r="M26" i="5"/>
  <c r="M13" i="8" s="1"/>
  <c r="M34" i="17" s="1"/>
  <c r="K26" i="5"/>
  <c r="K13" i="8" s="1"/>
  <c r="K34" i="17" s="1"/>
  <c r="J26" i="5"/>
  <c r="G26" i="5"/>
  <c r="G13" i="8" s="1"/>
  <c r="G34" i="17" s="1"/>
  <c r="AZ24" i="5"/>
  <c r="AZ32" i="17" s="1"/>
  <c r="AR24" i="5"/>
  <c r="AW24" i="5"/>
  <c r="AW32" i="17" s="1"/>
  <c r="AO24" i="5"/>
  <c r="AT24" i="5"/>
  <c r="AT32" i="17" s="1"/>
  <c r="AS24" i="5"/>
  <c r="AP24" i="5"/>
  <c r="AP32" i="17" s="1"/>
  <c r="X27" i="5"/>
  <c r="X13" i="8" s="1"/>
  <c r="X34" i="17" s="1"/>
  <c r="U27" i="5"/>
  <c r="AA27" i="5"/>
  <c r="Q27" i="5"/>
  <c r="Z27" i="5"/>
  <c r="Z13" i="8" s="1"/>
  <c r="Z34" i="17" s="1"/>
  <c r="Y27" i="5"/>
  <c r="V27" i="5"/>
  <c r="AI48" i="8"/>
  <c r="AG48" i="8"/>
  <c r="AN49" i="8"/>
  <c r="AN20" i="8" s="1"/>
  <c r="AF48" i="8"/>
  <c r="AN48" i="8"/>
  <c r="AE48" i="8"/>
  <c r="AJ48" i="8"/>
  <c r="AH49" i="8"/>
  <c r="AH20" i="8" s="1"/>
  <c r="AL18" i="8"/>
  <c r="AD18" i="8"/>
  <c r="AM48" i="8"/>
  <c r="AL48" i="8"/>
  <c r="AD48" i="8"/>
  <c r="AH48" i="8"/>
  <c r="AK18" i="8"/>
  <c r="AC48" i="8"/>
  <c r="AJ18" i="8"/>
  <c r="AK48" i="8"/>
  <c r="AG18" i="8"/>
  <c r="AE18" i="8"/>
  <c r="AN18" i="8"/>
  <c r="AM18" i="8"/>
  <c r="AI18" i="8"/>
  <c r="AH18" i="8"/>
  <c r="AF18" i="8"/>
  <c r="AC18" i="8"/>
  <c r="X29" i="5"/>
  <c r="X37" i="17" s="1"/>
  <c r="U29" i="5"/>
  <c r="U37" i="17" s="1"/>
  <c r="AA29" i="5"/>
  <c r="AA37" i="17" s="1"/>
  <c r="Q29" i="5"/>
  <c r="Q37" i="17" s="1"/>
  <c r="Y29" i="5"/>
  <c r="Y37" i="17" s="1"/>
  <c r="W29" i="5"/>
  <c r="W37" i="17" s="1"/>
  <c r="V29" i="5"/>
  <c r="V37" i="17" s="1"/>
  <c r="S29" i="5"/>
  <c r="S37" i="17" s="1"/>
  <c r="I9" i="9"/>
  <c r="E15" i="9"/>
  <c r="E12" i="10"/>
  <c r="H25" i="10"/>
  <c r="G25" i="10"/>
  <c r="F25" i="10"/>
  <c r="Y9" i="5"/>
  <c r="Y30" i="5" s="1"/>
  <c r="Y38" i="17" s="1"/>
  <c r="AY8" i="5"/>
  <c r="AQ8" i="5"/>
  <c r="AB12" i="5"/>
  <c r="T12" i="5"/>
  <c r="S12" i="5"/>
  <c r="BL13" i="5"/>
  <c r="BD13" i="5"/>
  <c r="BH13" i="5"/>
  <c r="BG13" i="5"/>
  <c r="AC30" i="5"/>
  <c r="AC38" i="17" s="1"/>
  <c r="AH30" i="5"/>
  <c r="AH38" i="17" s="1"/>
  <c r="AJ30" i="5"/>
  <c r="AJ38" i="17" s="1"/>
  <c r="AB21" i="5"/>
  <c r="T21" i="5"/>
  <c r="Y21" i="5"/>
  <c r="Q21" i="5"/>
  <c r="AA21" i="5"/>
  <c r="Z21" i="5"/>
  <c r="W21" i="5"/>
  <c r="BA14" i="7"/>
  <c r="BA16" i="7" s="1"/>
  <c r="AD26" i="7"/>
  <c r="BL18" i="5"/>
  <c r="BD18" i="5"/>
  <c r="AV18" i="5"/>
  <c r="AN18" i="5"/>
  <c r="AF18" i="5"/>
  <c r="X18" i="5"/>
  <c r="P18" i="5"/>
  <c r="BI18" i="5"/>
  <c r="BA18" i="5"/>
  <c r="AS18" i="5"/>
  <c r="AK18" i="5"/>
  <c r="AC18" i="5"/>
  <c r="U18" i="5"/>
  <c r="M18" i="5"/>
  <c r="BF18" i="5"/>
  <c r="AU18" i="5"/>
  <c r="AJ18" i="5"/>
  <c r="Z18" i="5"/>
  <c r="O18" i="5"/>
  <c r="BE18" i="5"/>
  <c r="AT18" i="5"/>
  <c r="AI18" i="5"/>
  <c r="Y18" i="5"/>
  <c r="N18" i="5"/>
  <c r="F14" i="14"/>
  <c r="Z9" i="7"/>
  <c r="R9" i="7"/>
  <c r="Y9" i="7"/>
  <c r="Q9" i="7"/>
  <c r="W9" i="7"/>
  <c r="W10" i="7" s="1"/>
  <c r="V9" i="7"/>
  <c r="AB9" i="7"/>
  <c r="AA9" i="7"/>
  <c r="X9" i="7"/>
  <c r="X10" i="7" s="1"/>
  <c r="U9" i="7"/>
  <c r="X14" i="7"/>
  <c r="X16" i="7" s="1"/>
  <c r="T9" i="7"/>
  <c r="S9" i="7"/>
  <c r="E40" i="6"/>
  <c r="E39" i="6"/>
  <c r="G15" i="14"/>
  <c r="AM19" i="7"/>
  <c r="AM20" i="7" s="1"/>
  <c r="AE19" i="7"/>
  <c r="AE20" i="7" s="1"/>
  <c r="AN19" i="7"/>
  <c r="AD19" i="7"/>
  <c r="AD20" i="7" s="1"/>
  <c r="AL19" i="7"/>
  <c r="AL20" i="7" s="1"/>
  <c r="AC19" i="7"/>
  <c r="AC20" i="7" s="1"/>
  <c r="AJ19" i="7"/>
  <c r="AJ20" i="7" s="1"/>
  <c r="AE26" i="7"/>
  <c r="AI19" i="7"/>
  <c r="AL26" i="7"/>
  <c r="AF19" i="7"/>
  <c r="AK19" i="7"/>
  <c r="AH19" i="7"/>
  <c r="AG19" i="7"/>
  <c r="AB26" i="5"/>
  <c r="AB13" i="8" s="1"/>
  <c r="AB34" i="17" s="1"/>
  <c r="T26" i="5"/>
  <c r="Y26" i="5"/>
  <c r="Y13" i="8" s="1"/>
  <c r="Y34" i="17" s="1"/>
  <c r="Q26" i="5"/>
  <c r="W26" i="5"/>
  <c r="V26" i="5"/>
  <c r="V13" i="8" s="1"/>
  <c r="V34" i="17" s="1"/>
  <c r="U26" i="5"/>
  <c r="U13" i="8" s="1"/>
  <c r="U34" i="17" s="1"/>
  <c r="R26" i="5"/>
  <c r="BH24" i="5"/>
  <c r="BH32" i="17" s="1"/>
  <c r="BE24" i="5"/>
  <c r="BE32" i="17" s="1"/>
  <c r="BD24" i="5"/>
  <c r="BD32" i="17" s="1"/>
  <c r="BC24" i="5"/>
  <c r="BK24" i="5"/>
  <c r="BK32" i="17" s="1"/>
  <c r="BA24" i="5"/>
  <c r="AN27" i="5"/>
  <c r="AF27" i="5"/>
  <c r="AK27" i="5"/>
  <c r="AC27" i="5"/>
  <c r="AL27" i="5"/>
  <c r="AJ27" i="5"/>
  <c r="AI27" i="5"/>
  <c r="AG27" i="5"/>
  <c r="AY48" i="8"/>
  <c r="AQ48" i="8"/>
  <c r="AZ48" i="8"/>
  <c r="AP48" i="8"/>
  <c r="AX48" i="8"/>
  <c r="AO48" i="8"/>
  <c r="AW48" i="8"/>
  <c r="AS48" i="8"/>
  <c r="AT48" i="8"/>
  <c r="AT18" i="8"/>
  <c r="AT49" i="8"/>
  <c r="AT20" i="8" s="1"/>
  <c r="AR48" i="8"/>
  <c r="AZ49" i="8"/>
  <c r="AZ20" i="8" s="1"/>
  <c r="AV48" i="8"/>
  <c r="AU18" i="8"/>
  <c r="AS18" i="8"/>
  <c r="AU48" i="8"/>
  <c r="AR18" i="8"/>
  <c r="AP18" i="8"/>
  <c r="AY18" i="8"/>
  <c r="AZ18" i="8"/>
  <c r="AX18" i="8"/>
  <c r="AW18" i="8"/>
  <c r="AV18" i="8"/>
  <c r="AO18" i="8"/>
  <c r="AQ18" i="8"/>
  <c r="AN29" i="5"/>
  <c r="AN37" i="17" s="1"/>
  <c r="AF29" i="5"/>
  <c r="AF37" i="17" s="1"/>
  <c r="AK29" i="5"/>
  <c r="AK37" i="17" s="1"/>
  <c r="AC29" i="5"/>
  <c r="AC37" i="17" s="1"/>
  <c r="AL29" i="5"/>
  <c r="AL37" i="17" s="1"/>
  <c r="AI29" i="5"/>
  <c r="AI37" i="17" s="1"/>
  <c r="AH29" i="5"/>
  <c r="AH37" i="17" s="1"/>
  <c r="AG29" i="5"/>
  <c r="AG37" i="17" s="1"/>
  <c r="AD29" i="5"/>
  <c r="AD37" i="17" s="1"/>
  <c r="F15" i="9"/>
  <c r="F12" i="10"/>
  <c r="I25" i="10"/>
  <c r="I26" i="10" s="1"/>
  <c r="J8" i="5"/>
  <c r="T8" i="5"/>
  <c r="AC8" i="5"/>
  <c r="AC10" i="5" s="1"/>
  <c r="AC14" i="5" s="1"/>
  <c r="AL8" i="5"/>
  <c r="AU8" i="5"/>
  <c r="BD8" i="5"/>
  <c r="E9" i="5"/>
  <c r="E30" i="5" s="1"/>
  <c r="E38" i="17" s="1"/>
  <c r="O9" i="5"/>
  <c r="O30" i="5" s="1"/>
  <c r="O38" i="17" s="1"/>
  <c r="AA9" i="5"/>
  <c r="AA30" i="5" s="1"/>
  <c r="AA38" i="17" s="1"/>
  <c r="AK9" i="5"/>
  <c r="AU9" i="5"/>
  <c r="K11" i="5"/>
  <c r="U11" i="5"/>
  <c r="AE11" i="5"/>
  <c r="BA11" i="5"/>
  <c r="BK11" i="5"/>
  <c r="N12" i="5"/>
  <c r="X12" i="5"/>
  <c r="AS12" i="5"/>
  <c r="BC12" i="5"/>
  <c r="G13" i="5"/>
  <c r="S13" i="5"/>
  <c r="AD13" i="5"/>
  <c r="AR13" i="5"/>
  <c r="BC13" i="5"/>
  <c r="W18" i="5"/>
  <c r="AM18" i="5"/>
  <c r="AZ18" i="5"/>
  <c r="K21" i="5"/>
  <c r="AT21" i="5"/>
  <c r="BK21" i="5"/>
  <c r="K24" i="5"/>
  <c r="AC24" i="5"/>
  <c r="AU24" i="5"/>
  <c r="BJ24" i="5"/>
  <c r="BJ32" i="17" s="1"/>
  <c r="W25" i="5"/>
  <c r="AR25" i="5"/>
  <c r="F26" i="5"/>
  <c r="F13" i="8" s="1"/>
  <c r="F34" i="17" s="1"/>
  <c r="AA26" i="5"/>
  <c r="AA13" i="8" s="1"/>
  <c r="AA34" i="17" s="1"/>
  <c r="AV26" i="5"/>
  <c r="AV13" i="8" s="1"/>
  <c r="AV34" i="17" s="1"/>
  <c r="J27" i="5"/>
  <c r="AE27" i="5"/>
  <c r="BC27" i="5"/>
  <c r="X28" i="5"/>
  <c r="BB28" i="5"/>
  <c r="T29" i="5"/>
  <c r="T37" i="17" s="1"/>
  <c r="AV11" i="5"/>
  <c r="AZ11" i="5"/>
  <c r="AQ11" i="5"/>
  <c r="Q14" i="7"/>
  <c r="Q16" i="7" s="1"/>
  <c r="Q10" i="7"/>
  <c r="AB24" i="5"/>
  <c r="AB32" i="17" s="1"/>
  <c r="T24" i="5"/>
  <c r="T32" i="17" s="1"/>
  <c r="Y24" i="5"/>
  <c r="Q24" i="5"/>
  <c r="X24" i="5"/>
  <c r="W24" i="5"/>
  <c r="W32" i="17" s="1"/>
  <c r="U24" i="5"/>
  <c r="AJ12" i="5"/>
  <c r="AL12" i="5"/>
  <c r="AC12" i="5"/>
  <c r="BL9" i="5"/>
  <c r="BD9" i="5"/>
  <c r="BD30" i="5" s="1"/>
  <c r="BD38" i="17" s="1"/>
  <c r="AV9" i="5"/>
  <c r="AN9" i="5"/>
  <c r="AN30" i="5" s="1"/>
  <c r="AN38" i="17" s="1"/>
  <c r="AF9" i="5"/>
  <c r="AF30" i="5" s="1"/>
  <c r="AF38" i="17" s="1"/>
  <c r="X9" i="5"/>
  <c r="P9" i="5"/>
  <c r="P30" i="5" s="1"/>
  <c r="P38" i="17" s="1"/>
  <c r="H9" i="5"/>
  <c r="BJ9" i="5"/>
  <c r="BA9" i="5"/>
  <c r="BA30" i="5" s="1"/>
  <c r="BA38" i="17" s="1"/>
  <c r="AR9" i="5"/>
  <c r="AI9" i="5"/>
  <c r="AI10" i="5" s="1"/>
  <c r="AI14" i="5" s="1"/>
  <c r="Z9" i="5"/>
  <c r="Z30" i="5" s="1"/>
  <c r="Z38" i="17" s="1"/>
  <c r="Q9" i="5"/>
  <c r="Q30" i="5" s="1"/>
  <c r="Q38" i="17" s="1"/>
  <c r="G9" i="5"/>
  <c r="G30" i="5" s="1"/>
  <c r="G38" i="17" s="1"/>
  <c r="AU30" i="5"/>
  <c r="AU38" i="17" s="1"/>
  <c r="AR30" i="5"/>
  <c r="AR38" i="17" s="1"/>
  <c r="AS30" i="5"/>
  <c r="AS38" i="17" s="1"/>
  <c r="AV30" i="5"/>
  <c r="AV38" i="17" s="1"/>
  <c r="AJ21" i="5"/>
  <c r="AG21" i="5"/>
  <c r="AL21" i="5"/>
  <c r="AK21" i="5"/>
  <c r="AH21" i="5"/>
  <c r="AP26" i="7"/>
  <c r="G14" i="14"/>
  <c r="AH9" i="7"/>
  <c r="AG9" i="7"/>
  <c r="AG10" i="7" s="1"/>
  <c r="AM9" i="7"/>
  <c r="AE9" i="7"/>
  <c r="AL9" i="7"/>
  <c r="AD9" i="7"/>
  <c r="AJ14" i="7"/>
  <c r="AJ16" i="7" s="1"/>
  <c r="AF9" i="7"/>
  <c r="AF10" i="7" s="1"/>
  <c r="AC9" i="7"/>
  <c r="AC10" i="7" s="1"/>
  <c r="AN9" i="7"/>
  <c r="AN10" i="7" s="1"/>
  <c r="AK9" i="7"/>
  <c r="AN14" i="7"/>
  <c r="AN16" i="7" s="1"/>
  <c r="AJ9" i="7"/>
  <c r="AJ10" i="7" s="1"/>
  <c r="AI9" i="7"/>
  <c r="E23" i="10"/>
  <c r="E24" i="10" s="1"/>
  <c r="E27" i="10" s="1"/>
  <c r="H15" i="14"/>
  <c r="AU19" i="7"/>
  <c r="AU20" i="7" s="1"/>
  <c r="AW19" i="7"/>
  <c r="AW20" i="7" s="1"/>
  <c r="AV19" i="7"/>
  <c r="AT26" i="7"/>
  <c r="AS19" i="7"/>
  <c r="AR19" i="7"/>
  <c r="AX19" i="7"/>
  <c r="AX20" i="7" s="1"/>
  <c r="AT19" i="7"/>
  <c r="AT20" i="7" s="1"/>
  <c r="AQ19" i="7"/>
  <c r="AP19" i="7"/>
  <c r="AP20" i="7" s="1"/>
  <c r="AO19" i="7"/>
  <c r="AX26" i="7"/>
  <c r="AZ19" i="7"/>
  <c r="AZ20" i="7" s="1"/>
  <c r="AY19" i="7"/>
  <c r="AJ26" i="5"/>
  <c r="AJ13" i="8" s="1"/>
  <c r="AJ34" i="17" s="1"/>
  <c r="AG26" i="5"/>
  <c r="AG13" i="8" s="1"/>
  <c r="AG34" i="17" s="1"/>
  <c r="AH26" i="5"/>
  <c r="AH13" i="8" s="1"/>
  <c r="AH34" i="17" s="1"/>
  <c r="AF26" i="5"/>
  <c r="AF13" i="8" s="1"/>
  <c r="AF34" i="17" s="1"/>
  <c r="AE26" i="5"/>
  <c r="AM26" i="5"/>
  <c r="AM13" i="8" s="1"/>
  <c r="AM34" i="17" s="1"/>
  <c r="AC26" i="5"/>
  <c r="AC13" i="8" s="1"/>
  <c r="P25" i="5"/>
  <c r="H25" i="5"/>
  <c r="M25" i="5"/>
  <c r="E25" i="5"/>
  <c r="E32" i="17" s="1"/>
  <c r="I25" i="5"/>
  <c r="G25" i="5"/>
  <c r="F25" i="5"/>
  <c r="N25" i="5"/>
  <c r="AV27" i="5"/>
  <c r="AS27" i="5"/>
  <c r="AY27" i="5"/>
  <c r="AW27" i="5"/>
  <c r="AU27" i="5"/>
  <c r="AT27" i="5"/>
  <c r="AT13" i="8" s="1"/>
  <c r="AT34" i="17" s="1"/>
  <c r="AQ27" i="5"/>
  <c r="BG48" i="8"/>
  <c r="BI48" i="8"/>
  <c r="BL49" i="8"/>
  <c r="BL20" i="8" s="1"/>
  <c r="BH48" i="8"/>
  <c r="BF48" i="8"/>
  <c r="BK48" i="8"/>
  <c r="BB48" i="8"/>
  <c r="BF49" i="8"/>
  <c r="BF20" i="8" s="1"/>
  <c r="BL48" i="8"/>
  <c r="BJ18" i="8"/>
  <c r="BB18" i="8"/>
  <c r="BJ48" i="8"/>
  <c r="BE48" i="8"/>
  <c r="BD48" i="8"/>
  <c r="BD18" i="8"/>
  <c r="BL18" i="8"/>
  <c r="BC18" i="8"/>
  <c r="BC48" i="8"/>
  <c r="BA48" i="8"/>
  <c r="BF18" i="8"/>
  <c r="BA18" i="8"/>
  <c r="BK18" i="8"/>
  <c r="BG18" i="8"/>
  <c r="BE18" i="8"/>
  <c r="BH18" i="8"/>
  <c r="BI18" i="8"/>
  <c r="L28" i="5"/>
  <c r="I28" i="5"/>
  <c r="M28" i="5"/>
  <c r="J28" i="5"/>
  <c r="H28" i="5"/>
  <c r="G28" i="5"/>
  <c r="O28" i="5"/>
  <c r="E28" i="5"/>
  <c r="AV29" i="5"/>
  <c r="AV37" i="17" s="1"/>
  <c r="AS29" i="5"/>
  <c r="AS37" i="17" s="1"/>
  <c r="AW29" i="5"/>
  <c r="AW37" i="17" s="1"/>
  <c r="AT29" i="5"/>
  <c r="AT37" i="17" s="1"/>
  <c r="AR29" i="5"/>
  <c r="AR37" i="17" s="1"/>
  <c r="AQ29" i="5"/>
  <c r="AQ37" i="17" s="1"/>
  <c r="AY29" i="5"/>
  <c r="AY37" i="17" s="1"/>
  <c r="AO29" i="5"/>
  <c r="AO37" i="17" s="1"/>
  <c r="L8" i="5"/>
  <c r="U8" i="5"/>
  <c r="AD10" i="5"/>
  <c r="AD14" i="5" s="1"/>
  <c r="AV10" i="5"/>
  <c r="BE8" i="5"/>
  <c r="BE10" i="5" s="1"/>
  <c r="F9" i="5"/>
  <c r="F30" i="5" s="1"/>
  <c r="F38" i="17" s="1"/>
  <c r="R9" i="5"/>
  <c r="R30" i="5" s="1"/>
  <c r="R38" i="17" s="1"/>
  <c r="AB9" i="5"/>
  <c r="AB10" i="5" s="1"/>
  <c r="AB14" i="5" s="1"/>
  <c r="AL9" i="5"/>
  <c r="AL30" i="5" s="1"/>
  <c r="AL38" i="17" s="1"/>
  <c r="AW9" i="5"/>
  <c r="AW10" i="5" s="1"/>
  <c r="AW14" i="5" s="1"/>
  <c r="BG9" i="5"/>
  <c r="BG10" i="5" s="1"/>
  <c r="BG14" i="5" s="1"/>
  <c r="L11" i="5"/>
  <c r="V11" i="5"/>
  <c r="AG11" i="5"/>
  <c r="AR11" i="5"/>
  <c r="BB11" i="5"/>
  <c r="AI12" i="5"/>
  <c r="BE12" i="5"/>
  <c r="I13" i="5"/>
  <c r="T13" i="5"/>
  <c r="AH13" i="5"/>
  <c r="AA18" i="5"/>
  <c r="AO18" i="5"/>
  <c r="BB18" i="5"/>
  <c r="AE21" i="5"/>
  <c r="BL21" i="5"/>
  <c r="O24" i="5"/>
  <c r="AD32" i="17"/>
  <c r="AV32" i="17"/>
  <c r="BL32" i="17"/>
  <c r="AU25" i="5"/>
  <c r="H13" i="8"/>
  <c r="H34" i="17" s="1"/>
  <c r="AD26" i="5"/>
  <c r="AD13" i="8" s="1"/>
  <c r="AD34" i="17" s="1"/>
  <c r="AY26" i="5"/>
  <c r="AY13" i="8" s="1"/>
  <c r="AY34" i="17" s="1"/>
  <c r="L27" i="5"/>
  <c r="AA28" i="5"/>
  <c r="BD28" i="5"/>
  <c r="AZ29" i="5"/>
  <c r="AZ37" i="17" s="1"/>
  <c r="AZ12" i="5"/>
  <c r="AR12" i="5"/>
  <c r="AU12" i="5"/>
  <c r="BG30" i="5"/>
  <c r="BG38" i="17" s="1"/>
  <c r="BJ30" i="5"/>
  <c r="BJ38" i="17" s="1"/>
  <c r="BE30" i="5"/>
  <c r="BE38" i="17" s="1"/>
  <c r="BL30" i="5"/>
  <c r="BL38" i="17" s="1"/>
  <c r="BH30" i="5"/>
  <c r="BH38" i="17" s="1"/>
  <c r="AZ21" i="5"/>
  <c r="AR21" i="5"/>
  <c r="AW21" i="5"/>
  <c r="AO21" i="5"/>
  <c r="AV21" i="5"/>
  <c r="AU21" i="5"/>
  <c r="AS21" i="5"/>
  <c r="E25" i="18"/>
  <c r="E47" i="18" s="1"/>
  <c r="BB18" i="7"/>
  <c r="I15" i="14"/>
  <c r="BK19" i="7"/>
  <c r="BK20" i="7" s="1"/>
  <c r="BC19" i="7"/>
  <c r="BC20" i="7" s="1"/>
  <c r="BF19" i="7"/>
  <c r="BE19" i="7"/>
  <c r="BE20" i="7" s="1"/>
  <c r="BL19" i="7"/>
  <c r="BB19" i="7"/>
  <c r="BC26" i="7"/>
  <c r="BJ19" i="7"/>
  <c r="BA19" i="7"/>
  <c r="BI19" i="7"/>
  <c r="BL26" i="7"/>
  <c r="BH19" i="7"/>
  <c r="BH20" i="7" s="1"/>
  <c r="BK26" i="7"/>
  <c r="BG19" i="7"/>
  <c r="BD19" i="7"/>
  <c r="BD20" i="7" s="1"/>
  <c r="BK27" i="7"/>
  <c r="BC27" i="7"/>
  <c r="AU27" i="7"/>
  <c r="AM27" i="7"/>
  <c r="AE27" i="7"/>
  <c r="W27" i="7"/>
  <c r="O27" i="7"/>
  <c r="G27" i="7"/>
  <c r="BD27" i="7"/>
  <c r="AT27" i="7"/>
  <c r="AK27" i="7"/>
  <c r="AB27" i="7"/>
  <c r="S27" i="7"/>
  <c r="J27" i="7"/>
  <c r="BI27" i="7"/>
  <c r="AZ27" i="7"/>
  <c r="AQ27" i="7"/>
  <c r="AH27" i="7"/>
  <c r="Y27" i="7"/>
  <c r="P27" i="7"/>
  <c r="F27" i="7"/>
  <c r="BJ27" i="7"/>
  <c r="AX27" i="7"/>
  <c r="AL27" i="7"/>
  <c r="Z27" i="7"/>
  <c r="M27" i="7"/>
  <c r="BH27" i="7"/>
  <c r="AW27" i="7"/>
  <c r="AJ27" i="7"/>
  <c r="X27" i="7"/>
  <c r="L27" i="7"/>
  <c r="BG27" i="7"/>
  <c r="AV27" i="7"/>
  <c r="AI27" i="7"/>
  <c r="V27" i="7"/>
  <c r="K27" i="7"/>
  <c r="BF27" i="7"/>
  <c r="AS27" i="7"/>
  <c r="AG27" i="7"/>
  <c r="U27" i="7"/>
  <c r="I27" i="7"/>
  <c r="BE27" i="7"/>
  <c r="AR27" i="7"/>
  <c r="AF27" i="7"/>
  <c r="T27" i="7"/>
  <c r="H27" i="7"/>
  <c r="BB27" i="7"/>
  <c r="AP27" i="7"/>
  <c r="AD27" i="7"/>
  <c r="R27" i="7"/>
  <c r="E27" i="7"/>
  <c r="AA27" i="7"/>
  <c r="Q27" i="7"/>
  <c r="BL27" i="7"/>
  <c r="N27" i="7"/>
  <c r="BA27" i="7"/>
  <c r="AY27" i="7"/>
  <c r="AO27" i="7"/>
  <c r="AN27" i="7"/>
  <c r="AC27" i="7"/>
  <c r="X25" i="5"/>
  <c r="U25" i="5"/>
  <c r="S25" i="5"/>
  <c r="AB25" i="5"/>
  <c r="R25" i="5"/>
  <c r="AA25" i="5"/>
  <c r="AA32" i="17" s="1"/>
  <c r="Q25" i="5"/>
  <c r="Y25" i="5"/>
  <c r="BL27" i="5"/>
  <c r="BD27" i="5"/>
  <c r="BI27" i="5"/>
  <c r="BA27" i="5"/>
  <c r="BJ27" i="5"/>
  <c r="BG27" i="5"/>
  <c r="BF27" i="5"/>
  <c r="BE27" i="5"/>
  <c r="BB27" i="5"/>
  <c r="N20" i="8"/>
  <c r="F20" i="8"/>
  <c r="I20" i="8"/>
  <c r="H20" i="8"/>
  <c r="K20" i="8"/>
  <c r="G20" i="8"/>
  <c r="P20" i="8"/>
  <c r="O20" i="8"/>
  <c r="M20" i="8"/>
  <c r="L20" i="8"/>
  <c r="J20" i="8"/>
  <c r="E21" i="8"/>
  <c r="E20" i="8"/>
  <c r="BL29" i="5"/>
  <c r="BL37" i="17" s="1"/>
  <c r="BD29" i="5"/>
  <c r="BD37" i="17" s="1"/>
  <c r="BI29" i="5"/>
  <c r="BI37" i="17" s="1"/>
  <c r="BA29" i="5"/>
  <c r="BA37" i="17" s="1"/>
  <c r="BG29" i="5"/>
  <c r="BG37" i="17" s="1"/>
  <c r="BE29" i="5"/>
  <c r="BE37" i="17" s="1"/>
  <c r="BC29" i="5"/>
  <c r="BC37" i="17" s="1"/>
  <c r="BB29" i="5"/>
  <c r="BB37" i="17" s="1"/>
  <c r="BJ29" i="5"/>
  <c r="BJ37" i="17" s="1"/>
  <c r="H12" i="10"/>
  <c r="H15" i="9"/>
  <c r="S9" i="5"/>
  <c r="S30" i="5" s="1"/>
  <c r="S38" i="17" s="1"/>
  <c r="AM9" i="5"/>
  <c r="AM10" i="5" s="1"/>
  <c r="AM14" i="5" s="1"/>
  <c r="AX9" i="5"/>
  <c r="AX10" i="5" s="1"/>
  <c r="AX14" i="5" s="1"/>
  <c r="M11" i="5"/>
  <c r="AV12" i="5"/>
  <c r="AP18" i="5"/>
  <c r="BC18" i="5"/>
  <c r="AY21" i="5"/>
  <c r="P24" i="5"/>
  <c r="P32" i="17" s="1"/>
  <c r="AF32" i="17"/>
  <c r="AX32" i="17"/>
  <c r="N13" i="8"/>
  <c r="N34" i="17" s="1"/>
  <c r="AI26" i="5"/>
  <c r="AI13" i="8" s="1"/>
  <c r="AI34" i="17" s="1"/>
  <c r="BD26" i="5"/>
  <c r="R27" i="5"/>
  <c r="BK27" i="5"/>
  <c r="AF28" i="5"/>
  <c r="BG28" i="5"/>
  <c r="AB29" i="5"/>
  <c r="AB37" i="17" s="1"/>
  <c r="BF29" i="5"/>
  <c r="BF37" i="17" s="1"/>
  <c r="X30" i="5"/>
  <c r="X38" i="17" s="1"/>
  <c r="BF30" i="5"/>
  <c r="BF38" i="17" s="1"/>
  <c r="I12" i="10"/>
  <c r="I15" i="9"/>
  <c r="F26" i="10"/>
  <c r="E8" i="5"/>
  <c r="E10" i="5" s="1"/>
  <c r="E14" i="5" s="1"/>
  <c r="N8" i="5"/>
  <c r="N10" i="5" s="1"/>
  <c r="N14" i="5" s="1"/>
  <c r="W8" i="5"/>
  <c r="W10" i="5" s="1"/>
  <c r="W14" i="5" s="1"/>
  <c r="AF8" i="5"/>
  <c r="AF10" i="5" s="1"/>
  <c r="AF14" i="5" s="1"/>
  <c r="BH8" i="5"/>
  <c r="BH10" i="5" s="1"/>
  <c r="J9" i="5"/>
  <c r="J30" i="5" s="1"/>
  <c r="J38" i="17" s="1"/>
  <c r="T9" i="5"/>
  <c r="T30" i="5" s="1"/>
  <c r="T38" i="17" s="1"/>
  <c r="AD9" i="5"/>
  <c r="AD30" i="5" s="1"/>
  <c r="AD38" i="17" s="1"/>
  <c r="AO9" i="5"/>
  <c r="AO10" i="5" s="1"/>
  <c r="AY9" i="5"/>
  <c r="AY30" i="5" s="1"/>
  <c r="AY38" i="17" s="1"/>
  <c r="BI9" i="5"/>
  <c r="N11" i="5"/>
  <c r="AJ11" i="5"/>
  <c r="AT11" i="5"/>
  <c r="BE11" i="5"/>
  <c r="G12" i="5"/>
  <c r="AM12" i="5"/>
  <c r="AW12" i="5"/>
  <c r="K13" i="5"/>
  <c r="Y13" i="5"/>
  <c r="AJ13" i="5"/>
  <c r="AU13" i="5"/>
  <c r="Q18" i="5"/>
  <c r="AD18" i="5"/>
  <c r="AQ18" i="5"/>
  <c r="BG18" i="5"/>
  <c r="AI21" i="5"/>
  <c r="R24" i="5"/>
  <c r="AK24" i="5"/>
  <c r="AK32" i="17" s="1"/>
  <c r="AY24" i="5"/>
  <c r="AY32" i="17" s="1"/>
  <c r="K25" i="5"/>
  <c r="AG25" i="5"/>
  <c r="BB25" i="5"/>
  <c r="O26" i="5"/>
  <c r="O13" i="8" s="1"/>
  <c r="O34" i="17" s="1"/>
  <c r="AK26" i="5"/>
  <c r="AK13" i="8" s="1"/>
  <c r="AK34" i="17" s="1"/>
  <c r="BF26" i="5"/>
  <c r="BF13" i="8" s="1"/>
  <c r="BF34" i="17" s="1"/>
  <c r="S27" i="5"/>
  <c r="AO27" i="5"/>
  <c r="F28" i="5"/>
  <c r="AI28" i="5"/>
  <c r="BL28" i="5"/>
  <c r="BH29" i="5"/>
  <c r="BH37" i="17" s="1"/>
  <c r="BI30" i="5"/>
  <c r="BI38" i="17" s="1"/>
  <c r="X11" i="5"/>
  <c r="Y11" i="5"/>
  <c r="BH12" i="5"/>
  <c r="BD12" i="5"/>
  <c r="BL12" i="5"/>
  <c r="BH21" i="5"/>
  <c r="BE21" i="5"/>
  <c r="BG21" i="5"/>
  <c r="BF21" i="5"/>
  <c r="BC21" i="5"/>
  <c r="I14" i="14"/>
  <c r="BF9" i="7"/>
  <c r="BE9" i="7"/>
  <c r="BK9" i="7"/>
  <c r="BK10" i="7" s="1"/>
  <c r="BC9" i="7"/>
  <c r="BJ9" i="7"/>
  <c r="BB9" i="7"/>
  <c r="BL9" i="7"/>
  <c r="BI9" i="7"/>
  <c r="BI10" i="7" s="1"/>
  <c r="BH9" i="7"/>
  <c r="BK14" i="7"/>
  <c r="BK16" i="7" s="1"/>
  <c r="BG9" i="7"/>
  <c r="BD9" i="7"/>
  <c r="BA9" i="7"/>
  <c r="BA10" i="7" s="1"/>
  <c r="E35" i="14"/>
  <c r="G11" i="7"/>
  <c r="G45" i="6" s="1"/>
  <c r="G26" i="10"/>
  <c r="F8" i="5"/>
  <c r="F10" i="5" s="1"/>
  <c r="F14" i="5" s="1"/>
  <c r="O8" i="5"/>
  <c r="O10" i="5" s="1"/>
  <c r="O14" i="5" s="1"/>
  <c r="X8" i="5"/>
  <c r="X10" i="5" s="1"/>
  <c r="AG8" i="5"/>
  <c r="AP8" i="5"/>
  <c r="AP10" i="5" s="1"/>
  <c r="AP14" i="5" s="1"/>
  <c r="AZ8" i="5"/>
  <c r="AZ10" i="5" s="1"/>
  <c r="AZ14" i="5" s="1"/>
  <c r="BI8" i="5"/>
  <c r="BI10" i="5" s="1"/>
  <c r="BI14" i="5" s="1"/>
  <c r="K9" i="5"/>
  <c r="K30" i="5" s="1"/>
  <c r="K38" i="17" s="1"/>
  <c r="U9" i="5"/>
  <c r="U30" i="5" s="1"/>
  <c r="U38" i="17" s="1"/>
  <c r="AE9" i="5"/>
  <c r="AE30" i="5" s="1"/>
  <c r="AE38" i="17" s="1"/>
  <c r="AP9" i="5"/>
  <c r="AP30" i="5" s="1"/>
  <c r="AP38" i="17" s="1"/>
  <c r="AZ9" i="5"/>
  <c r="AZ30" i="5" s="1"/>
  <c r="AZ38" i="17" s="1"/>
  <c r="BK9" i="5"/>
  <c r="BK30" i="5" s="1"/>
  <c r="BK38" i="17" s="1"/>
  <c r="E11" i="5"/>
  <c r="Q11" i="5"/>
  <c r="AA11" i="5"/>
  <c r="AK11" i="5"/>
  <c r="AU11" i="5"/>
  <c r="BF11" i="5"/>
  <c r="BF14" i="5" s="1"/>
  <c r="H12" i="5"/>
  <c r="R12" i="5"/>
  <c r="AD12" i="5"/>
  <c r="AN12" i="5"/>
  <c r="AX12" i="5"/>
  <c r="BI12" i="5"/>
  <c r="L13" i="5"/>
  <c r="Z13" i="5"/>
  <c r="AK13" i="5"/>
  <c r="AW13" i="5"/>
  <c r="BJ13" i="5"/>
  <c r="R18" i="5"/>
  <c r="AE18" i="5"/>
  <c r="AR18" i="5"/>
  <c r="BH18" i="5"/>
  <c r="U21" i="5"/>
  <c r="AM21" i="5"/>
  <c r="BB21" i="5"/>
  <c r="I10" i="4" s="1"/>
  <c r="S24" i="5"/>
  <c r="S32" i="17" s="1"/>
  <c r="AL24" i="5"/>
  <c r="AL32" i="17" s="1"/>
  <c r="BB24" i="5"/>
  <c r="L25" i="5"/>
  <c r="AH25" i="5"/>
  <c r="BC25" i="5"/>
  <c r="P26" i="5"/>
  <c r="P13" i="8" s="1"/>
  <c r="P34" i="17" s="1"/>
  <c r="AL26" i="5"/>
  <c r="AL13" i="8" s="1"/>
  <c r="AL34" i="17" s="1"/>
  <c r="BG26" i="5"/>
  <c r="T27" i="5"/>
  <c r="AP27" i="5"/>
  <c r="K28" i="5"/>
  <c r="AL28" i="5"/>
  <c r="G29" i="5"/>
  <c r="G37" i="17" s="1"/>
  <c r="AJ29" i="5"/>
  <c r="AJ37" i="17" s="1"/>
  <c r="BK29" i="5"/>
  <c r="BK37" i="17" s="1"/>
  <c r="M8" i="5"/>
  <c r="M10" i="5" s="1"/>
  <c r="M14" i="5" s="1"/>
  <c r="L24" i="5"/>
  <c r="I24" i="5"/>
  <c r="I32" i="17" s="1"/>
  <c r="N24" i="5"/>
  <c r="N32" i="17" s="1"/>
  <c r="M24" i="5"/>
  <c r="M32" i="17" s="1"/>
  <c r="J24" i="5"/>
  <c r="J32" i="17" s="1"/>
  <c r="H23" i="10"/>
  <c r="H26" i="10"/>
  <c r="G8" i="5"/>
  <c r="G10" i="5" s="1"/>
  <c r="P8" i="5"/>
  <c r="P10" i="5" s="1"/>
  <c r="P14" i="5" s="1"/>
  <c r="Y8" i="5"/>
  <c r="Y10" i="5" s="1"/>
  <c r="Y14" i="5" s="1"/>
  <c r="AH8" i="5"/>
  <c r="AH10" i="5" s="1"/>
  <c r="AR8" i="5"/>
  <c r="AR10" i="5" s="1"/>
  <c r="AR14" i="5" s="1"/>
  <c r="BA8" i="5"/>
  <c r="BA10" i="5" s="1"/>
  <c r="BA14" i="5" s="1"/>
  <c r="BJ8" i="5"/>
  <c r="BJ10" i="5" s="1"/>
  <c r="L9" i="5"/>
  <c r="L30" i="5" s="1"/>
  <c r="L38" i="17" s="1"/>
  <c r="V9" i="5"/>
  <c r="V10" i="5" s="1"/>
  <c r="V14" i="5" s="1"/>
  <c r="AG9" i="5"/>
  <c r="AG30" i="5" s="1"/>
  <c r="AG38" i="17" s="1"/>
  <c r="AQ9" i="5"/>
  <c r="AQ30" i="5" s="1"/>
  <c r="AQ38" i="17" s="1"/>
  <c r="BB9" i="5"/>
  <c r="BB30" i="5" s="1"/>
  <c r="BB38" i="17" s="1"/>
  <c r="G11" i="5"/>
  <c r="R11" i="5"/>
  <c r="AB11" i="5"/>
  <c r="AL11" i="5"/>
  <c r="AW11" i="5"/>
  <c r="BG11" i="5"/>
  <c r="I12" i="5"/>
  <c r="U12" i="5"/>
  <c r="AE12" i="5"/>
  <c r="AO12" i="5"/>
  <c r="AY12" i="5"/>
  <c r="BJ12" i="5"/>
  <c r="O13" i="5"/>
  <c r="AA13" i="5"/>
  <c r="AL13" i="5"/>
  <c r="AZ13" i="5"/>
  <c r="BK13" i="5"/>
  <c r="S18" i="5"/>
  <c r="AG18" i="5"/>
  <c r="AW18" i="5"/>
  <c r="BJ18" i="5"/>
  <c r="G21" i="5"/>
  <c r="V21" i="5"/>
  <c r="AN21" i="5"/>
  <c r="BD21" i="5"/>
  <c r="F24" i="5"/>
  <c r="F32" i="17" s="1"/>
  <c r="V24" i="5"/>
  <c r="V32" i="17" s="1"/>
  <c r="AM24" i="5"/>
  <c r="AM32" i="17" s="1"/>
  <c r="BF24" i="5"/>
  <c r="O25" i="5"/>
  <c r="AJ25" i="5"/>
  <c r="BF25" i="5"/>
  <c r="S26" i="5"/>
  <c r="AN26" i="5"/>
  <c r="AN13" i="8" s="1"/>
  <c r="AN34" i="17" s="1"/>
  <c r="BJ26" i="5"/>
  <c r="W27" i="5"/>
  <c r="AR27" i="5"/>
  <c r="N28" i="5"/>
  <c r="AQ28" i="5"/>
  <c r="J29" i="5"/>
  <c r="J37" i="17" s="1"/>
  <c r="AM29" i="5"/>
  <c r="AM37" i="17" s="1"/>
  <c r="H30" i="5"/>
  <c r="H38" i="17" s="1"/>
  <c r="AK30" i="5"/>
  <c r="AK38" i="17" s="1"/>
  <c r="E9" i="6"/>
  <c r="G15" i="9"/>
  <c r="G12" i="10"/>
  <c r="L14" i="7"/>
  <c r="L16" i="7" s="1"/>
  <c r="AU14" i="7"/>
  <c r="AU16" i="7" s="1"/>
  <c r="BD14" i="7"/>
  <c r="BD16" i="7" s="1"/>
  <c r="E47" i="6"/>
  <c r="BL14" i="7"/>
  <c r="BL16" i="7" s="1"/>
  <c r="AE14" i="7"/>
  <c r="AE16" i="7" s="1"/>
  <c r="AM14" i="7"/>
  <c r="AM16" i="7" s="1"/>
  <c r="AV14" i="7"/>
  <c r="AV16" i="7" s="1"/>
  <c r="BE14" i="7"/>
  <c r="BE16" i="7" s="1"/>
  <c r="W14" i="7"/>
  <c r="W16" i="7" s="1"/>
  <c r="AF14" i="7"/>
  <c r="AF16" i="7" s="1"/>
  <c r="AW14" i="7"/>
  <c r="AW16" i="7" s="1"/>
  <c r="G14" i="7"/>
  <c r="G16" i="7" s="1"/>
  <c r="AG14" i="7"/>
  <c r="AG16" i="7" s="1"/>
  <c r="AF20" i="7"/>
  <c r="AN26" i="7"/>
  <c r="AN28" i="7" s="1"/>
  <c r="Y14" i="7"/>
  <c r="Y16" i="7" s="1"/>
  <c r="BH14" i="7"/>
  <c r="BH16" i="7" s="1"/>
  <c r="I14" i="7"/>
  <c r="I16" i="7" s="1"/>
  <c r="AR14" i="7"/>
  <c r="AR16" i="7" s="1"/>
  <c r="Z20" i="7"/>
  <c r="T14" i="7"/>
  <c r="T16" i="7" s="1"/>
  <c r="AB14" i="7"/>
  <c r="AB16" i="7" s="1"/>
  <c r="BC14" i="7"/>
  <c r="BC16" i="7" s="1"/>
  <c r="J20" i="7"/>
  <c r="E14" i="7"/>
  <c r="E16" i="7" s="1"/>
  <c r="M14" i="7"/>
  <c r="M16" i="7" s="1"/>
  <c r="U14" i="7"/>
  <c r="U16" i="7" s="1"/>
  <c r="AD14" i="7"/>
  <c r="AD16" i="7" s="1"/>
  <c r="AL14" i="7"/>
  <c r="AL16" i="7" s="1"/>
  <c r="AT14" i="7"/>
  <c r="AT16" i="7" s="1"/>
  <c r="AM10" i="7"/>
  <c r="BC10" i="7"/>
  <c r="AJ26" i="7"/>
  <c r="AJ28" i="7" s="1"/>
  <c r="AR20" i="7"/>
  <c r="BI26" i="7"/>
  <c r="BI28" i="7" s="1"/>
  <c r="BI20" i="7"/>
  <c r="F14" i="7"/>
  <c r="F16" i="7" s="1"/>
  <c r="N14" i="7"/>
  <c r="N16" i="7" s="1"/>
  <c r="V14" i="7"/>
  <c r="V16" i="7" s="1"/>
  <c r="BD10" i="7"/>
  <c r="L20" i="7"/>
  <c r="T26" i="7"/>
  <c r="T28" i="7" s="1"/>
  <c r="AK26" i="7"/>
  <c r="AK28" i="7" s="1"/>
  <c r="AS26" i="7"/>
  <c r="AS28" i="7" s="1"/>
  <c r="BA20" i="7"/>
  <c r="BJ26" i="7"/>
  <c r="BJ28" i="7" s="1"/>
  <c r="I10" i="7"/>
  <c r="Y10" i="7"/>
  <c r="BE10" i="7"/>
  <c r="M26" i="7"/>
  <c r="M28" i="7" s="1"/>
  <c r="M20" i="7"/>
  <c r="U26" i="7"/>
  <c r="U28" i="7" s="1"/>
  <c r="U20" i="7"/>
  <c r="AC26" i="7"/>
  <c r="AC28" i="7" s="1"/>
  <c r="BA26" i="7"/>
  <c r="BA28" i="7" s="1"/>
  <c r="BF14" i="7"/>
  <c r="BF16" i="7" s="1"/>
  <c r="L10" i="7"/>
  <c r="AB10" i="7"/>
  <c r="AR10" i="7"/>
  <c r="BH10" i="7"/>
  <c r="E26" i="7"/>
  <c r="E28" i="7" s="1"/>
  <c r="AU26" i="7"/>
  <c r="AU28" i="7" s="1"/>
  <c r="BD26" i="7"/>
  <c r="BL20" i="7"/>
  <c r="AH14" i="7"/>
  <c r="AH16" i="7" s="1"/>
  <c r="AP14" i="7"/>
  <c r="AP16" i="7" s="1"/>
  <c r="AX14" i="7"/>
  <c r="AX16" i="7" s="1"/>
  <c r="BG14" i="7"/>
  <c r="BG16" i="7" s="1"/>
  <c r="AE10" i="7"/>
  <c r="AU10" i="7"/>
  <c r="G20" i="7"/>
  <c r="W26" i="7"/>
  <c r="W28" i="7" s="1"/>
  <c r="AF26" i="7"/>
  <c r="AF28" i="7" s="1"/>
  <c r="AN20" i="7"/>
  <c r="AV26" i="7"/>
  <c r="AV28" i="7" s="1"/>
  <c r="AV20" i="7"/>
  <c r="BE26" i="7"/>
  <c r="BE28" i="7" s="1"/>
  <c r="AK20" i="7"/>
  <c r="J14" i="7"/>
  <c r="J16" i="7" s="1"/>
  <c r="R14" i="7"/>
  <c r="R16" i="7" s="1"/>
  <c r="Z14" i="7"/>
  <c r="Z16" i="7" s="1"/>
  <c r="AI14" i="7"/>
  <c r="AI16" i="7" s="1"/>
  <c r="AQ14" i="7"/>
  <c r="AQ16" i="7" s="1"/>
  <c r="AY14" i="7"/>
  <c r="AY16" i="7" s="1"/>
  <c r="BL10" i="7"/>
  <c r="H26" i="7"/>
  <c r="H28" i="7" s="1"/>
  <c r="P20" i="7"/>
  <c r="X26" i="7"/>
  <c r="X28" i="7" s="1"/>
  <c r="X20" i="7"/>
  <c r="AG26" i="7"/>
  <c r="AG28" i="7" s="1"/>
  <c r="AG20" i="7"/>
  <c r="AO26" i="7"/>
  <c r="AO28" i="7" s="1"/>
  <c r="AW26" i="7"/>
  <c r="AW28" i="7" s="1"/>
  <c r="BF26" i="7"/>
  <c r="BF20" i="7"/>
  <c r="Z26" i="7"/>
  <c r="Z28" i="7" s="1"/>
  <c r="K14" i="7"/>
  <c r="K16" i="7" s="1"/>
  <c r="S14" i="7"/>
  <c r="S16" i="7" s="1"/>
  <c r="AA14" i="7"/>
  <c r="AA16" i="7" s="1"/>
  <c r="BI14" i="7"/>
  <c r="BI16" i="7" s="1"/>
  <c r="I26" i="7"/>
  <c r="Q26" i="7"/>
  <c r="Y26" i="7"/>
  <c r="Y28" i="7" s="1"/>
  <c r="Y20" i="7"/>
  <c r="AH20" i="7"/>
  <c r="AH26" i="7"/>
  <c r="AH28" i="7" s="1"/>
  <c r="E20" i="7"/>
  <c r="AO20" i="7"/>
  <c r="AK14" i="7"/>
  <c r="AK16" i="7" s="1"/>
  <c r="AS14" i="7"/>
  <c r="AS16" i="7" s="1"/>
  <c r="BB14" i="7"/>
  <c r="BB16" i="7" s="1"/>
  <c r="BJ14" i="7"/>
  <c r="BJ16" i="7" s="1"/>
  <c r="T10" i="7"/>
  <c r="J26" i="7"/>
  <c r="J28" i="7" s="1"/>
  <c r="BH26" i="7"/>
  <c r="BH28" i="7" s="1"/>
  <c r="AS20" i="7"/>
  <c r="J10" i="7"/>
  <c r="R10" i="7"/>
  <c r="Z10" i="7"/>
  <c r="AH10" i="7"/>
  <c r="AP10" i="7"/>
  <c r="AX10" i="7"/>
  <c r="BF10" i="7"/>
  <c r="K26" i="7"/>
  <c r="K28" i="7" s="1"/>
  <c r="S26" i="7"/>
  <c r="S28" i="7" s="1"/>
  <c r="AA26" i="7"/>
  <c r="AA28" i="7" s="1"/>
  <c r="AI26" i="7"/>
  <c r="AI28" i="7" s="1"/>
  <c r="AQ26" i="7"/>
  <c r="AQ28" i="7" s="1"/>
  <c r="AY26" i="7"/>
  <c r="AY28" i="7" s="1"/>
  <c r="BG26" i="7"/>
  <c r="BG28" i="7" s="1"/>
  <c r="AR26" i="7"/>
  <c r="AR28" i="7" s="1"/>
  <c r="K10" i="7"/>
  <c r="S10" i="7"/>
  <c r="AA10" i="7"/>
  <c r="AI10" i="7"/>
  <c r="AQ10" i="7"/>
  <c r="AY10" i="7"/>
  <c r="BG10" i="7"/>
  <c r="L26" i="7"/>
  <c r="AZ26" i="7"/>
  <c r="AZ28" i="7" s="1"/>
  <c r="E10" i="7"/>
  <c r="M10" i="7"/>
  <c r="U10" i="7"/>
  <c r="AK10" i="7"/>
  <c r="AS10" i="7"/>
  <c r="F10" i="7"/>
  <c r="N10" i="7"/>
  <c r="V10" i="7"/>
  <c r="AD10" i="7"/>
  <c r="AL10" i="7"/>
  <c r="AT10" i="7"/>
  <c r="BB10" i="7"/>
  <c r="BJ10" i="7"/>
  <c r="O26" i="7"/>
  <c r="O28" i="7" s="1"/>
  <c r="AM26" i="7"/>
  <c r="AM28" i="7" s="1"/>
  <c r="BJ20" i="7"/>
  <c r="E35" i="7"/>
  <c r="E31" i="7"/>
  <c r="G14" i="8"/>
  <c r="K20" i="7"/>
  <c r="S20" i="7"/>
  <c r="AA20" i="7"/>
  <c r="AI20" i="7"/>
  <c r="AQ20" i="7"/>
  <c r="AY20" i="7"/>
  <c r="BG20" i="7"/>
  <c r="E32" i="8"/>
  <c r="E49" i="9"/>
  <c r="F35" i="9"/>
  <c r="E39" i="17"/>
  <c r="E51" i="14"/>
  <c r="E41" i="9"/>
  <c r="E47" i="9"/>
  <c r="G40" i="16"/>
  <c r="G16" i="16"/>
  <c r="E22" i="16"/>
  <c r="E40" i="16" s="1"/>
  <c r="G34" i="16"/>
  <c r="E38" i="16"/>
  <c r="E61" i="18"/>
  <c r="E44" i="17"/>
  <c r="F22" i="19"/>
  <c r="F32" i="19" s="1"/>
  <c r="G32" i="19" s="1"/>
  <c r="F14" i="19"/>
  <c r="F25" i="19"/>
  <c r="G33" i="19"/>
  <c r="G44" i="17"/>
  <c r="E22" i="19"/>
  <c r="E25" i="19"/>
  <c r="G25" i="19"/>
  <c r="BE22" i="7" l="1"/>
  <c r="BE23" i="7"/>
  <c r="AP23" i="7"/>
  <c r="AP22" i="7"/>
  <c r="AW23" i="7"/>
  <c r="AW22" i="7"/>
  <c r="AI21" i="17"/>
  <c r="V21" i="17"/>
  <c r="BF21" i="17"/>
  <c r="AM21" i="17"/>
  <c r="AD23" i="7"/>
  <c r="AD22" i="7"/>
  <c r="F22" i="7"/>
  <c r="F23" i="7"/>
  <c r="E43" i="8"/>
  <c r="F43" i="8" s="1"/>
  <c r="G43" i="8" s="1"/>
  <c r="H43" i="8" s="1"/>
  <c r="I43" i="8" s="1"/>
  <c r="J43" i="8" s="1"/>
  <c r="K43" i="8" s="1"/>
  <c r="L43" i="8" s="1"/>
  <c r="M43" i="8" s="1"/>
  <c r="N43" i="8" s="1"/>
  <c r="O43" i="8" s="1"/>
  <c r="P43" i="8" s="1"/>
  <c r="BI13" i="7"/>
  <c r="BI80" i="6"/>
  <c r="BI90" i="6" s="1"/>
  <c r="BG21" i="17"/>
  <c r="AC13" i="7"/>
  <c r="AC66" i="6"/>
  <c r="AC90" i="6" s="1"/>
  <c r="AW21" i="17"/>
  <c r="BA13" i="7"/>
  <c r="BA80" i="6"/>
  <c r="BA90" i="6" s="1"/>
  <c r="AB21" i="17"/>
  <c r="AT21" i="17"/>
  <c r="AS21" i="17"/>
  <c r="AX21" i="17"/>
  <c r="AZ23" i="7"/>
  <c r="AZ22" i="7"/>
  <c r="AJ21" i="17"/>
  <c r="E16" i="1"/>
  <c r="U13" i="7"/>
  <c r="U59" i="6"/>
  <c r="U90" i="6" s="1"/>
  <c r="AI35" i="17"/>
  <c r="AI11" i="8"/>
  <c r="AI22" i="7"/>
  <c r="AI23" i="7"/>
  <c r="AT13" i="7"/>
  <c r="AT73" i="6"/>
  <c r="AT90" i="6" s="1"/>
  <c r="AS13" i="7"/>
  <c r="AS73" i="6"/>
  <c r="AS90" i="6" s="1"/>
  <c r="AY73" i="6"/>
  <c r="AY90" i="6" s="1"/>
  <c r="AY13" i="7"/>
  <c r="AY36" i="17"/>
  <c r="AY12" i="8"/>
  <c r="AP13" i="7"/>
  <c r="AP73" i="6"/>
  <c r="AP90" i="6" s="1"/>
  <c r="BH36" i="17"/>
  <c r="BH12" i="8"/>
  <c r="E22" i="7"/>
  <c r="E23" i="7"/>
  <c r="AA35" i="17"/>
  <c r="AA11" i="8"/>
  <c r="AO36" i="17"/>
  <c r="AO12" i="8"/>
  <c r="AY35" i="17"/>
  <c r="AY11" i="8"/>
  <c r="BE36" i="17"/>
  <c r="BE12" i="8"/>
  <c r="AE13" i="7"/>
  <c r="AE66" i="6"/>
  <c r="AE90" i="6" s="1"/>
  <c r="E36" i="17"/>
  <c r="E12" i="8"/>
  <c r="U23" i="7"/>
  <c r="U22" i="7"/>
  <c r="BA23" i="7"/>
  <c r="BA22" i="7"/>
  <c r="F35" i="17"/>
  <c r="F11" i="8"/>
  <c r="AL35" i="17"/>
  <c r="AL11" i="8"/>
  <c r="T35" i="17"/>
  <c r="T11" i="8"/>
  <c r="AG35" i="17"/>
  <c r="AG11" i="8"/>
  <c r="AE35" i="17"/>
  <c r="AE11" i="8"/>
  <c r="F21" i="17"/>
  <c r="BK35" i="17"/>
  <c r="BK11" i="8"/>
  <c r="AO14" i="5"/>
  <c r="E21" i="17"/>
  <c r="E22" i="5"/>
  <c r="F41" i="9"/>
  <c r="G35" i="9"/>
  <c r="AA22" i="7"/>
  <c r="AA23" i="7"/>
  <c r="E36" i="7"/>
  <c r="AL13" i="7"/>
  <c r="AL66" i="6"/>
  <c r="AL90" i="6" s="1"/>
  <c r="AK13" i="7"/>
  <c r="AK66" i="6"/>
  <c r="AK90" i="6" s="1"/>
  <c r="AQ73" i="6"/>
  <c r="AQ90" i="6" s="1"/>
  <c r="AQ13" i="7"/>
  <c r="AQ36" i="17"/>
  <c r="AQ12" i="8"/>
  <c r="AH13" i="7"/>
  <c r="AH66" i="6"/>
  <c r="AH90" i="6" s="1"/>
  <c r="J36" i="17"/>
  <c r="J12" i="8"/>
  <c r="AH36" i="17"/>
  <c r="AH12" i="8"/>
  <c r="S35" i="17"/>
  <c r="S11" i="8"/>
  <c r="AG22" i="7"/>
  <c r="AG23" i="7"/>
  <c r="AQ35" i="17"/>
  <c r="AQ11" i="8"/>
  <c r="AV23" i="7"/>
  <c r="AV22" i="7"/>
  <c r="BG35" i="17"/>
  <c r="BG11" i="8"/>
  <c r="BH13" i="7"/>
  <c r="BH80" i="6"/>
  <c r="BH90" i="6" s="1"/>
  <c r="U36" i="17"/>
  <c r="U12" i="8"/>
  <c r="AS36" i="17"/>
  <c r="AS12" i="8"/>
  <c r="BI22" i="7"/>
  <c r="BI23" i="7"/>
  <c r="AD35" i="17"/>
  <c r="AD11" i="8"/>
  <c r="Z22" i="7"/>
  <c r="Z23" i="7"/>
  <c r="G35" i="17"/>
  <c r="G11" i="8"/>
  <c r="AW35" i="17"/>
  <c r="AW11" i="8"/>
  <c r="BF32" i="17"/>
  <c r="G14" i="5"/>
  <c r="L32" i="17"/>
  <c r="BB32" i="17"/>
  <c r="BD22" i="7"/>
  <c r="BD23" i="7"/>
  <c r="BC28" i="7"/>
  <c r="L10" i="5"/>
  <c r="L14" i="5" s="1"/>
  <c r="BB19" i="8"/>
  <c r="AT23" i="7"/>
  <c r="AT22" i="7"/>
  <c r="AF13" i="7"/>
  <c r="AF66" i="6"/>
  <c r="AF90" i="6" s="1"/>
  <c r="BD10" i="5"/>
  <c r="BD14" i="5" s="1"/>
  <c r="AY19" i="8"/>
  <c r="AM23" i="7"/>
  <c r="AM22" i="7"/>
  <c r="X13" i="7"/>
  <c r="X59" i="6"/>
  <c r="X90" i="6" s="1"/>
  <c r="AI19" i="8"/>
  <c r="AK19" i="8"/>
  <c r="AB28" i="7"/>
  <c r="W23" i="7"/>
  <c r="W22" i="7"/>
  <c r="O16" i="7"/>
  <c r="O13" i="7"/>
  <c r="O52" i="6"/>
  <c r="O90" i="6" s="1"/>
  <c r="AC35" i="17"/>
  <c r="AC11" i="8"/>
  <c r="G28" i="4"/>
  <c r="H19" i="8"/>
  <c r="F19" i="8"/>
  <c r="H32" i="17"/>
  <c r="Z19" i="8"/>
  <c r="AI32" i="17"/>
  <c r="AR13" i="8"/>
  <c r="AR34" i="17" s="1"/>
  <c r="AZ16" i="7"/>
  <c r="Z10" i="5"/>
  <c r="Z14" i="5" s="1"/>
  <c r="E13" i="4"/>
  <c r="BI21" i="17"/>
  <c r="H10" i="4"/>
  <c r="V30" i="5"/>
  <c r="V38" i="17" s="1"/>
  <c r="BI19" i="8"/>
  <c r="BJ19" i="8"/>
  <c r="AX22" i="7"/>
  <c r="AX23" i="7"/>
  <c r="E18" i="1"/>
  <c r="E43" i="1"/>
  <c r="AJ35" i="17"/>
  <c r="AJ11" i="8"/>
  <c r="AX30" i="5"/>
  <c r="AX38" i="17" s="1"/>
  <c r="AU10" i="5"/>
  <c r="AU14" i="5" s="1"/>
  <c r="AP19" i="8"/>
  <c r="T13" i="8"/>
  <c r="T34" i="17" s="1"/>
  <c r="AE28" i="7"/>
  <c r="AD28" i="7"/>
  <c r="AM19" i="8"/>
  <c r="AO32" i="17"/>
  <c r="H13" i="4"/>
  <c r="Q22" i="7"/>
  <c r="Q23" i="7"/>
  <c r="E10" i="4"/>
  <c r="S10" i="5"/>
  <c r="S14" i="5" s="1"/>
  <c r="K19" i="8"/>
  <c r="N19" i="8"/>
  <c r="BI13" i="8"/>
  <c r="BI34" i="17" s="1"/>
  <c r="Q19" i="8"/>
  <c r="AG32" i="17"/>
  <c r="O23" i="7"/>
  <c r="O22" i="7"/>
  <c r="Q10" i="5"/>
  <c r="Q14" i="5" s="1"/>
  <c r="S22" i="7"/>
  <c r="S23" i="7"/>
  <c r="AD13" i="7"/>
  <c r="AD66" i="6"/>
  <c r="AD90" i="6" s="1"/>
  <c r="AI13" i="7"/>
  <c r="AI66" i="6"/>
  <c r="AI90" i="6" s="1"/>
  <c r="Z13" i="7"/>
  <c r="Z59" i="6"/>
  <c r="Z90" i="6" s="1"/>
  <c r="AH23" i="7"/>
  <c r="AH22" i="7"/>
  <c r="AG36" i="17"/>
  <c r="AG12" i="8"/>
  <c r="AX35" i="17"/>
  <c r="AX11" i="8"/>
  <c r="AR13" i="7"/>
  <c r="AR73" i="6"/>
  <c r="AR90" i="6" s="1"/>
  <c r="M22" i="7"/>
  <c r="M23" i="7"/>
  <c r="AK36" i="17"/>
  <c r="AK12" i="8"/>
  <c r="AF35" i="17"/>
  <c r="AF11" i="8"/>
  <c r="E11" i="6"/>
  <c r="E89" i="6" s="1"/>
  <c r="K22" i="7"/>
  <c r="K23" i="7"/>
  <c r="BJ22" i="7"/>
  <c r="BJ23" i="7"/>
  <c r="V13" i="7"/>
  <c r="V59" i="6"/>
  <c r="V90" i="6" s="1"/>
  <c r="M13" i="7"/>
  <c r="M52" i="6"/>
  <c r="M90" i="6" s="1"/>
  <c r="AA13" i="7"/>
  <c r="AA59" i="6"/>
  <c r="AA90" i="6" s="1"/>
  <c r="AA36" i="17"/>
  <c r="AA12" i="8"/>
  <c r="R13" i="7"/>
  <c r="R59" i="6"/>
  <c r="R90" i="6" s="1"/>
  <c r="BJ35" i="17"/>
  <c r="BJ11" i="8"/>
  <c r="Y23" i="7"/>
  <c r="Y22" i="7"/>
  <c r="Z36" i="17"/>
  <c r="Z12" i="8"/>
  <c r="X23" i="7"/>
  <c r="X22" i="7"/>
  <c r="Z35" i="17"/>
  <c r="Z11" i="8"/>
  <c r="AN23" i="7"/>
  <c r="AN22" i="7"/>
  <c r="AP35" i="17"/>
  <c r="AP11" i="8"/>
  <c r="AB13" i="7"/>
  <c r="AB59" i="6"/>
  <c r="AB90" i="6" s="1"/>
  <c r="M36" i="17"/>
  <c r="M12" i="8"/>
  <c r="T36" i="17"/>
  <c r="T12" i="8"/>
  <c r="AR23" i="7"/>
  <c r="AR22" i="7"/>
  <c r="M35" i="17"/>
  <c r="M11" i="8"/>
  <c r="I35" i="17"/>
  <c r="I11" i="8"/>
  <c r="W35" i="17"/>
  <c r="W11" i="8"/>
  <c r="BJ13" i="8"/>
  <c r="BJ34" i="17" s="1"/>
  <c r="BJ14" i="5"/>
  <c r="BG13" i="8"/>
  <c r="BG34" i="17" s="1"/>
  <c r="AZ21" i="17"/>
  <c r="BK28" i="7"/>
  <c r="BH19" i="8"/>
  <c r="BC19" i="8"/>
  <c r="AP28" i="7"/>
  <c r="H29" i="4" s="1"/>
  <c r="Q13" i="7"/>
  <c r="Q59" i="6"/>
  <c r="Q90" i="6" s="1"/>
  <c r="AL10" i="5"/>
  <c r="AL14" i="5" s="1"/>
  <c r="AQ19" i="8"/>
  <c r="AR19" i="8"/>
  <c r="AT19" i="8"/>
  <c r="AJ22" i="7"/>
  <c r="AJ23" i="7"/>
  <c r="AN19" i="8"/>
  <c r="L13" i="8"/>
  <c r="L34" i="17" s="1"/>
  <c r="P35" i="17"/>
  <c r="P11" i="8"/>
  <c r="AA10" i="5"/>
  <c r="AA14" i="5" s="1"/>
  <c r="G19" i="8"/>
  <c r="H14" i="4"/>
  <c r="BA13" i="8"/>
  <c r="AB30" i="5"/>
  <c r="AB38" i="17" s="1"/>
  <c r="U19" i="8"/>
  <c r="AJ32" i="17"/>
  <c r="H10" i="5"/>
  <c r="H14" i="5" s="1"/>
  <c r="AN10" i="5"/>
  <c r="AN14" i="5" s="1"/>
  <c r="AW30" i="5"/>
  <c r="AW38" i="17" s="1"/>
  <c r="AM36" i="17"/>
  <c r="AM12" i="8"/>
  <c r="N13" i="7"/>
  <c r="N52" i="6"/>
  <c r="N90" i="6" s="1"/>
  <c r="E13" i="7"/>
  <c r="E32" i="7" s="1"/>
  <c r="E52" i="6"/>
  <c r="S13" i="7"/>
  <c r="S59" i="6"/>
  <c r="S90" i="6" s="1"/>
  <c r="S36" i="17"/>
  <c r="S12" i="8"/>
  <c r="J13" i="7"/>
  <c r="J52" i="6"/>
  <c r="J90" i="6" s="1"/>
  <c r="BB35" i="17"/>
  <c r="BB11" i="8"/>
  <c r="Y36" i="17"/>
  <c r="Y12" i="8"/>
  <c r="BF23" i="7"/>
  <c r="BF22" i="7"/>
  <c r="X36" i="17"/>
  <c r="X12" i="8"/>
  <c r="R35" i="17"/>
  <c r="R11" i="8"/>
  <c r="AF36" i="17"/>
  <c r="AF12" i="8"/>
  <c r="AH35" i="17"/>
  <c r="AH11" i="8"/>
  <c r="L13" i="7"/>
  <c r="L52" i="6"/>
  <c r="L90" i="6" s="1"/>
  <c r="BE13" i="7"/>
  <c r="BE80" i="6"/>
  <c r="BE90" i="6" s="1"/>
  <c r="BA21" i="17"/>
  <c r="AP21" i="17"/>
  <c r="BH14" i="5"/>
  <c r="BE14" i="5"/>
  <c r="BE19" i="8"/>
  <c r="BL25" i="8"/>
  <c r="BL19" i="8"/>
  <c r="AC34" i="17"/>
  <c r="AJ13" i="7"/>
  <c r="AJ66" i="6"/>
  <c r="AJ90" i="6" s="1"/>
  <c r="AO30" i="5"/>
  <c r="AO38" i="17" s="1"/>
  <c r="U32" i="17"/>
  <c r="Q35" i="17"/>
  <c r="Q11" i="8"/>
  <c r="F28" i="4"/>
  <c r="AC21" i="17"/>
  <c r="AO19" i="8"/>
  <c r="R13" i="8"/>
  <c r="R34" i="17" s="1"/>
  <c r="AC23" i="7"/>
  <c r="AC22" i="7"/>
  <c r="BA35" i="17"/>
  <c r="BA11" i="8"/>
  <c r="I28" i="4"/>
  <c r="AI30" i="5"/>
  <c r="AI38" i="17" s="1"/>
  <c r="AQ10" i="5"/>
  <c r="AQ14" i="5" s="1"/>
  <c r="AE19" i="8"/>
  <c r="AR32" i="17"/>
  <c r="L19" i="8"/>
  <c r="I19" i="8"/>
  <c r="BK13" i="8"/>
  <c r="BK34" i="17" s="1"/>
  <c r="G10" i="4"/>
  <c r="BL10" i="5"/>
  <c r="BL14" i="5" s="1"/>
  <c r="N22" i="7"/>
  <c r="N23" i="7"/>
  <c r="H22" i="7"/>
  <c r="H23" i="7"/>
  <c r="AP13" i="8"/>
  <c r="AP34" i="17" s="1"/>
  <c r="AZ73" i="6"/>
  <c r="AZ90" i="6" s="1"/>
  <c r="AZ13" i="7"/>
  <c r="K10" i="5"/>
  <c r="K14" i="5" s="1"/>
  <c r="U35" i="17"/>
  <c r="U11" i="8"/>
  <c r="F17" i="8"/>
  <c r="L23" i="7"/>
  <c r="L22" i="7"/>
  <c r="AJ36" i="17"/>
  <c r="AJ12" i="8"/>
  <c r="E35" i="17"/>
  <c r="E11" i="8"/>
  <c r="E28" i="4"/>
  <c r="BH35" i="17"/>
  <c r="BH11" i="8"/>
  <c r="BH22" i="7"/>
  <c r="BH23" i="7"/>
  <c r="BD35" i="17"/>
  <c r="BD11" i="8"/>
  <c r="AR21" i="17"/>
  <c r="AG10" i="5"/>
  <c r="AG14" i="5" s="1"/>
  <c r="R32" i="17"/>
  <c r="AF21" i="17"/>
  <c r="BD13" i="8"/>
  <c r="BD34" i="17" s="1"/>
  <c r="BL28" i="7"/>
  <c r="BB26" i="7"/>
  <c r="BB28" i="7" s="1"/>
  <c r="BB20" i="7"/>
  <c r="AV14" i="5"/>
  <c r="BG19" i="8"/>
  <c r="BD19" i="8"/>
  <c r="AX28" i="7"/>
  <c r="AT28" i="7"/>
  <c r="AN35" i="17"/>
  <c r="AN11" i="8"/>
  <c r="AU32" i="17"/>
  <c r="T10" i="5"/>
  <c r="T14" i="5" s="1"/>
  <c r="AV19" i="8"/>
  <c r="AS19" i="8"/>
  <c r="AL22" i="7"/>
  <c r="AL23" i="7"/>
  <c r="W13" i="7"/>
  <c r="W59" i="6"/>
  <c r="W90" i="6" s="1"/>
  <c r="AM30" i="5"/>
  <c r="AM38" i="17" s="1"/>
  <c r="AY10" i="5"/>
  <c r="AY14" i="5" s="1"/>
  <c r="AG19" i="8"/>
  <c r="V23" i="7"/>
  <c r="V22" i="7"/>
  <c r="H35" i="17"/>
  <c r="H11" i="8"/>
  <c r="P13" i="7"/>
  <c r="P52" i="6"/>
  <c r="P90" i="6" s="1"/>
  <c r="R23" i="7"/>
  <c r="R22" i="7"/>
  <c r="M19" i="8"/>
  <c r="J19" i="8"/>
  <c r="BB13" i="8"/>
  <c r="BB34" i="17" s="1"/>
  <c r="AU13" i="8"/>
  <c r="AU34" i="17" s="1"/>
  <c r="BC14" i="5"/>
  <c r="X19" i="8"/>
  <c r="R19" i="8"/>
  <c r="V19" i="8"/>
  <c r="G28" i="7"/>
  <c r="AQ13" i="8"/>
  <c r="AQ34" i="17" s="1"/>
  <c r="AW13" i="7"/>
  <c r="AW73" i="6"/>
  <c r="AW90" i="6" s="1"/>
  <c r="F19" i="5"/>
  <c r="F22" i="5" s="1"/>
  <c r="G16" i="5"/>
  <c r="F17" i="5"/>
  <c r="F20" i="5" s="1"/>
  <c r="AE10" i="5"/>
  <c r="AE14" i="5" s="1"/>
  <c r="BL35" i="17"/>
  <c r="BL11" i="8"/>
  <c r="BG22" i="7"/>
  <c r="BG23" i="7"/>
  <c r="G41" i="8"/>
  <c r="O36" i="17"/>
  <c r="O12" i="8"/>
  <c r="F13" i="7"/>
  <c r="F52" i="6"/>
  <c r="F90" i="6" s="1"/>
  <c r="AZ36" i="17"/>
  <c r="AZ12" i="8"/>
  <c r="K13" i="7"/>
  <c r="K52" i="6"/>
  <c r="K90" i="6" s="1"/>
  <c r="K36" i="17"/>
  <c r="K12" i="8"/>
  <c r="AS35" i="17"/>
  <c r="AS11" i="8"/>
  <c r="Q28" i="7"/>
  <c r="BF28" i="7"/>
  <c r="P22" i="7"/>
  <c r="P23" i="7"/>
  <c r="J35" i="17"/>
  <c r="J11" i="8"/>
  <c r="W36" i="17"/>
  <c r="W12" i="8"/>
  <c r="BL23" i="7"/>
  <c r="BL22" i="7"/>
  <c r="BF35" i="17"/>
  <c r="BF11" i="8"/>
  <c r="Y13" i="7"/>
  <c r="Y59" i="6"/>
  <c r="Y90" i="6" s="1"/>
  <c r="BD13" i="7"/>
  <c r="BD80" i="6"/>
  <c r="BD90" i="6" s="1"/>
  <c r="BC13" i="7"/>
  <c r="BC80" i="6"/>
  <c r="BC90" i="6" s="1"/>
  <c r="J23" i="7"/>
  <c r="J22" i="7"/>
  <c r="Y35" i="17"/>
  <c r="Y11" i="8"/>
  <c r="BE35" i="17"/>
  <c r="BE11" i="8"/>
  <c r="S13" i="8"/>
  <c r="S34" i="17" s="1"/>
  <c r="AY22" i="7"/>
  <c r="AY23" i="7"/>
  <c r="BJ13" i="7"/>
  <c r="BJ80" i="6"/>
  <c r="BJ90" i="6" s="1"/>
  <c r="L28" i="7"/>
  <c r="AR36" i="17"/>
  <c r="AR12" i="8"/>
  <c r="BF13" i="7"/>
  <c r="BF80" i="6"/>
  <c r="BF90" i="6" s="1"/>
  <c r="AK35" i="17"/>
  <c r="AK11" i="8"/>
  <c r="I28" i="7"/>
  <c r="H36" i="17"/>
  <c r="H12" i="8"/>
  <c r="AK22" i="7"/>
  <c r="AK23" i="7"/>
  <c r="G23" i="7"/>
  <c r="G22" i="7"/>
  <c r="BD28" i="7"/>
  <c r="BA36" i="17"/>
  <c r="BA12" i="8"/>
  <c r="I29" i="4"/>
  <c r="I13" i="7"/>
  <c r="I52" i="6"/>
  <c r="I90" i="6" s="1"/>
  <c r="V35" i="17"/>
  <c r="V11" i="8"/>
  <c r="AM13" i="7"/>
  <c r="AM66" i="6"/>
  <c r="AM90" i="6" s="1"/>
  <c r="BC35" i="17"/>
  <c r="BC11" i="8"/>
  <c r="AN36" i="17"/>
  <c r="AN12" i="8"/>
  <c r="AV35" i="17"/>
  <c r="AV11" i="8"/>
  <c r="AU35" i="17"/>
  <c r="AU11" i="8"/>
  <c r="AH14" i="5"/>
  <c r="X14" i="5"/>
  <c r="W21" i="17"/>
  <c r="E22" i="8"/>
  <c r="F14" i="4"/>
  <c r="BC23" i="7"/>
  <c r="BC22" i="7"/>
  <c r="E48" i="18"/>
  <c r="E51" i="18" s="1"/>
  <c r="O32" i="17"/>
  <c r="BK19" i="8"/>
  <c r="AE13" i="8"/>
  <c r="AE34" i="17" s="1"/>
  <c r="X32" i="17"/>
  <c r="AC32" i="17"/>
  <c r="G13" i="4"/>
  <c r="J10" i="5"/>
  <c r="J14" i="5" s="1"/>
  <c r="AW19" i="8"/>
  <c r="AU19" i="8"/>
  <c r="BA32" i="17"/>
  <c r="I13" i="4"/>
  <c r="E50" i="18" s="1"/>
  <c r="AC19" i="8"/>
  <c r="AD19" i="8"/>
  <c r="V28" i="7"/>
  <c r="R28" i="7"/>
  <c r="P19" i="8"/>
  <c r="F50" i="8"/>
  <c r="E44" i="8"/>
  <c r="G14" i="4"/>
  <c r="BL13" i="8"/>
  <c r="BL34" i="17" s="1"/>
  <c r="AK10" i="5"/>
  <c r="AK14" i="5" s="1"/>
  <c r="H8" i="10" s="1"/>
  <c r="W19" i="8"/>
  <c r="AA19" i="8"/>
  <c r="N28" i="7"/>
  <c r="I23" i="7"/>
  <c r="I22" i="7"/>
  <c r="AS13" i="8"/>
  <c r="AS34" i="17" s="1"/>
  <c r="BK10" i="5"/>
  <c r="BK14" i="5" s="1"/>
  <c r="E13" i="8"/>
  <c r="AR35" i="17"/>
  <c r="AR11" i="8"/>
  <c r="M21" i="17"/>
  <c r="F24" i="19"/>
  <c r="E31" i="19" s="1"/>
  <c r="F23" i="19"/>
  <c r="E30" i="19" s="1"/>
  <c r="E54" i="14"/>
  <c r="AQ22" i="7"/>
  <c r="AQ23" i="7"/>
  <c r="BB13" i="7"/>
  <c r="BB80" i="6"/>
  <c r="BB90" i="6" s="1"/>
  <c r="BG80" i="6"/>
  <c r="BG90" i="6" s="1"/>
  <c r="BG13" i="7"/>
  <c r="BG36" i="17"/>
  <c r="BG12" i="8"/>
  <c r="AX13" i="7"/>
  <c r="AX73" i="6"/>
  <c r="AX90" i="6" s="1"/>
  <c r="AS22" i="7"/>
  <c r="AS23" i="7"/>
  <c r="AO22" i="7"/>
  <c r="AO23" i="7"/>
  <c r="BI35" i="17"/>
  <c r="BI11" i="8"/>
  <c r="AW36" i="17"/>
  <c r="AW12" i="8"/>
  <c r="BL13" i="7"/>
  <c r="BL80" i="6"/>
  <c r="BL90" i="6" s="1"/>
  <c r="AU13" i="7"/>
  <c r="AU73" i="6"/>
  <c r="AU90" i="6" s="1"/>
  <c r="AU36" i="17"/>
  <c r="AU12" i="8"/>
  <c r="AC36" i="17"/>
  <c r="AC12" i="8"/>
  <c r="G29" i="4"/>
  <c r="BJ36" i="17"/>
  <c r="BJ12" i="8"/>
  <c r="N35" i="17"/>
  <c r="N11" i="8"/>
  <c r="AT35" i="17"/>
  <c r="AT11" i="8"/>
  <c r="AB35" i="17"/>
  <c r="AB11" i="8"/>
  <c r="AF22" i="7"/>
  <c r="AF23" i="7"/>
  <c r="AM35" i="17"/>
  <c r="AM11" i="8"/>
  <c r="L35" i="17"/>
  <c r="L11" i="8"/>
  <c r="Y21" i="17"/>
  <c r="O21" i="17"/>
  <c r="BK13" i="7"/>
  <c r="BK80" i="6"/>
  <c r="BK90" i="6" s="1"/>
  <c r="N21" i="17"/>
  <c r="BK23" i="7"/>
  <c r="BK22" i="7"/>
  <c r="AD21" i="17"/>
  <c r="BA19" i="8"/>
  <c r="AN13" i="7"/>
  <c r="AN66" i="6"/>
  <c r="AN90" i="6" s="1"/>
  <c r="AG13" i="7"/>
  <c r="AG66" i="6"/>
  <c r="AG90" i="6" s="1"/>
  <c r="Q32" i="17"/>
  <c r="F13" i="4"/>
  <c r="K32" i="17"/>
  <c r="AX19" i="8"/>
  <c r="W13" i="8"/>
  <c r="W34" i="17" s="1"/>
  <c r="X35" i="17"/>
  <c r="X11" i="8"/>
  <c r="AF19" i="8"/>
  <c r="AJ19" i="8"/>
  <c r="AL19" i="8"/>
  <c r="J13" i="8"/>
  <c r="J34" i="17" s="1"/>
  <c r="T23" i="7"/>
  <c r="T22" i="7"/>
  <c r="H13" i="7"/>
  <c r="H52" i="6"/>
  <c r="H90" i="6" s="1"/>
  <c r="AO13" i="7"/>
  <c r="AO73" i="6"/>
  <c r="AO90" i="6" s="1"/>
  <c r="O19" i="8"/>
  <c r="BC13" i="8"/>
  <c r="BC34" i="17" s="1"/>
  <c r="R10" i="5"/>
  <c r="R14" i="5" s="1"/>
  <c r="Y19" i="8"/>
  <c r="S19" i="8"/>
  <c r="F28" i="7"/>
  <c r="AO13" i="8"/>
  <c r="G32" i="17"/>
  <c r="BB10" i="5"/>
  <c r="BB14" i="5" s="1"/>
  <c r="I8" i="4" s="1"/>
  <c r="AI36" i="17"/>
  <c r="AI12" i="8"/>
  <c r="T13" i="7"/>
  <c r="T59" i="6"/>
  <c r="T90" i="6" s="1"/>
  <c r="K35" i="17"/>
  <c r="K11" i="8"/>
  <c r="AV36" i="17"/>
  <c r="AV12" i="8"/>
  <c r="BI36" i="17"/>
  <c r="BI12" i="8"/>
  <c r="P21" i="17"/>
  <c r="U10" i="5"/>
  <c r="U14" i="5" s="1"/>
  <c r="BF19" i="8"/>
  <c r="E14" i="4"/>
  <c r="AU23" i="7"/>
  <c r="AU22" i="7"/>
  <c r="Y32" i="17"/>
  <c r="AZ19" i="8"/>
  <c r="BC32" i="17"/>
  <c r="Q13" i="8"/>
  <c r="AL28" i="7"/>
  <c r="AE23" i="7"/>
  <c r="AE22" i="7"/>
  <c r="F10" i="4"/>
  <c r="AH19" i="8"/>
  <c r="AS32" i="17"/>
  <c r="AB23" i="7"/>
  <c r="AB22" i="7"/>
  <c r="G13" i="7"/>
  <c r="G52" i="6"/>
  <c r="G90" i="6" s="1"/>
  <c r="AO35" i="17"/>
  <c r="AO11" i="8"/>
  <c r="H28" i="4"/>
  <c r="E36" i="8"/>
  <c r="E19" i="8"/>
  <c r="I14" i="4"/>
  <c r="BE13" i="8"/>
  <c r="BE34" i="17" s="1"/>
  <c r="I14" i="5"/>
  <c r="T19" i="8"/>
  <c r="AB19" i="8"/>
  <c r="AH32" i="17"/>
  <c r="P28" i="7"/>
  <c r="AW13" i="8"/>
  <c r="AW34" i="17" s="1"/>
  <c r="AV13" i="7"/>
  <c r="AV73" i="6"/>
  <c r="AV90" i="6" s="1"/>
  <c r="E40" i="18" l="1"/>
  <c r="I8" i="9"/>
  <c r="I10" i="9" s="1"/>
  <c r="I8" i="1"/>
  <c r="F22" i="17"/>
  <c r="F9" i="8"/>
  <c r="E34" i="17"/>
  <c r="E30" i="4"/>
  <c r="V36" i="17"/>
  <c r="V12" i="8"/>
  <c r="G30" i="4"/>
  <c r="F30" i="7"/>
  <c r="H21" i="17"/>
  <c r="L21" i="17"/>
  <c r="G21" i="17"/>
  <c r="E8" i="4"/>
  <c r="N36" i="17"/>
  <c r="N12" i="8"/>
  <c r="AT36" i="17"/>
  <c r="AT12" i="8"/>
  <c r="E66" i="18"/>
  <c r="E12" i="19" s="1"/>
  <c r="H14" i="8"/>
  <c r="H41" i="8" s="1"/>
  <c r="AX36" i="17"/>
  <c r="AX12" i="8"/>
  <c r="BL36" i="17"/>
  <c r="BL12" i="8"/>
  <c r="BH21" i="17"/>
  <c r="BJ21" i="17"/>
  <c r="AU21" i="17"/>
  <c r="I8" i="10"/>
  <c r="BD21" i="17"/>
  <c r="BC36" i="17"/>
  <c r="BC12" i="8"/>
  <c r="E22" i="17"/>
  <c r="F37" i="8"/>
  <c r="F38" i="8" s="1"/>
  <c r="F35" i="8" s="1"/>
  <c r="E37" i="8"/>
  <c r="E38" i="8" s="1"/>
  <c r="E9" i="8"/>
  <c r="U21" i="17"/>
  <c r="R21" i="17"/>
  <c r="F36" i="17"/>
  <c r="F12" i="8"/>
  <c r="I19" i="4"/>
  <c r="BD36" i="17"/>
  <c r="BD12" i="8"/>
  <c r="H16" i="5"/>
  <c r="G19" i="5"/>
  <c r="G17" i="5"/>
  <c r="G20" i="5" s="1"/>
  <c r="BB36" i="17"/>
  <c r="BB12" i="8"/>
  <c r="F32" i="8"/>
  <c r="F21" i="8"/>
  <c r="F22" i="8" s="1"/>
  <c r="E19" i="4"/>
  <c r="F44" i="8"/>
  <c r="G50" i="8"/>
  <c r="AY21" i="17"/>
  <c r="F19" i="4"/>
  <c r="F34" i="7"/>
  <c r="E8" i="10"/>
  <c r="Q43" i="8"/>
  <c r="R43" i="8" s="1"/>
  <c r="S43" i="8" s="1"/>
  <c r="T43" i="8" s="1"/>
  <c r="U43" i="8" s="1"/>
  <c r="V43" i="8" s="1"/>
  <c r="W43" i="8" s="1"/>
  <c r="X43" i="8" s="1"/>
  <c r="Y43" i="8" s="1"/>
  <c r="Z43" i="8" s="1"/>
  <c r="AA43" i="8" s="1"/>
  <c r="AB43" i="8" s="1"/>
  <c r="E41" i="4"/>
  <c r="X21" i="17"/>
  <c r="BC21" i="17"/>
  <c r="BK21" i="17"/>
  <c r="I21" i="17"/>
  <c r="E8" i="17" s="1"/>
  <c r="E46" i="8"/>
  <c r="AL36" i="17"/>
  <c r="AL12" i="8"/>
  <c r="AK21" i="17"/>
  <c r="G19" i="4"/>
  <c r="J21" i="17"/>
  <c r="E49" i="18"/>
  <c r="G8" i="10"/>
  <c r="BF36" i="17"/>
  <c r="BF12" i="8"/>
  <c r="AQ21" i="17"/>
  <c r="O35" i="17"/>
  <c r="O11" i="8"/>
  <c r="Q36" i="17"/>
  <c r="Q12" i="8"/>
  <c r="F29" i="4"/>
  <c r="T21" i="17"/>
  <c r="K21" i="17"/>
  <c r="F8" i="10"/>
  <c r="H19" i="4"/>
  <c r="BL26" i="8"/>
  <c r="I34" i="4" s="1"/>
  <c r="I33" i="4"/>
  <c r="AL21" i="17"/>
  <c r="BK36" i="17"/>
  <c r="BK12" i="8"/>
  <c r="S21" i="17"/>
  <c r="AD36" i="17"/>
  <c r="AD12" i="8"/>
  <c r="AO21" i="17"/>
  <c r="H8" i="4"/>
  <c r="P36" i="17"/>
  <c r="P12" i="8"/>
  <c r="Q34" i="17"/>
  <c r="F30" i="4"/>
  <c r="AE36" i="17"/>
  <c r="AE12" i="8"/>
  <c r="Z21" i="17"/>
  <c r="H35" i="9"/>
  <c r="G41" i="9"/>
  <c r="AH21" i="17"/>
  <c r="L36" i="17"/>
  <c r="L12" i="8"/>
  <c r="AE21" i="17"/>
  <c r="G8" i="17" s="1"/>
  <c r="AV21" i="17"/>
  <c r="BL21" i="17"/>
  <c r="G8" i="4"/>
  <c r="AA21" i="17"/>
  <c r="E31" i="17"/>
  <c r="Q21" i="17"/>
  <c r="F8" i="4"/>
  <c r="AZ35" i="17"/>
  <c r="AZ11" i="8"/>
  <c r="AB36" i="17"/>
  <c r="AB12" i="8"/>
  <c r="BB21" i="17"/>
  <c r="I8" i="17" s="1"/>
  <c r="G36" i="17"/>
  <c r="G12" i="8"/>
  <c r="AO34" i="17"/>
  <c r="H30" i="4"/>
  <c r="R36" i="17"/>
  <c r="R12" i="8"/>
  <c r="I36" i="17"/>
  <c r="I12" i="8"/>
  <c r="BB22" i="7"/>
  <c r="BB23" i="7"/>
  <c r="AG21" i="17"/>
  <c r="BE21" i="17"/>
  <c r="E54" i="6"/>
  <c r="E90" i="6"/>
  <c r="AN21" i="17"/>
  <c r="BA34" i="17"/>
  <c r="I30" i="4"/>
  <c r="AP36" i="17"/>
  <c r="AP12" i="8"/>
  <c r="E12" i="6"/>
  <c r="E29" i="4"/>
  <c r="I14" i="8" l="1"/>
  <c r="I41" i="8" s="1"/>
  <c r="F35" i="7"/>
  <c r="F36" i="7" s="1"/>
  <c r="E67" i="18"/>
  <c r="G44" i="8"/>
  <c r="H50" i="8"/>
  <c r="E35" i="8"/>
  <c r="E8" i="9"/>
  <c r="E10" i="9" s="1"/>
  <c r="E8" i="1"/>
  <c r="G8" i="9"/>
  <c r="G10" i="9" s="1"/>
  <c r="G8" i="1"/>
  <c r="G22" i="5"/>
  <c r="F8" i="9"/>
  <c r="F10" i="9" s="1"/>
  <c r="F8" i="1"/>
  <c r="H19" i="5"/>
  <c r="H22" i="5" s="1"/>
  <c r="H17" i="5"/>
  <c r="H20" i="5" s="1"/>
  <c r="I16" i="5"/>
  <c r="I35" i="9"/>
  <c r="I41" i="9" s="1"/>
  <c r="H41" i="9"/>
  <c r="E50" i="14"/>
  <c r="F8" i="17"/>
  <c r="E91" i="6"/>
  <c r="H8" i="9"/>
  <c r="H10" i="9" s="1"/>
  <c r="H8" i="1"/>
  <c r="AC43" i="8"/>
  <c r="AD43" i="8" s="1"/>
  <c r="AE43" i="8" s="1"/>
  <c r="AF43" i="8" s="1"/>
  <c r="AG43" i="8" s="1"/>
  <c r="AH43" i="8" s="1"/>
  <c r="AI43" i="8" s="1"/>
  <c r="AJ43" i="8" s="1"/>
  <c r="AK43" i="8" s="1"/>
  <c r="AL43" i="8" s="1"/>
  <c r="AM43" i="8" s="1"/>
  <c r="AN43" i="8" s="1"/>
  <c r="F41" i="4"/>
  <c r="G17" i="8"/>
  <c r="F36" i="8"/>
  <c r="F31" i="7"/>
  <c r="F32" i="7"/>
  <c r="H8" i="17"/>
  <c r="E55" i="18"/>
  <c r="E54" i="18"/>
  <c r="G34" i="7" l="1"/>
  <c r="J14" i="8"/>
  <c r="J41" i="8" s="1"/>
  <c r="G30" i="7"/>
  <c r="AO43" i="8"/>
  <c r="AP43" i="8" s="1"/>
  <c r="AQ43" i="8" s="1"/>
  <c r="AR43" i="8" s="1"/>
  <c r="AS43" i="8" s="1"/>
  <c r="AT43" i="8" s="1"/>
  <c r="AU43" i="8" s="1"/>
  <c r="AV43" i="8" s="1"/>
  <c r="AW43" i="8" s="1"/>
  <c r="AX43" i="8" s="1"/>
  <c r="AY43" i="8" s="1"/>
  <c r="AZ43" i="8" s="1"/>
  <c r="G41" i="4"/>
  <c r="G22" i="17"/>
  <c r="G9" i="8"/>
  <c r="G37" i="8"/>
  <c r="G38" i="8" s="1"/>
  <c r="H37" i="8"/>
  <c r="H38" i="8" s="1"/>
  <c r="I37" i="8"/>
  <c r="I38" i="8" s="1"/>
  <c r="I19" i="5"/>
  <c r="I22" i="5" s="1"/>
  <c r="J16" i="5"/>
  <c r="I17" i="5"/>
  <c r="I20" i="5" s="1"/>
  <c r="H44" i="8"/>
  <c r="I50" i="8"/>
  <c r="E34" i="6"/>
  <c r="E35" i="6" s="1"/>
  <c r="F30" i="6" s="1"/>
  <c r="E24" i="7"/>
  <c r="E62" i="6" s="1"/>
  <c r="E63" i="6" s="1"/>
  <c r="F58" i="6" s="1"/>
  <c r="F61" i="6" s="1"/>
  <c r="F46" i="8"/>
  <c r="H22" i="17"/>
  <c r="H9" i="8"/>
  <c r="G32" i="8"/>
  <c r="G21" i="8"/>
  <c r="G22" i="8" s="1"/>
  <c r="K14" i="8" l="1"/>
  <c r="K41" i="8"/>
  <c r="F32" i="6"/>
  <c r="F33" i="6" s="1"/>
  <c r="G35" i="8"/>
  <c r="E41" i="6"/>
  <c r="E42" i="6" s="1"/>
  <c r="F37" i="6" s="1"/>
  <c r="BA43" i="8"/>
  <c r="BB43" i="8" s="1"/>
  <c r="BC43" i="8" s="1"/>
  <c r="BD43" i="8" s="1"/>
  <c r="BE43" i="8" s="1"/>
  <c r="BF43" i="8" s="1"/>
  <c r="BG43" i="8" s="1"/>
  <c r="BH43" i="8" s="1"/>
  <c r="BI43" i="8" s="1"/>
  <c r="BJ43" i="8" s="1"/>
  <c r="BK43" i="8" s="1"/>
  <c r="BL43" i="8" s="1"/>
  <c r="I41" i="4" s="1"/>
  <c r="H41" i="4"/>
  <c r="E65" i="18"/>
  <c r="E53" i="14"/>
  <c r="H17" i="8"/>
  <c r="G36" i="8"/>
  <c r="E37" i="14"/>
  <c r="E13" i="6"/>
  <c r="E14" i="6" s="1"/>
  <c r="G31" i="7"/>
  <c r="E25" i="7"/>
  <c r="E38" i="7"/>
  <c r="E69" i="6"/>
  <c r="E70" i="6" s="1"/>
  <c r="F65" i="6" s="1"/>
  <c r="F68" i="6" s="1"/>
  <c r="E76" i="6"/>
  <c r="E77" i="6" s="1"/>
  <c r="F72" i="6" s="1"/>
  <c r="F75" i="6" s="1"/>
  <c r="E20" i="6"/>
  <c r="E21" i="6" s="1"/>
  <c r="F16" i="6" s="1"/>
  <c r="E83" i="6"/>
  <c r="E84" i="6" s="1"/>
  <c r="F79" i="6" s="1"/>
  <c r="F82" i="6" s="1"/>
  <c r="K16" i="5"/>
  <c r="J19" i="5"/>
  <c r="J22" i="5" s="1"/>
  <c r="J17" i="5"/>
  <c r="J20" i="5" s="1"/>
  <c r="E10" i="10" s="1"/>
  <c r="E55" i="6"/>
  <c r="E56" i="6" s="1"/>
  <c r="F51" i="6" s="1"/>
  <c r="F54" i="6" s="1"/>
  <c r="I22" i="17"/>
  <c r="I9" i="8"/>
  <c r="E27" i="6"/>
  <c r="E28" i="6" s="1"/>
  <c r="F23" i="6" s="1"/>
  <c r="J50" i="8"/>
  <c r="I44" i="8"/>
  <c r="J37" i="8"/>
  <c r="J38" i="8" s="1"/>
  <c r="E48" i="6"/>
  <c r="E49" i="6" s="1"/>
  <c r="F44" i="6" s="1"/>
  <c r="F47" i="6" s="1"/>
  <c r="G35" i="7"/>
  <c r="G36" i="7" s="1"/>
  <c r="H34" i="7" l="1"/>
  <c r="E33" i="17"/>
  <c r="E52" i="8"/>
  <c r="E23" i="17"/>
  <c r="H21" i="8"/>
  <c r="H22" i="8" s="1"/>
  <c r="J22" i="17"/>
  <c r="J9" i="8"/>
  <c r="F25" i="6"/>
  <c r="F26" i="6"/>
  <c r="L16" i="5"/>
  <c r="K19" i="5"/>
  <c r="K22" i="5" s="1"/>
  <c r="K17" i="5"/>
  <c r="K20" i="5" s="1"/>
  <c r="E11" i="19"/>
  <c r="G32" i="7"/>
  <c r="G46" i="8" s="1"/>
  <c r="K50" i="8"/>
  <c r="J44" i="8"/>
  <c r="F18" i="6"/>
  <c r="F19" i="6"/>
  <c r="E92" i="6"/>
  <c r="F9" i="6"/>
  <c r="F39" i="6"/>
  <c r="F40" i="6"/>
  <c r="L41" i="8"/>
  <c r="L14" i="8"/>
  <c r="M14" i="8" l="1"/>
  <c r="M41" i="8" s="1"/>
  <c r="K44" i="8"/>
  <c r="L50" i="8"/>
  <c r="H30" i="7"/>
  <c r="L19" i="5"/>
  <c r="L22" i="5" s="1"/>
  <c r="L17" i="5"/>
  <c r="L20" i="5" s="1"/>
  <c r="M16" i="5"/>
  <c r="E25" i="17"/>
  <c r="E27" i="17" s="1"/>
  <c r="E30" i="17"/>
  <c r="E28" i="17" s="1"/>
  <c r="E26" i="17"/>
  <c r="F24" i="17" s="1"/>
  <c r="F11" i="6"/>
  <c r="F89" i="6" s="1"/>
  <c r="K22" i="17"/>
  <c r="K9" i="8"/>
  <c r="K37" i="8"/>
  <c r="K38" i="8" s="1"/>
  <c r="E54" i="8"/>
  <c r="E10" i="8" s="1"/>
  <c r="E40" i="8" s="1"/>
  <c r="E55" i="8"/>
  <c r="F53" i="8" s="1"/>
  <c r="H35" i="7"/>
  <c r="H36" i="7" s="1"/>
  <c r="I34" i="7" l="1"/>
  <c r="N14" i="8"/>
  <c r="N41" i="8" s="1"/>
  <c r="E42" i="8"/>
  <c r="F31" i="17"/>
  <c r="M50" i="8"/>
  <c r="L44" i="8"/>
  <c r="F12" i="6"/>
  <c r="H31" i="7"/>
  <c r="H32" i="7" s="1"/>
  <c r="E40" i="17"/>
  <c r="E41" i="17" s="1"/>
  <c r="L22" i="17"/>
  <c r="L9" i="8"/>
  <c r="L37" i="8"/>
  <c r="L38" i="8" s="1"/>
  <c r="E15" i="8"/>
  <c r="M19" i="5"/>
  <c r="M22" i="5" s="1"/>
  <c r="M37" i="8" s="1"/>
  <c r="M38" i="8" s="1"/>
  <c r="N16" i="5"/>
  <c r="M17" i="5"/>
  <c r="M20" i="5" s="1"/>
  <c r="O41" i="8" l="1"/>
  <c r="O14" i="8"/>
  <c r="I30" i="7"/>
  <c r="N19" i="5"/>
  <c r="N22" i="5" s="1"/>
  <c r="O16" i="5"/>
  <c r="N17" i="5"/>
  <c r="N20" i="5" s="1"/>
  <c r="F91" i="6"/>
  <c r="I35" i="7"/>
  <c r="I36" i="7" s="1"/>
  <c r="M22" i="17"/>
  <c r="M9" i="8"/>
  <c r="E28" i="8"/>
  <c r="N50" i="8"/>
  <c r="M44" i="8"/>
  <c r="J34" i="7" l="1"/>
  <c r="E33" i="8"/>
  <c r="E29" i="8"/>
  <c r="I31" i="7"/>
  <c r="I32" i="7"/>
  <c r="P14" i="8"/>
  <c r="E32" i="4" s="1"/>
  <c r="F69" i="6"/>
  <c r="F70" i="6" s="1"/>
  <c r="G65" i="6" s="1"/>
  <c r="G68" i="6" s="1"/>
  <c r="F55" i="6"/>
  <c r="F56" i="6" s="1"/>
  <c r="G51" i="6" s="1"/>
  <c r="G54" i="6" s="1"/>
  <c r="F41" i="6"/>
  <c r="F42" i="6" s="1"/>
  <c r="G37" i="6" s="1"/>
  <c r="F34" i="6"/>
  <c r="F35" i="6" s="1"/>
  <c r="G30" i="6" s="1"/>
  <c r="F13" i="6"/>
  <c r="F14" i="6" s="1"/>
  <c r="F24" i="7"/>
  <c r="O50" i="8"/>
  <c r="N44" i="8"/>
  <c r="P16" i="5"/>
  <c r="O19" i="5"/>
  <c r="O22" i="5" s="1"/>
  <c r="O37" i="8" s="1"/>
  <c r="O38" i="8" s="1"/>
  <c r="O17" i="5"/>
  <c r="O20" i="5" s="1"/>
  <c r="N22" i="17"/>
  <c r="N9" i="8"/>
  <c r="N37" i="8"/>
  <c r="N38" i="8" s="1"/>
  <c r="G9" i="6" l="1"/>
  <c r="O44" i="8"/>
  <c r="P50" i="8"/>
  <c r="F38" i="7"/>
  <c r="F25" i="7"/>
  <c r="F62" i="6"/>
  <c r="F63" i="6" s="1"/>
  <c r="G58" i="6" s="1"/>
  <c r="G61" i="6" s="1"/>
  <c r="P41" i="8"/>
  <c r="J30" i="7"/>
  <c r="O22" i="17"/>
  <c r="O9" i="8"/>
  <c r="F20" i="6"/>
  <c r="F21" i="6" s="1"/>
  <c r="G16" i="6" s="1"/>
  <c r="F76" i="6"/>
  <c r="F77" i="6" s="1"/>
  <c r="G72" i="6" s="1"/>
  <c r="G75" i="6" s="1"/>
  <c r="P17" i="5"/>
  <c r="P20" i="5" s="1"/>
  <c r="E13" i="9" s="1"/>
  <c r="Q16" i="5"/>
  <c r="P19" i="5"/>
  <c r="F27" i="6"/>
  <c r="F28" i="6" s="1"/>
  <c r="G23" i="6" s="1"/>
  <c r="F83" i="6"/>
  <c r="F84" i="6" s="1"/>
  <c r="G79" i="6" s="1"/>
  <c r="G82" i="6" s="1"/>
  <c r="E39" i="8"/>
  <c r="E45" i="8"/>
  <c r="F8" i="8"/>
  <c r="E34" i="8"/>
  <c r="G32" i="6"/>
  <c r="G33" i="6" s="1"/>
  <c r="G39" i="6"/>
  <c r="G40" i="6" s="1"/>
  <c r="F48" i="6"/>
  <c r="F49" i="6" s="1"/>
  <c r="G44" i="6" s="1"/>
  <c r="J35" i="7"/>
  <c r="J36" i="7"/>
  <c r="K34" i="7" s="1"/>
  <c r="G46" i="6" l="1"/>
  <c r="G47" i="6" s="1"/>
  <c r="K35" i="7"/>
  <c r="K36" i="7" s="1"/>
  <c r="L34" i="7" s="1"/>
  <c r="P22" i="5"/>
  <c r="E9" i="4"/>
  <c r="Q19" i="5"/>
  <c r="Q17" i="5"/>
  <c r="Q20" i="5" s="1"/>
  <c r="R16" i="5"/>
  <c r="E47" i="8"/>
  <c r="G11" i="6"/>
  <c r="G12" i="6"/>
  <c r="P44" i="8"/>
  <c r="E47" i="4" s="1"/>
  <c r="Q50" i="8"/>
  <c r="G18" i="6"/>
  <c r="G19" i="6"/>
  <c r="J31" i="7"/>
  <c r="J32" i="7" s="1"/>
  <c r="K30" i="7" s="1"/>
  <c r="Q41" i="8"/>
  <c r="Q14" i="8"/>
  <c r="E46" i="4"/>
  <c r="F92" i="6"/>
  <c r="G25" i="6"/>
  <c r="G26" i="6"/>
  <c r="F33" i="17"/>
  <c r="F23" i="17"/>
  <c r="F52" i="8"/>
  <c r="K31" i="7" l="1"/>
  <c r="K32" i="7"/>
  <c r="L30" i="7" s="1"/>
  <c r="L35" i="7"/>
  <c r="L36" i="7" s="1"/>
  <c r="M34" i="7" s="1"/>
  <c r="G91" i="6"/>
  <c r="R14" i="8"/>
  <c r="R41" i="8" s="1"/>
  <c r="P22" i="17"/>
  <c r="P9" i="8"/>
  <c r="E11" i="4"/>
  <c r="P37" i="8"/>
  <c r="P38" i="8" s="1"/>
  <c r="Q44" i="8"/>
  <c r="R50" i="8"/>
  <c r="R19" i="5"/>
  <c r="R22" i="5" s="1"/>
  <c r="R17" i="5"/>
  <c r="R20" i="5" s="1"/>
  <c r="S16" i="5"/>
  <c r="Q22" i="5"/>
  <c r="F54" i="8"/>
  <c r="F10" i="8" s="1"/>
  <c r="F40" i="8" s="1"/>
  <c r="F55" i="8"/>
  <c r="G53" i="8" s="1"/>
  <c r="G89" i="6"/>
  <c r="F25" i="17"/>
  <c r="F27" i="17" s="1"/>
  <c r="F26" i="17"/>
  <c r="G24" i="17" s="1"/>
  <c r="S14" i="8" l="1"/>
  <c r="S41" i="8" s="1"/>
  <c r="M35" i="7"/>
  <c r="M36" i="7"/>
  <c r="N34" i="7" s="1"/>
  <c r="F40" i="17"/>
  <c r="E9" i="17"/>
  <c r="G31" i="17"/>
  <c r="S19" i="5"/>
  <c r="S22" i="5" s="1"/>
  <c r="T16" i="5"/>
  <c r="S17" i="5"/>
  <c r="S20" i="5" s="1"/>
  <c r="F30" i="17"/>
  <c r="F28" i="17" s="1"/>
  <c r="R22" i="17"/>
  <c r="R9" i="8"/>
  <c r="R37" i="8"/>
  <c r="R38" i="8" s="1"/>
  <c r="S50" i="8"/>
  <c r="R44" i="8"/>
  <c r="E54" i="4"/>
  <c r="F42" i="8"/>
  <c r="E9" i="1"/>
  <c r="F15" i="8"/>
  <c r="E26" i="4"/>
  <c r="Q22" i="17"/>
  <c r="Q9" i="8"/>
  <c r="Q37" i="8"/>
  <c r="Q38" i="8" s="1"/>
  <c r="L31" i="7"/>
  <c r="L32" i="7" s="1"/>
  <c r="M30" i="7" s="1"/>
  <c r="G62" i="6"/>
  <c r="G63" i="6" s="1"/>
  <c r="H58" i="6" s="1"/>
  <c r="H61" i="6" s="1"/>
  <c r="G55" i="6"/>
  <c r="G56" i="6" s="1"/>
  <c r="H51" i="6" s="1"/>
  <c r="H54" i="6" s="1"/>
  <c r="G34" i="6"/>
  <c r="G35" i="6" s="1"/>
  <c r="H30" i="6" s="1"/>
  <c r="G24" i="7"/>
  <c r="T14" i="8" l="1"/>
  <c r="T41" i="8" s="1"/>
  <c r="M31" i="7"/>
  <c r="M32" i="7" s="1"/>
  <c r="N30" i="7" s="1"/>
  <c r="T19" i="5"/>
  <c r="T22" i="5" s="1"/>
  <c r="T17" i="5"/>
  <c r="T20" i="5" s="1"/>
  <c r="U16" i="5"/>
  <c r="G25" i="7"/>
  <c r="G38" i="7"/>
  <c r="E17" i="14"/>
  <c r="S22" i="17"/>
  <c r="S9" i="8"/>
  <c r="S37" i="8"/>
  <c r="S38" i="8" s="1"/>
  <c r="G27" i="6"/>
  <c r="G28" i="6" s="1"/>
  <c r="H23" i="6" s="1"/>
  <c r="G69" i="6"/>
  <c r="G70" i="6" s="1"/>
  <c r="H65" i="6" s="1"/>
  <c r="H68" i="6" s="1"/>
  <c r="N35" i="7"/>
  <c r="N36" i="7" s="1"/>
  <c r="O34" i="7" s="1"/>
  <c r="G13" i="6"/>
  <c r="G14" i="6" s="1"/>
  <c r="G83" i="6"/>
  <c r="G84" i="6" s="1"/>
  <c r="H79" i="6" s="1"/>
  <c r="H82" i="6" s="1"/>
  <c r="F28" i="8"/>
  <c r="F41" i="17"/>
  <c r="H32" i="6"/>
  <c r="H33" i="6" s="1"/>
  <c r="G76" i="6"/>
  <c r="G77" i="6" s="1"/>
  <c r="H72" i="6" s="1"/>
  <c r="H75" i="6" s="1"/>
  <c r="G20" i="6"/>
  <c r="G21" i="6" s="1"/>
  <c r="H16" i="6" s="1"/>
  <c r="G41" i="6"/>
  <c r="G42" i="6" s="1"/>
  <c r="H37" i="6" s="1"/>
  <c r="G48" i="6"/>
  <c r="G49" i="6" s="1"/>
  <c r="H44" i="6" s="1"/>
  <c r="S44" i="8"/>
  <c r="T50" i="8"/>
  <c r="O35" i="7" l="1"/>
  <c r="O36" i="7"/>
  <c r="P34" i="7" s="1"/>
  <c r="U14" i="8"/>
  <c r="H39" i="6"/>
  <c r="H40" i="6"/>
  <c r="V16" i="5"/>
  <c r="U19" i="5"/>
  <c r="U17" i="5"/>
  <c r="U20" i="5" s="1"/>
  <c r="H25" i="6"/>
  <c r="H26" i="6"/>
  <c r="G92" i="6"/>
  <c r="H9" i="6"/>
  <c r="T22" i="17"/>
  <c r="T9" i="8"/>
  <c r="T37" i="8"/>
  <c r="T38" i="8" s="1"/>
  <c r="H47" i="6"/>
  <c r="H46" i="6"/>
  <c r="N31" i="7"/>
  <c r="N32" i="7" s="1"/>
  <c r="O30" i="7" s="1"/>
  <c r="F33" i="8"/>
  <c r="F29" i="8"/>
  <c r="U50" i="8"/>
  <c r="T44" i="8"/>
  <c r="H18" i="6"/>
  <c r="H19" i="6" s="1"/>
  <c r="G33" i="17"/>
  <c r="G23" i="17"/>
  <c r="G52" i="8"/>
  <c r="H11" i="6" l="1"/>
  <c r="H89" i="6" s="1"/>
  <c r="F39" i="8"/>
  <c r="F45" i="8"/>
  <c r="G8" i="8"/>
  <c r="F34" i="8"/>
  <c r="U22" i="5"/>
  <c r="W16" i="5"/>
  <c r="V19" i="5"/>
  <c r="V22" i="5" s="1"/>
  <c r="V17" i="5"/>
  <c r="V20" i="5" s="1"/>
  <c r="F10" i="10" s="1"/>
  <c r="U41" i="8"/>
  <c r="P36" i="7"/>
  <c r="P35" i="7"/>
  <c r="O31" i="7"/>
  <c r="O32" i="7" s="1"/>
  <c r="P30" i="7" s="1"/>
  <c r="G54" i="8"/>
  <c r="G10" i="8" s="1"/>
  <c r="G40" i="8"/>
  <c r="G55" i="8"/>
  <c r="H53" i="8" s="1"/>
  <c r="V50" i="8"/>
  <c r="U44" i="8"/>
  <c r="G25" i="17"/>
  <c r="G27" i="17" s="1"/>
  <c r="G26" i="17"/>
  <c r="H24" i="17" s="1"/>
  <c r="P31" i="7" l="1"/>
  <c r="E18" i="4" s="1"/>
  <c r="H12" i="6"/>
  <c r="G42" i="8"/>
  <c r="F47" i="8"/>
  <c r="G40" i="17"/>
  <c r="H31" i="17"/>
  <c r="W50" i="8"/>
  <c r="V44" i="8"/>
  <c r="V22" i="17"/>
  <c r="V9" i="8"/>
  <c r="V37" i="8"/>
  <c r="V38" i="8" s="1"/>
  <c r="Q34" i="7"/>
  <c r="E40" i="4"/>
  <c r="E12" i="14" s="1"/>
  <c r="E21" i="14"/>
  <c r="G15" i="8"/>
  <c r="U22" i="17"/>
  <c r="U9" i="8"/>
  <c r="U37" i="8"/>
  <c r="U38" i="8" s="1"/>
  <c r="G30" i="17"/>
  <c r="G28" i="17" s="1"/>
  <c r="V14" i="8"/>
  <c r="V41" i="8" s="1"/>
  <c r="X16" i="5"/>
  <c r="W19" i="5"/>
  <c r="W17" i="5"/>
  <c r="W20" i="5" s="1"/>
  <c r="P32" i="7" l="1"/>
  <c r="W14" i="8"/>
  <c r="W41" i="8" s="1"/>
  <c r="Q35" i="7"/>
  <c r="Q36" i="7" s="1"/>
  <c r="X50" i="8"/>
  <c r="W44" i="8"/>
  <c r="X19" i="5"/>
  <c r="X22" i="5" s="1"/>
  <c r="X17" i="5"/>
  <c r="X20" i="5" s="1"/>
  <c r="Y16" i="5"/>
  <c r="W22" i="5"/>
  <c r="G41" i="17"/>
  <c r="H91" i="6"/>
  <c r="G28" i="8"/>
  <c r="Q30" i="7"/>
  <c r="E45" i="4"/>
  <c r="E11" i="14" s="1"/>
  <c r="E20" i="14"/>
  <c r="R34" i="7" l="1"/>
  <c r="X14" i="8"/>
  <c r="X41" i="8" s="1"/>
  <c r="X44" i="8"/>
  <c r="Y50" i="8"/>
  <c r="H69" i="6"/>
  <c r="H70" i="6" s="1"/>
  <c r="I65" i="6" s="1"/>
  <c r="I68" i="6" s="1"/>
  <c r="H24" i="7"/>
  <c r="X22" i="17"/>
  <c r="X9" i="8"/>
  <c r="X37" i="8"/>
  <c r="X38" i="8" s="1"/>
  <c r="G33" i="8"/>
  <c r="G29" i="8"/>
  <c r="Q31" i="7"/>
  <c r="Q32" i="7"/>
  <c r="Y19" i="5"/>
  <c r="Y22" i="5" s="1"/>
  <c r="Y37" i="8" s="1"/>
  <c r="Y38" i="8" s="1"/>
  <c r="Y17" i="5"/>
  <c r="Y20" i="5" s="1"/>
  <c r="Z16" i="5"/>
  <c r="W22" i="17"/>
  <c r="W9" i="8"/>
  <c r="W37" i="8"/>
  <c r="W38" i="8" s="1"/>
  <c r="Y14" i="8" l="1"/>
  <c r="Y41" i="8" s="1"/>
  <c r="H38" i="7"/>
  <c r="H25" i="7"/>
  <c r="H62" i="6"/>
  <c r="H63" i="6" s="1"/>
  <c r="I58" i="6" s="1"/>
  <c r="I61" i="6" s="1"/>
  <c r="E68" i="18"/>
  <c r="G45" i="8"/>
  <c r="G39" i="8"/>
  <c r="H8" i="8"/>
  <c r="G34" i="8"/>
  <c r="H34" i="6"/>
  <c r="H35" i="6" s="1"/>
  <c r="I30" i="6" s="1"/>
  <c r="Z17" i="5"/>
  <c r="Z20" i="5" s="1"/>
  <c r="AA16" i="5"/>
  <c r="Z19" i="5"/>
  <c r="Z22" i="5" s="1"/>
  <c r="H20" i="6"/>
  <c r="H21" i="6" s="1"/>
  <c r="I16" i="6" s="1"/>
  <c r="H83" i="6"/>
  <c r="H84" i="6" s="1"/>
  <c r="I79" i="6" s="1"/>
  <c r="I82" i="6" s="1"/>
  <c r="H27" i="6"/>
  <c r="H28" i="6" s="1"/>
  <c r="I23" i="6" s="1"/>
  <c r="Y44" i="8"/>
  <c r="Z50" i="8"/>
  <c r="Y22" i="17"/>
  <c r="Y9" i="8"/>
  <c r="H41" i="6"/>
  <c r="H42" i="6" s="1"/>
  <c r="I37" i="6" s="1"/>
  <c r="R30" i="7"/>
  <c r="H48" i="6"/>
  <c r="H49" i="6" s="1"/>
  <c r="I44" i="6" s="1"/>
  <c r="H55" i="6"/>
  <c r="H56" i="6" s="1"/>
  <c r="I51" i="6" s="1"/>
  <c r="I54" i="6" s="1"/>
  <c r="R35" i="7"/>
  <c r="R36" i="7"/>
  <c r="H13" i="6"/>
  <c r="H14" i="6" s="1"/>
  <c r="H76" i="6"/>
  <c r="H77" i="6" s="1"/>
  <c r="I72" i="6" s="1"/>
  <c r="I75" i="6" s="1"/>
  <c r="Z14" i="8" l="1"/>
  <c r="Z41" i="8" s="1"/>
  <c r="R31" i="7"/>
  <c r="Z22" i="17"/>
  <c r="Z9" i="8"/>
  <c r="Z37" i="8"/>
  <c r="Z38" i="8" s="1"/>
  <c r="G47" i="8"/>
  <c r="H92" i="6"/>
  <c r="I9" i="6"/>
  <c r="I32" i="6"/>
  <c r="I33" i="6" s="1"/>
  <c r="H33" i="17"/>
  <c r="H52" i="8"/>
  <c r="H23" i="17"/>
  <c r="I39" i="6"/>
  <c r="I40" i="6"/>
  <c r="AA50" i="8"/>
  <c r="Z44" i="8"/>
  <c r="I18" i="6"/>
  <c r="I19" i="6"/>
  <c r="I25" i="6"/>
  <c r="I26" i="6" s="1"/>
  <c r="I46" i="6"/>
  <c r="I47" i="6" s="1"/>
  <c r="AB16" i="5"/>
  <c r="AA19" i="5"/>
  <c r="AA22" i="5" s="1"/>
  <c r="AA17" i="5"/>
  <c r="AA20" i="5" s="1"/>
  <c r="S34" i="7"/>
  <c r="E13" i="19"/>
  <c r="E14" i="19" s="1"/>
  <c r="F30" i="19"/>
  <c r="G30" i="19" s="1"/>
  <c r="F31" i="19"/>
  <c r="G31" i="19" s="1"/>
  <c r="E74" i="18"/>
  <c r="AA41" i="8" l="1"/>
  <c r="AA14" i="8"/>
  <c r="AA22" i="17"/>
  <c r="AA9" i="8"/>
  <c r="AA37" i="8"/>
  <c r="AA38" i="8" s="1"/>
  <c r="E23" i="19"/>
  <c r="E24" i="19"/>
  <c r="AA44" i="8"/>
  <c r="AB50" i="8"/>
  <c r="E81" i="18"/>
  <c r="E80" i="18"/>
  <c r="AB19" i="5"/>
  <c r="AB17" i="5"/>
  <c r="AB20" i="5" s="1"/>
  <c r="F13" i="9" s="1"/>
  <c r="AC16" i="5"/>
  <c r="H54" i="8"/>
  <c r="H10" i="8" s="1"/>
  <c r="H40" i="8"/>
  <c r="H55" i="8"/>
  <c r="I53" i="8" s="1"/>
  <c r="I11" i="6"/>
  <c r="I89" i="6" s="1"/>
  <c r="S35" i="7"/>
  <c r="S36" i="7" s="1"/>
  <c r="R32" i="7"/>
  <c r="H25" i="17"/>
  <c r="H27" i="17" s="1"/>
  <c r="H26" i="17"/>
  <c r="I24" i="17" s="1"/>
  <c r="T34" i="7" l="1"/>
  <c r="AC19" i="5"/>
  <c r="AD16" i="5"/>
  <c r="AC17" i="5"/>
  <c r="AC20" i="5" s="1"/>
  <c r="I31" i="17"/>
  <c r="I12" i="6"/>
  <c r="AB22" i="5"/>
  <c r="F9" i="4"/>
  <c r="AB14" i="8"/>
  <c r="F32" i="4" s="1"/>
  <c r="H40" i="17"/>
  <c r="H42" i="8"/>
  <c r="H30" i="17"/>
  <c r="H28" i="17" s="1"/>
  <c r="H15" i="8"/>
  <c r="S30" i="7"/>
  <c r="AC50" i="8"/>
  <c r="AB44" i="8"/>
  <c r="F47" i="4" s="1"/>
  <c r="AB22" i="17" l="1"/>
  <c r="AB9" i="8"/>
  <c r="F11" i="4"/>
  <c r="AB37" i="8"/>
  <c r="AB38" i="8" s="1"/>
  <c r="H42" i="17"/>
  <c r="H41" i="17"/>
  <c r="AD50" i="8"/>
  <c r="AC44" i="8"/>
  <c r="AD19" i="5"/>
  <c r="AD22" i="5" s="1"/>
  <c r="AE16" i="5"/>
  <c r="AD17" i="5"/>
  <c r="AD20" i="5" s="1"/>
  <c r="S31" i="7"/>
  <c r="I91" i="6"/>
  <c r="AC22" i="5"/>
  <c r="AB41" i="8"/>
  <c r="H28" i="8"/>
  <c r="T35" i="7"/>
  <c r="T36" i="7"/>
  <c r="H29" i="8" l="1"/>
  <c r="H30" i="8" s="1"/>
  <c r="H31" i="8"/>
  <c r="F54" i="4"/>
  <c r="AC14" i="8"/>
  <c r="F46" i="4"/>
  <c r="AF16" i="5"/>
  <c r="AE19" i="5"/>
  <c r="AE22" i="5" s="1"/>
  <c r="AE17" i="5"/>
  <c r="AE20" i="5" s="1"/>
  <c r="AC22" i="17"/>
  <c r="AC9" i="8"/>
  <c r="AC37" i="8"/>
  <c r="AC38" i="8" s="1"/>
  <c r="H44" i="17"/>
  <c r="AD22" i="17"/>
  <c r="AD9" i="8"/>
  <c r="AD37" i="8"/>
  <c r="AD38" i="8" s="1"/>
  <c r="F9" i="1"/>
  <c r="F26" i="4"/>
  <c r="U34" i="7"/>
  <c r="I83" i="6"/>
  <c r="I84" i="6" s="1"/>
  <c r="J79" i="6" s="1"/>
  <c r="J82" i="6" s="1"/>
  <c r="I69" i="6"/>
  <c r="I70" i="6" s="1"/>
  <c r="J65" i="6" s="1"/>
  <c r="J68" i="6" s="1"/>
  <c r="I76" i="6"/>
  <c r="I77" i="6" s="1"/>
  <c r="J72" i="6" s="1"/>
  <c r="J75" i="6" s="1"/>
  <c r="I34" i="6"/>
  <c r="I35" i="6" s="1"/>
  <c r="J30" i="6" s="1"/>
  <c r="I20" i="6"/>
  <c r="I21" i="6" s="1"/>
  <c r="J16" i="6" s="1"/>
  <c r="I27" i="6"/>
  <c r="I28" i="6" s="1"/>
  <c r="J23" i="6" s="1"/>
  <c r="I62" i="6"/>
  <c r="I63" i="6" s="1"/>
  <c r="J58" i="6" s="1"/>
  <c r="J61" i="6" s="1"/>
  <c r="I24" i="7"/>
  <c r="I48" i="6" s="1"/>
  <c r="I49" i="6" s="1"/>
  <c r="J44" i="6" s="1"/>
  <c r="S32" i="7"/>
  <c r="AE50" i="8"/>
  <c r="AD44" i="8"/>
  <c r="F9" i="17"/>
  <c r="J46" i="6" l="1"/>
  <c r="J47" i="6" s="1"/>
  <c r="J32" i="6"/>
  <c r="J33" i="6" s="1"/>
  <c r="J19" i="6"/>
  <c r="J18" i="6"/>
  <c r="AF50" i="8"/>
  <c r="AE44" i="8"/>
  <c r="AE22" i="17"/>
  <c r="AE9" i="8"/>
  <c r="AE37" i="8"/>
  <c r="AE38" i="8" s="1"/>
  <c r="T30" i="7"/>
  <c r="I13" i="6"/>
  <c r="I14" i="6" s="1"/>
  <c r="U35" i="7"/>
  <c r="U36" i="7"/>
  <c r="AF17" i="5"/>
  <c r="AF20" i="5" s="1"/>
  <c r="AG16" i="5"/>
  <c r="AF19" i="5"/>
  <c r="I41" i="6"/>
  <c r="I42" i="6" s="1"/>
  <c r="J37" i="6" s="1"/>
  <c r="F17" i="14"/>
  <c r="H32" i="8"/>
  <c r="J25" i="6"/>
  <c r="J26" i="6" s="1"/>
  <c r="I38" i="7"/>
  <c r="I25" i="7"/>
  <c r="I55" i="6"/>
  <c r="I56" i="6" s="1"/>
  <c r="J51" i="6" s="1"/>
  <c r="J54" i="6" s="1"/>
  <c r="AC41" i="8"/>
  <c r="H33" i="8"/>
  <c r="I17" i="8" l="1"/>
  <c r="H36" i="8"/>
  <c r="H46" i="8" s="1"/>
  <c r="H35" i="8"/>
  <c r="H39" i="8" s="1"/>
  <c r="V34" i="7"/>
  <c r="AF22" i="5"/>
  <c r="I33" i="17"/>
  <c r="I23" i="17"/>
  <c r="AG19" i="5"/>
  <c r="AG22" i="5" s="1"/>
  <c r="AG17" i="5"/>
  <c r="AG20" i="5" s="1"/>
  <c r="AH16" i="5"/>
  <c r="AG50" i="8"/>
  <c r="AF44" i="8"/>
  <c r="J39" i="6"/>
  <c r="J40" i="6" s="1"/>
  <c r="I92" i="6"/>
  <c r="J9" i="6"/>
  <c r="H45" i="8"/>
  <c r="I8" i="8"/>
  <c r="H34" i="8"/>
  <c r="T31" i="7"/>
  <c r="T32" i="7" s="1"/>
  <c r="AD14" i="8"/>
  <c r="U30" i="7" l="1"/>
  <c r="H47" i="8"/>
  <c r="J11" i="6"/>
  <c r="J89" i="6" s="1"/>
  <c r="AH17" i="5"/>
  <c r="AH20" i="5" s="1"/>
  <c r="G10" i="10" s="1"/>
  <c r="AI16" i="5"/>
  <c r="AH19" i="5"/>
  <c r="AG44" i="8"/>
  <c r="AH50" i="8"/>
  <c r="I21" i="8"/>
  <c r="I22" i="8" s="1"/>
  <c r="I52" i="8" s="1"/>
  <c r="AF22" i="17"/>
  <c r="AF9" i="8"/>
  <c r="AF37" i="8"/>
  <c r="AF38" i="8" s="1"/>
  <c r="AD41" i="8"/>
  <c r="AG22" i="17"/>
  <c r="AG9" i="8"/>
  <c r="AG37" i="8"/>
  <c r="AG38" i="8" s="1"/>
  <c r="I30" i="17"/>
  <c r="I28" i="17" s="1"/>
  <c r="I25" i="17"/>
  <c r="I27" i="17" s="1"/>
  <c r="I26" i="17"/>
  <c r="J24" i="17" s="1"/>
  <c r="V35" i="7"/>
  <c r="V36" i="7" s="1"/>
  <c r="W34" i="7" s="1"/>
  <c r="W35" i="7" l="1"/>
  <c r="W36" i="7"/>
  <c r="X34" i="7" s="1"/>
  <c r="I54" i="8"/>
  <c r="I10" i="8" s="1"/>
  <c r="I55" i="8"/>
  <c r="J53" i="8" s="1"/>
  <c r="J31" i="17"/>
  <c r="E11" i="10"/>
  <c r="E13" i="10" s="1"/>
  <c r="AE14" i="8"/>
  <c r="I40" i="17"/>
  <c r="I41" i="17" s="1"/>
  <c r="J12" i="6"/>
  <c r="I42" i="17"/>
  <c r="AI50" i="8"/>
  <c r="AH44" i="8"/>
  <c r="AH22" i="5"/>
  <c r="AI17" i="5"/>
  <c r="AI20" i="5" s="1"/>
  <c r="AJ16" i="5"/>
  <c r="AI19" i="5"/>
  <c r="AI22" i="5" s="1"/>
  <c r="U31" i="7"/>
  <c r="U32" i="7" s="1"/>
  <c r="V30" i="7" l="1"/>
  <c r="AH22" i="17"/>
  <c r="AH9" i="8"/>
  <c r="AH37" i="8"/>
  <c r="AH38" i="8" s="1"/>
  <c r="AI22" i="17"/>
  <c r="AI9" i="8"/>
  <c r="AI37" i="8"/>
  <c r="AI38" i="8" s="1"/>
  <c r="AJ19" i="5"/>
  <c r="AJ22" i="5" s="1"/>
  <c r="AJ17" i="5"/>
  <c r="AJ20" i="5" s="1"/>
  <c r="AK16" i="5"/>
  <c r="I44" i="17"/>
  <c r="I15" i="8"/>
  <c r="I28" i="8" s="1"/>
  <c r="AE41" i="8"/>
  <c r="I40" i="8"/>
  <c r="AI44" i="8"/>
  <c r="AJ50" i="8"/>
  <c r="J91" i="6"/>
  <c r="X35" i="7"/>
  <c r="X36" i="7" s="1"/>
  <c r="Y34" i="7" s="1"/>
  <c r="Y35" i="7" l="1"/>
  <c r="Y36" i="7" s="1"/>
  <c r="Z34" i="7" s="1"/>
  <c r="AJ44" i="8"/>
  <c r="AK50" i="8"/>
  <c r="I29" i="8"/>
  <c r="I30" i="8" s="1"/>
  <c r="I31" i="8"/>
  <c r="AL16" i="5"/>
  <c r="AK19" i="5"/>
  <c r="AK22" i="5" s="1"/>
  <c r="AK17" i="5"/>
  <c r="AK20" i="5" s="1"/>
  <c r="J76" i="6"/>
  <c r="J77" i="6" s="1"/>
  <c r="K72" i="6" s="1"/>
  <c r="K75" i="6" s="1"/>
  <c r="J55" i="6"/>
  <c r="J56" i="6" s="1"/>
  <c r="K51" i="6" s="1"/>
  <c r="J20" i="6"/>
  <c r="J21" i="6" s="1"/>
  <c r="K16" i="6" s="1"/>
  <c r="J34" i="6"/>
  <c r="J35" i="6" s="1"/>
  <c r="K30" i="6" s="1"/>
  <c r="J27" i="6"/>
  <c r="J28" i="6" s="1"/>
  <c r="K23" i="6" s="1"/>
  <c r="J24" i="7"/>
  <c r="J48" i="6" s="1"/>
  <c r="J49" i="6" s="1"/>
  <c r="K44" i="6" s="1"/>
  <c r="AJ22" i="17"/>
  <c r="AJ9" i="8"/>
  <c r="AJ37" i="8"/>
  <c r="AJ38" i="8" s="1"/>
  <c r="I42" i="8"/>
  <c r="AF14" i="8"/>
  <c r="AF41" i="8" s="1"/>
  <c r="V31" i="7"/>
  <c r="V32" i="7" s="1"/>
  <c r="W30" i="7" s="1"/>
  <c r="I33" i="8" l="1"/>
  <c r="K46" i="6"/>
  <c r="K47" i="6" s="1"/>
  <c r="W31" i="7"/>
  <c r="W32" i="7" s="1"/>
  <c r="X30" i="7" s="1"/>
  <c r="I45" i="8"/>
  <c r="J8" i="8"/>
  <c r="I34" i="8"/>
  <c r="AG14" i="8"/>
  <c r="AG41" i="8" s="1"/>
  <c r="Z36" i="7"/>
  <c r="AA34" i="7" s="1"/>
  <c r="Z35" i="7"/>
  <c r="K32" i="6"/>
  <c r="K33" i="6" s="1"/>
  <c r="K18" i="6"/>
  <c r="K19" i="6"/>
  <c r="I32" i="8"/>
  <c r="K53" i="6"/>
  <c r="K54" i="6" s="1"/>
  <c r="J25" i="7"/>
  <c r="J38" i="7"/>
  <c r="J69" i="6"/>
  <c r="J70" i="6" s="1"/>
  <c r="K65" i="6" s="1"/>
  <c r="K68" i="6" s="1"/>
  <c r="AK22" i="17"/>
  <c r="AK9" i="8"/>
  <c r="AK37" i="8"/>
  <c r="AK38" i="8" s="1"/>
  <c r="J13" i="6"/>
  <c r="J14" i="6" s="1"/>
  <c r="J83" i="6"/>
  <c r="J84" i="6" s="1"/>
  <c r="K79" i="6" s="1"/>
  <c r="K82" i="6" s="1"/>
  <c r="AM16" i="5"/>
  <c r="AL19" i="5"/>
  <c r="AL22" i="5" s="1"/>
  <c r="AL17" i="5"/>
  <c r="AL20" i="5" s="1"/>
  <c r="K25" i="6"/>
  <c r="K26" i="6" s="1"/>
  <c r="AL50" i="8"/>
  <c r="AK44" i="8"/>
  <c r="J41" i="6"/>
  <c r="J42" i="6" s="1"/>
  <c r="K37" i="6" s="1"/>
  <c r="J62" i="6"/>
  <c r="J63" i="6" s="1"/>
  <c r="K58" i="6" s="1"/>
  <c r="K61" i="6" s="1"/>
  <c r="AH14" i="8" l="1"/>
  <c r="AH41" i="8" s="1"/>
  <c r="X31" i="7"/>
  <c r="X32" i="7" s="1"/>
  <c r="Y30" i="7" s="1"/>
  <c r="AL22" i="17"/>
  <c r="AL9" i="8"/>
  <c r="AL37" i="8"/>
  <c r="AL38" i="8" s="1"/>
  <c r="J33" i="17"/>
  <c r="E14" i="10"/>
  <c r="J23" i="17"/>
  <c r="AN16" i="5"/>
  <c r="AM19" i="5"/>
  <c r="AM22" i="5" s="1"/>
  <c r="AM17" i="5"/>
  <c r="AM20" i="5" s="1"/>
  <c r="J92" i="6"/>
  <c r="K9" i="6"/>
  <c r="J17" i="8"/>
  <c r="I36" i="8"/>
  <c r="I46" i="8" s="1"/>
  <c r="I35" i="8"/>
  <c r="I39" i="8" s="1"/>
  <c r="AA36" i="7"/>
  <c r="AB34" i="7" s="1"/>
  <c r="AA35" i="7"/>
  <c r="K39" i="6"/>
  <c r="K40" i="6" s="1"/>
  <c r="AM50" i="8"/>
  <c r="AL44" i="8"/>
  <c r="Y31" i="7" l="1"/>
  <c r="Y32" i="7"/>
  <c r="Z30" i="7" s="1"/>
  <c r="AI41" i="8"/>
  <c r="AI14" i="8"/>
  <c r="AN50" i="8"/>
  <c r="AM44" i="8"/>
  <c r="AM22" i="17"/>
  <c r="AM9" i="8"/>
  <c r="AM37" i="8"/>
  <c r="AM38" i="8" s="1"/>
  <c r="AB35" i="7"/>
  <c r="AB36" i="7"/>
  <c r="I47" i="8"/>
  <c r="J21" i="8"/>
  <c r="J22" i="8" s="1"/>
  <c r="J52" i="8" s="1"/>
  <c r="AN19" i="5"/>
  <c r="AO16" i="5"/>
  <c r="AN17" i="5"/>
  <c r="AN20" i="5" s="1"/>
  <c r="G13" i="9" s="1"/>
  <c r="J30" i="17"/>
  <c r="J28" i="17" s="1"/>
  <c r="J25" i="17"/>
  <c r="J27" i="17" s="1"/>
  <c r="J40" i="17" s="1"/>
  <c r="J26" i="17"/>
  <c r="K24" i="17" s="1"/>
  <c r="K11" i="6"/>
  <c r="K89" i="6" s="1"/>
  <c r="K12" i="6"/>
  <c r="E15" i="10"/>
  <c r="E16" i="10" s="1"/>
  <c r="E18" i="10" l="1"/>
  <c r="E17" i="10"/>
  <c r="K91" i="6"/>
  <c r="AO50" i="8"/>
  <c r="AN44" i="8"/>
  <c r="G47" i="4" s="1"/>
  <c r="J41" i="17"/>
  <c r="J42" i="17"/>
  <c r="K31" i="17"/>
  <c r="AO19" i="5"/>
  <c r="AO17" i="5"/>
  <c r="AO20" i="5" s="1"/>
  <c r="AP16" i="5"/>
  <c r="AN22" i="5"/>
  <c r="G9" i="4"/>
  <c r="AC34" i="7"/>
  <c r="F40" i="4"/>
  <c r="F12" i="14" s="1"/>
  <c r="F21" i="14"/>
  <c r="AJ14" i="8"/>
  <c r="AJ41" i="8"/>
  <c r="Z31" i="7"/>
  <c r="Z32" i="7" s="1"/>
  <c r="AA30" i="7" s="1"/>
  <c r="J54" i="8"/>
  <c r="J10" i="8" s="1"/>
  <c r="J15" i="8" s="1"/>
  <c r="J28" i="8" s="1"/>
  <c r="J55" i="8"/>
  <c r="K53" i="8" s="1"/>
  <c r="K27" i="6" l="1"/>
  <c r="K28" i="6" s="1"/>
  <c r="L23" i="6" s="1"/>
  <c r="K24" i="7"/>
  <c r="K69" i="6" s="1"/>
  <c r="K70" i="6" s="1"/>
  <c r="L65" i="6" s="1"/>
  <c r="L68" i="6" s="1"/>
  <c r="AP17" i="5"/>
  <c r="AP20" i="5" s="1"/>
  <c r="AP19" i="5"/>
  <c r="AP22" i="5" s="1"/>
  <c r="AQ16" i="5"/>
  <c r="AN22" i="17"/>
  <c r="AN9" i="8"/>
  <c r="AN37" i="8"/>
  <c r="AN38" i="8" s="1"/>
  <c r="G11" i="4"/>
  <c r="AA31" i="7"/>
  <c r="AA32" i="7"/>
  <c r="AB30" i="7" s="1"/>
  <c r="AC35" i="7"/>
  <c r="AC36" i="7" s="1"/>
  <c r="J44" i="17"/>
  <c r="AK14" i="8"/>
  <c r="AK41" i="8"/>
  <c r="J29" i="8"/>
  <c r="J30" i="8" s="1"/>
  <c r="J31" i="8"/>
  <c r="AO22" i="5"/>
  <c r="AP50" i="8"/>
  <c r="AO44" i="8"/>
  <c r="J40" i="8"/>
  <c r="J42" i="8" s="1"/>
  <c r="E17" i="1"/>
  <c r="K55" i="6" l="1"/>
  <c r="K56" i="6" s="1"/>
  <c r="L51" i="6" s="1"/>
  <c r="K34" i="6"/>
  <c r="K35" i="6" s="1"/>
  <c r="L30" i="6" s="1"/>
  <c r="K48" i="6"/>
  <c r="K49" i="6" s="1"/>
  <c r="L44" i="6" s="1"/>
  <c r="K62" i="6"/>
  <c r="K63" i="6" s="1"/>
  <c r="L58" i="6" s="1"/>
  <c r="L61" i="6" s="1"/>
  <c r="AD34" i="7"/>
  <c r="J32" i="8"/>
  <c r="G9" i="17"/>
  <c r="L53" i="6"/>
  <c r="L54" i="6" s="1"/>
  <c r="J33" i="8"/>
  <c r="AQ19" i="5"/>
  <c r="AQ22" i="5" s="1"/>
  <c r="AR16" i="5"/>
  <c r="AQ17" i="5"/>
  <c r="AQ20" i="5" s="1"/>
  <c r="L25" i="6"/>
  <c r="L26" i="6" s="1"/>
  <c r="L46" i="6"/>
  <c r="L47" i="6" s="1"/>
  <c r="F31" i="10"/>
  <c r="F33" i="10" s="1"/>
  <c r="AL14" i="8"/>
  <c r="AL41" i="8" s="1"/>
  <c r="AQ50" i="8"/>
  <c r="AP44" i="8"/>
  <c r="G26" i="4"/>
  <c r="K13" i="6"/>
  <c r="K14" i="6" s="1"/>
  <c r="AB31" i="7"/>
  <c r="F18" i="4" s="1"/>
  <c r="AP22" i="17"/>
  <c r="AP9" i="8"/>
  <c r="AP37" i="8"/>
  <c r="AP38" i="8" s="1"/>
  <c r="L32" i="6"/>
  <c r="L33" i="6"/>
  <c r="G9" i="1"/>
  <c r="G54" i="4"/>
  <c r="K38" i="7"/>
  <c r="K25" i="7"/>
  <c r="AO22" i="17"/>
  <c r="AO9" i="8"/>
  <c r="AO37" i="8"/>
  <c r="AO38" i="8" s="1"/>
  <c r="K20" i="6"/>
  <c r="K21" i="6" s="1"/>
  <c r="L16" i="6" s="1"/>
  <c r="K76" i="6"/>
  <c r="K77" i="6" s="1"/>
  <c r="L72" i="6" s="1"/>
  <c r="L75" i="6" s="1"/>
  <c r="K41" i="6"/>
  <c r="K42" i="6" s="1"/>
  <c r="L37" i="6" s="1"/>
  <c r="K83" i="6"/>
  <c r="K84" i="6" s="1"/>
  <c r="L79" i="6" s="1"/>
  <c r="L82" i="6" s="1"/>
  <c r="AB32" i="7" l="1"/>
  <c r="AM14" i="8"/>
  <c r="AM41" i="8" s="1"/>
  <c r="AC30" i="7"/>
  <c r="F45" i="4"/>
  <c r="F11" i="14" s="1"/>
  <c r="F20" i="14"/>
  <c r="K33" i="17"/>
  <c r="K23" i="17"/>
  <c r="AR19" i="5"/>
  <c r="AR22" i="5" s="1"/>
  <c r="AR17" i="5"/>
  <c r="AR20" i="5" s="1"/>
  <c r="AS16" i="5"/>
  <c r="K92" i="6"/>
  <c r="L9" i="6"/>
  <c r="F32" i="10"/>
  <c r="J45" i="8"/>
  <c r="K8" i="8"/>
  <c r="J34" i="8"/>
  <c r="L18" i="6"/>
  <c r="L19" i="6" s="1"/>
  <c r="K17" i="8"/>
  <c r="J36" i="8"/>
  <c r="J46" i="8" s="1"/>
  <c r="J35" i="8"/>
  <c r="J39" i="8" s="1"/>
  <c r="J47" i="8" s="1"/>
  <c r="L39" i="6"/>
  <c r="L40" i="6" s="1"/>
  <c r="G17" i="14"/>
  <c r="AQ22" i="17"/>
  <c r="AQ9" i="8"/>
  <c r="AQ37" i="8"/>
  <c r="AQ38" i="8" s="1"/>
  <c r="AD35" i="7"/>
  <c r="AD36" i="7"/>
  <c r="AQ44" i="8"/>
  <c r="AR50" i="8"/>
  <c r="AN14" i="8" l="1"/>
  <c r="G32" i="4" s="1"/>
  <c r="AS17" i="5"/>
  <c r="AS20" i="5" s="1"/>
  <c r="AS19" i="5"/>
  <c r="AT16" i="5"/>
  <c r="AC31" i="7"/>
  <c r="K25" i="17"/>
  <c r="K27" i="17" s="1"/>
  <c r="K40" i="17" s="1"/>
  <c r="K30" i="17"/>
  <c r="K28" i="17" s="1"/>
  <c r="K26" i="17"/>
  <c r="L24" i="17" s="1"/>
  <c r="AE34" i="7"/>
  <c r="K21" i="8"/>
  <c r="K22" i="8" s="1"/>
  <c r="K52" i="8" s="1"/>
  <c r="AR44" i="8"/>
  <c r="AS50" i="8"/>
  <c r="AR22" i="17"/>
  <c r="AR9" i="8"/>
  <c r="AR37" i="8"/>
  <c r="AR38" i="8" s="1"/>
  <c r="L11" i="6"/>
  <c r="L89" i="6" s="1"/>
  <c r="AT17" i="5" l="1"/>
  <c r="AT20" i="5" s="1"/>
  <c r="H10" i="10" s="1"/>
  <c r="AU16" i="5"/>
  <c r="AT19" i="5"/>
  <c r="AT22" i="5" s="1"/>
  <c r="K54" i="8"/>
  <c r="K10" i="8" s="1"/>
  <c r="K15" i="8" s="1"/>
  <c r="K28" i="8" s="1"/>
  <c r="K55" i="8"/>
  <c r="L53" i="8" s="1"/>
  <c r="AS22" i="5"/>
  <c r="L31" i="17"/>
  <c r="L12" i="6"/>
  <c r="AC32" i="7"/>
  <c r="AE35" i="7"/>
  <c r="AE36" i="7" s="1"/>
  <c r="AN41" i="8"/>
  <c r="AS44" i="8"/>
  <c r="AT50" i="8"/>
  <c r="K41" i="17"/>
  <c r="K42" i="17"/>
  <c r="AF34" i="7" l="1"/>
  <c r="K44" i="17"/>
  <c r="AD30" i="7"/>
  <c r="L91" i="6"/>
  <c r="K29" i="8"/>
  <c r="K30" i="8" s="1"/>
  <c r="K31" i="8"/>
  <c r="AU50" i="8"/>
  <c r="AT44" i="8"/>
  <c r="K40" i="8"/>
  <c r="K42" i="8" s="1"/>
  <c r="AT22" i="17"/>
  <c r="AT9" i="8"/>
  <c r="AT37" i="8"/>
  <c r="AT38" i="8" s="1"/>
  <c r="AO14" i="8"/>
  <c r="G46" i="4"/>
  <c r="AV16" i="5"/>
  <c r="AU19" i="5"/>
  <c r="AU22" i="5" s="1"/>
  <c r="AU17" i="5"/>
  <c r="AU20" i="5" s="1"/>
  <c r="AS22" i="17"/>
  <c r="AS9" i="8"/>
  <c r="AS37" i="8"/>
  <c r="AS38" i="8" s="1"/>
  <c r="AW16" i="5" l="1"/>
  <c r="AV19" i="5"/>
  <c r="AV22" i="5" s="1"/>
  <c r="AV17" i="5"/>
  <c r="AV20" i="5" s="1"/>
  <c r="K32" i="8"/>
  <c r="K33" i="8"/>
  <c r="L69" i="6"/>
  <c r="L70" i="6" s="1"/>
  <c r="M65" i="6" s="1"/>
  <c r="M68" i="6" s="1"/>
  <c r="L55" i="6"/>
  <c r="L56" i="6" s="1"/>
  <c r="M51" i="6" s="1"/>
  <c r="L48" i="6"/>
  <c r="L49" i="6" s="1"/>
  <c r="M44" i="6" s="1"/>
  <c r="L24" i="7"/>
  <c r="L83" i="6" s="1"/>
  <c r="L84" i="6" s="1"/>
  <c r="M79" i="6" s="1"/>
  <c r="M82" i="6" s="1"/>
  <c r="AD31" i="7"/>
  <c r="AD32" i="7"/>
  <c r="AO41" i="8"/>
  <c r="AV50" i="8"/>
  <c r="AU44" i="8"/>
  <c r="AU22" i="17"/>
  <c r="AU9" i="8"/>
  <c r="AU37" i="8"/>
  <c r="AU38" i="8" s="1"/>
  <c r="AF35" i="7"/>
  <c r="AF36" i="7" s="1"/>
  <c r="L41" i="6" l="1"/>
  <c r="L42" i="6" s="1"/>
  <c r="M37" i="6" s="1"/>
  <c r="L34" i="6"/>
  <c r="L35" i="6" s="1"/>
  <c r="M30" i="6" s="1"/>
  <c r="L13" i="6"/>
  <c r="L14" i="6" s="1"/>
  <c r="AG34" i="7"/>
  <c r="AW50" i="8"/>
  <c r="AV44" i="8"/>
  <c r="M32" i="6"/>
  <c r="M33" i="6" s="1"/>
  <c r="M9" i="6"/>
  <c r="M46" i="6"/>
  <c r="M47" i="6" s="1"/>
  <c r="M53" i="6"/>
  <c r="M54" i="6" s="1"/>
  <c r="L17" i="8"/>
  <c r="K36" i="8"/>
  <c r="K46" i="8" s="1"/>
  <c r="K35" i="8"/>
  <c r="K39" i="8" s="1"/>
  <c r="K47" i="8" s="1"/>
  <c r="M39" i="6"/>
  <c r="M40" i="6" s="1"/>
  <c r="AP41" i="8"/>
  <c r="AP14" i="8"/>
  <c r="K45" i="8"/>
  <c r="L8" i="8"/>
  <c r="K34" i="8"/>
  <c r="AE30" i="7"/>
  <c r="AV22" i="17"/>
  <c r="AV9" i="8"/>
  <c r="AV37" i="8"/>
  <c r="AV38" i="8" s="1"/>
  <c r="L27" i="6"/>
  <c r="L28" i="6" s="1"/>
  <c r="M23" i="6" s="1"/>
  <c r="AW19" i="5"/>
  <c r="AW22" i="5" s="1"/>
  <c r="AW17" i="5"/>
  <c r="AW20" i="5" s="1"/>
  <c r="AX16" i="5"/>
  <c r="L38" i="7"/>
  <c r="L25" i="7"/>
  <c r="L62" i="6"/>
  <c r="L63" i="6" s="1"/>
  <c r="M58" i="6" s="1"/>
  <c r="M61" i="6" s="1"/>
  <c r="L20" i="6"/>
  <c r="L21" i="6" s="1"/>
  <c r="M16" i="6" s="1"/>
  <c r="L76" i="6"/>
  <c r="L77" i="6" s="1"/>
  <c r="M72" i="6" s="1"/>
  <c r="M75" i="6" s="1"/>
  <c r="AW22" i="17" l="1"/>
  <c r="AW9" i="8"/>
  <c r="AW37" i="8"/>
  <c r="AW38" i="8" s="1"/>
  <c r="AQ14" i="8"/>
  <c r="AQ41" i="8"/>
  <c r="L33" i="17"/>
  <c r="L23" i="17"/>
  <c r="AE31" i="7"/>
  <c r="AE32" i="7" s="1"/>
  <c r="L92" i="6"/>
  <c r="AX50" i="8"/>
  <c r="AW44" i="8"/>
  <c r="M11" i="6"/>
  <c r="M12" i="6"/>
  <c r="M25" i="6"/>
  <c r="M26" i="6" s="1"/>
  <c r="AX19" i="5"/>
  <c r="AX22" i="5" s="1"/>
  <c r="AY16" i="5"/>
  <c r="AX17" i="5"/>
  <c r="AX20" i="5" s="1"/>
  <c r="L21" i="8"/>
  <c r="L22" i="8" s="1"/>
  <c r="L52" i="8" s="1"/>
  <c r="M18" i="6"/>
  <c r="M19" i="6" s="1"/>
  <c r="AG35" i="7"/>
  <c r="AG36" i="7" s="1"/>
  <c r="AF30" i="7" l="1"/>
  <c r="AH34" i="7"/>
  <c r="L54" i="8"/>
  <c r="L10" i="8" s="1"/>
  <c r="L15" i="8" s="1"/>
  <c r="L28" i="8" s="1"/>
  <c r="L40" i="8"/>
  <c r="L42" i="8" s="1"/>
  <c r="L55" i="8"/>
  <c r="M53" i="8" s="1"/>
  <c r="AX22" i="17"/>
  <c r="AX9" i="8"/>
  <c r="AX37" i="8"/>
  <c r="AX38" i="8" s="1"/>
  <c r="AY50" i="8"/>
  <c r="AX44" i="8"/>
  <c r="AR14" i="8"/>
  <c r="AR41" i="8" s="1"/>
  <c r="L25" i="17"/>
  <c r="L27" i="17" s="1"/>
  <c r="L40" i="17" s="1"/>
  <c r="L30" i="17"/>
  <c r="L28" i="17" s="1"/>
  <c r="L26" i="17"/>
  <c r="M24" i="17" s="1"/>
  <c r="M91" i="6"/>
  <c r="M89" i="6"/>
  <c r="AY19" i="5"/>
  <c r="AY22" i="5" s="1"/>
  <c r="AZ16" i="5"/>
  <c r="AY17" i="5"/>
  <c r="AY20" i="5" s="1"/>
  <c r="AS41" i="8" l="1"/>
  <c r="AS14" i="8"/>
  <c r="AY22" i="17"/>
  <c r="AY9" i="8"/>
  <c r="AY37" i="8"/>
  <c r="AY38" i="8" s="1"/>
  <c r="L29" i="8"/>
  <c r="L30" i="8" s="1"/>
  <c r="L31" i="8"/>
  <c r="AZ19" i="5"/>
  <c r="AZ17" i="5"/>
  <c r="AZ20" i="5" s="1"/>
  <c r="H13" i="9" s="1"/>
  <c r="BA16" i="5"/>
  <c r="L42" i="17"/>
  <c r="L41" i="17"/>
  <c r="M31" i="17"/>
  <c r="M24" i="7"/>
  <c r="M41" i="6" s="1"/>
  <c r="M42" i="6" s="1"/>
  <c r="N37" i="6" s="1"/>
  <c r="AY44" i="8"/>
  <c r="AZ50" i="8"/>
  <c r="AH35" i="7"/>
  <c r="AH36" i="7" s="1"/>
  <c r="AI34" i="7" s="1"/>
  <c r="AF31" i="7"/>
  <c r="AF32" i="7"/>
  <c r="M48" i="6" l="1"/>
  <c r="M49" i="6" s="1"/>
  <c r="N44" i="6" s="1"/>
  <c r="N39" i="6"/>
  <c r="N40" i="6"/>
  <c r="AI35" i="7"/>
  <c r="AI36" i="7" s="1"/>
  <c r="AJ34" i="7" s="1"/>
  <c r="AG30" i="7"/>
  <c r="AT14" i="8"/>
  <c r="AT41" i="8"/>
  <c r="M62" i="6"/>
  <c r="M63" i="6" s="1"/>
  <c r="N58" i="6" s="1"/>
  <c r="N61" i="6" s="1"/>
  <c r="M69" i="6"/>
  <c r="M70" i="6" s="1"/>
  <c r="N65" i="6" s="1"/>
  <c r="N68" i="6" s="1"/>
  <c r="M76" i="6"/>
  <c r="M77" i="6" s="1"/>
  <c r="N72" i="6" s="1"/>
  <c r="N75" i="6" s="1"/>
  <c r="L32" i="8"/>
  <c r="M38" i="7"/>
  <c r="M25" i="7"/>
  <c r="BA17" i="5"/>
  <c r="BA20" i="5" s="1"/>
  <c r="BA19" i="5"/>
  <c r="BB16" i="5"/>
  <c r="M83" i="6"/>
  <c r="M84" i="6" s="1"/>
  <c r="N79" i="6" s="1"/>
  <c r="N82" i="6" s="1"/>
  <c r="M27" i="6"/>
  <c r="M28" i="6" s="1"/>
  <c r="N23" i="6" s="1"/>
  <c r="L33" i="8"/>
  <c r="N46" i="6"/>
  <c r="N47" i="6" s="1"/>
  <c r="M13" i="6"/>
  <c r="M14" i="6" s="1"/>
  <c r="M20" i="6"/>
  <c r="M21" i="6" s="1"/>
  <c r="N16" i="6" s="1"/>
  <c r="AZ22" i="5"/>
  <c r="H9" i="4"/>
  <c r="M55" i="6"/>
  <c r="M56" i="6" s="1"/>
  <c r="N51" i="6" s="1"/>
  <c r="AZ44" i="8"/>
  <c r="H47" i="4" s="1"/>
  <c r="BA50" i="8"/>
  <c r="M34" i="6"/>
  <c r="M35" i="6" s="1"/>
  <c r="N30" i="6" s="1"/>
  <c r="L44" i="17"/>
  <c r="AJ35" i="7" l="1"/>
  <c r="AJ36" i="7"/>
  <c r="AK34" i="7" s="1"/>
  <c r="BA44" i="8"/>
  <c r="BB50" i="8"/>
  <c r="N25" i="6"/>
  <c r="N26" i="6" s="1"/>
  <c r="N53" i="6"/>
  <c r="N54" i="6" s="1"/>
  <c r="AU14" i="8"/>
  <c r="AU41" i="8" s="1"/>
  <c r="M17" i="8"/>
  <c r="L36" i="8"/>
  <c r="L46" i="8" s="1"/>
  <c r="L35" i="8"/>
  <c r="L39" i="8" s="1"/>
  <c r="L47" i="8" s="1"/>
  <c r="AZ22" i="17"/>
  <c r="AZ9" i="8"/>
  <c r="H11" i="4"/>
  <c r="AZ37" i="8"/>
  <c r="AZ38" i="8" s="1"/>
  <c r="BB17" i="5"/>
  <c r="BB20" i="5" s="1"/>
  <c r="BB19" i="5"/>
  <c r="BB22" i="5" s="1"/>
  <c r="BC16" i="5"/>
  <c r="BA22" i="5"/>
  <c r="AG31" i="7"/>
  <c r="AG32" i="7"/>
  <c r="M92" i="6"/>
  <c r="N9" i="6"/>
  <c r="N18" i="6"/>
  <c r="N19" i="6" s="1"/>
  <c r="N32" i="6"/>
  <c r="N33" i="6" s="1"/>
  <c r="M33" i="17"/>
  <c r="M23" i="17"/>
  <c r="L45" i="8"/>
  <c r="M8" i="8"/>
  <c r="L34" i="8"/>
  <c r="AV41" i="8" l="1"/>
  <c r="AV14" i="8"/>
  <c r="N11" i="6"/>
  <c r="N89" i="6" s="1"/>
  <c r="AH30" i="7"/>
  <c r="H9" i="17"/>
  <c r="BA22" i="17"/>
  <c r="BA9" i="8"/>
  <c r="BA37" i="8"/>
  <c r="BA38" i="8" s="1"/>
  <c r="M25" i="17"/>
  <c r="M27" i="17" s="1"/>
  <c r="M40" i="17" s="1"/>
  <c r="M26" i="17"/>
  <c r="N24" i="17" s="1"/>
  <c r="H54" i="4"/>
  <c r="BD16" i="5"/>
  <c r="BC17" i="5"/>
  <c r="BC20" i="5" s="1"/>
  <c r="BC19" i="5"/>
  <c r="H9" i="1"/>
  <c r="BB44" i="8"/>
  <c r="BC50" i="8"/>
  <c r="M21" i="8"/>
  <c r="M22" i="8" s="1"/>
  <c r="M52" i="8" s="1"/>
  <c r="BB22" i="17"/>
  <c r="BB9" i="8"/>
  <c r="BB37" i="8"/>
  <c r="BB38" i="8" s="1"/>
  <c r="H26" i="4"/>
  <c r="AK35" i="7"/>
  <c r="AK36" i="7"/>
  <c r="AL34" i="7" s="1"/>
  <c r="N12" i="6" l="1"/>
  <c r="N31" i="17"/>
  <c r="H17" i="14"/>
  <c r="M54" i="8"/>
  <c r="M10" i="8" s="1"/>
  <c r="M15" i="8" s="1"/>
  <c r="M28" i="8" s="1"/>
  <c r="M40" i="8"/>
  <c r="M42" i="8" s="1"/>
  <c r="M55" i="8"/>
  <c r="N53" i="8" s="1"/>
  <c r="BD17" i="5"/>
  <c r="BD20" i="5" s="1"/>
  <c r="BD19" i="5"/>
  <c r="BD22" i="5" s="1"/>
  <c r="BE16" i="5"/>
  <c r="M30" i="17"/>
  <c r="M28" i="17" s="1"/>
  <c r="BD50" i="8"/>
  <c r="BC44" i="8"/>
  <c r="AL35" i="7"/>
  <c r="AL36" i="7"/>
  <c r="AM34" i="7" s="1"/>
  <c r="AW14" i="8"/>
  <c r="AW41" i="8" s="1"/>
  <c r="BC22" i="5"/>
  <c r="AH31" i="7"/>
  <c r="AH32" i="7" s="1"/>
  <c r="AI30" i="7" s="1"/>
  <c r="AX14" i="8" l="1"/>
  <c r="AX41" i="8" s="1"/>
  <c r="AI31" i="7"/>
  <c r="AI32" i="7" s="1"/>
  <c r="AJ30" i="7" s="1"/>
  <c r="BD22" i="17"/>
  <c r="BD9" i="8"/>
  <c r="BD37" i="8"/>
  <c r="BD38" i="8" s="1"/>
  <c r="BC22" i="17"/>
  <c r="BC9" i="8"/>
  <c r="BC37" i="8"/>
  <c r="BC38" i="8" s="1"/>
  <c r="AM35" i="7"/>
  <c r="AM36" i="7" s="1"/>
  <c r="AN34" i="7" s="1"/>
  <c r="M41" i="17"/>
  <c r="M42" i="17"/>
  <c r="M44" i="17" s="1"/>
  <c r="M29" i="8"/>
  <c r="M30" i="8" s="1"/>
  <c r="M31" i="8"/>
  <c r="N91" i="6"/>
  <c r="BE50" i="8"/>
  <c r="BD44" i="8"/>
  <c r="BE19" i="5"/>
  <c r="BE17" i="5"/>
  <c r="BE20" i="5" s="1"/>
  <c r="BF16" i="5"/>
  <c r="AN35" i="7" l="1"/>
  <c r="AN36" i="7" s="1"/>
  <c r="AY14" i="8"/>
  <c r="AY41" i="8" s="1"/>
  <c r="BE22" i="5"/>
  <c r="AJ31" i="7"/>
  <c r="AJ32" i="7" s="1"/>
  <c r="AK30" i="7" s="1"/>
  <c r="BF50" i="8"/>
  <c r="BE44" i="8"/>
  <c r="N69" i="6"/>
  <c r="N70" i="6" s="1"/>
  <c r="O65" i="6" s="1"/>
  <c r="O68" i="6" s="1"/>
  <c r="N62" i="6"/>
  <c r="N63" i="6" s="1"/>
  <c r="O58" i="6" s="1"/>
  <c r="O61" i="6" s="1"/>
  <c r="N55" i="6"/>
  <c r="N56" i="6" s="1"/>
  <c r="O51" i="6" s="1"/>
  <c r="N24" i="7"/>
  <c r="N48" i="6" s="1"/>
  <c r="N49" i="6" s="1"/>
  <c r="O44" i="6" s="1"/>
  <c r="BG16" i="5"/>
  <c r="BF19" i="5"/>
  <c r="BF22" i="5" s="1"/>
  <c r="BF17" i="5"/>
  <c r="BF20" i="5" s="1"/>
  <c r="I10" i="10" s="1"/>
  <c r="M32" i="8"/>
  <c r="M33" i="8"/>
  <c r="AK31" i="7" l="1"/>
  <c r="AK32" i="7" s="1"/>
  <c r="AL30" i="7" s="1"/>
  <c r="O46" i="6"/>
  <c r="O47" i="6" s="1"/>
  <c r="AZ14" i="8"/>
  <c r="H32" i="4" s="1"/>
  <c r="AO34" i="7"/>
  <c r="G40" i="4"/>
  <c r="G12" i="14" s="1"/>
  <c r="G21" i="14"/>
  <c r="N13" i="6"/>
  <c r="N14" i="6" s="1"/>
  <c r="BH16" i="5"/>
  <c r="BG19" i="5"/>
  <c r="BG17" i="5"/>
  <c r="BG20" i="5" s="1"/>
  <c r="N34" i="6"/>
  <c r="N35" i="6" s="1"/>
  <c r="O30" i="6" s="1"/>
  <c r="N17" i="8"/>
  <c r="M36" i="8"/>
  <c r="M46" i="8" s="1"/>
  <c r="M35" i="8"/>
  <c r="M39" i="8" s="1"/>
  <c r="M47" i="8" s="1"/>
  <c r="N41" i="6"/>
  <c r="N42" i="6" s="1"/>
  <c r="O37" i="6" s="1"/>
  <c r="M45" i="8"/>
  <c r="N8" i="8"/>
  <c r="M34" i="8"/>
  <c r="BG50" i="8"/>
  <c r="BF44" i="8"/>
  <c r="BE22" i="17"/>
  <c r="BE9" i="8"/>
  <c r="BE37" i="8"/>
  <c r="BE38" i="8" s="1"/>
  <c r="O53" i="6"/>
  <c r="O54" i="6" s="1"/>
  <c r="N38" i="7"/>
  <c r="N25" i="7"/>
  <c r="N20" i="6"/>
  <c r="N21" i="6" s="1"/>
  <c r="O16" i="6" s="1"/>
  <c r="N76" i="6"/>
  <c r="N77" i="6" s="1"/>
  <c r="O72" i="6" s="1"/>
  <c r="O75" i="6" s="1"/>
  <c r="BF22" i="17"/>
  <c r="BF9" i="8"/>
  <c r="BF37" i="8"/>
  <c r="BF38" i="8" s="1"/>
  <c r="N27" i="6"/>
  <c r="N28" i="6" s="1"/>
  <c r="O23" i="6" s="1"/>
  <c r="N83" i="6"/>
  <c r="N84" i="6" s="1"/>
  <c r="O79" i="6" s="1"/>
  <c r="O82" i="6" s="1"/>
  <c r="AL31" i="7" l="1"/>
  <c r="AL32" i="7"/>
  <c r="AM30" i="7" s="1"/>
  <c r="O25" i="6"/>
  <c r="O26" i="6" s="1"/>
  <c r="N33" i="17"/>
  <c r="N23" i="17"/>
  <c r="O18" i="6"/>
  <c r="O19" i="6" s="1"/>
  <c r="BG44" i="8"/>
  <c r="BH50" i="8"/>
  <c r="N21" i="8"/>
  <c r="N22" i="8" s="1"/>
  <c r="N52" i="8" s="1"/>
  <c r="AO35" i="7"/>
  <c r="AO36" i="7" s="1"/>
  <c r="O32" i="6"/>
  <c r="O33" i="6"/>
  <c r="AZ41" i="8"/>
  <c r="BG22" i="5"/>
  <c r="O39" i="6"/>
  <c r="O40" i="6" s="1"/>
  <c r="BH19" i="5"/>
  <c r="BH22" i="5" s="1"/>
  <c r="BH17" i="5"/>
  <c r="BH20" i="5" s="1"/>
  <c r="BI16" i="5"/>
  <c r="N92" i="6"/>
  <c r="O9" i="6"/>
  <c r="AP34" i="7" l="1"/>
  <c r="N54" i="8"/>
  <c r="N10" i="8" s="1"/>
  <c r="N15" i="8" s="1"/>
  <c r="N28" i="8" s="1"/>
  <c r="N40" i="8"/>
  <c r="N42" i="8" s="1"/>
  <c r="N55" i="8"/>
  <c r="O53" i="8" s="1"/>
  <c r="O12" i="6"/>
  <c r="O11" i="6"/>
  <c r="O89" i="6" s="1"/>
  <c r="BI50" i="8"/>
  <c r="BH44" i="8"/>
  <c r="BH22" i="17"/>
  <c r="BH9" i="8"/>
  <c r="BH37" i="8"/>
  <c r="BH38" i="8" s="1"/>
  <c r="BI19" i="5"/>
  <c r="BJ16" i="5"/>
  <c r="BI17" i="5"/>
  <c r="BI20" i="5" s="1"/>
  <c r="AM31" i="7"/>
  <c r="AM32" i="7" s="1"/>
  <c r="AN30" i="7" s="1"/>
  <c r="BG22" i="17"/>
  <c r="BG9" i="8"/>
  <c r="BG37" i="8"/>
  <c r="BG38" i="8" s="1"/>
  <c r="BA14" i="8"/>
  <c r="H46" i="4"/>
  <c r="N25" i="17"/>
  <c r="N27" i="17" s="1"/>
  <c r="N40" i="17" s="1"/>
  <c r="N26" i="17"/>
  <c r="O24" i="17" s="1"/>
  <c r="AN31" i="7" l="1"/>
  <c r="G18" i="4" s="1"/>
  <c r="BI22" i="5"/>
  <c r="O91" i="6"/>
  <c r="N29" i="8"/>
  <c r="N30" i="8" s="1"/>
  <c r="N31" i="8"/>
  <c r="AP35" i="7"/>
  <c r="AP36" i="7" s="1"/>
  <c r="BI44" i="8"/>
  <c r="BJ50" i="8"/>
  <c r="BA41" i="8"/>
  <c r="N30" i="17"/>
  <c r="N28" i="17" s="1"/>
  <c r="BJ19" i="5"/>
  <c r="BJ22" i="5" s="1"/>
  <c r="BK16" i="5"/>
  <c r="BJ17" i="5"/>
  <c r="BJ20" i="5" s="1"/>
  <c r="O31" i="17"/>
  <c r="AQ34" i="7" l="1"/>
  <c r="O24" i="7"/>
  <c r="O55" i="6" s="1"/>
  <c r="O56" i="6" s="1"/>
  <c r="P51" i="6" s="1"/>
  <c r="BB14" i="8"/>
  <c r="BJ44" i="8"/>
  <c r="BK50" i="8"/>
  <c r="BI22" i="17"/>
  <c r="BI9" i="8"/>
  <c r="BI37" i="8"/>
  <c r="BI38" i="8" s="1"/>
  <c r="BL16" i="5"/>
  <c r="BK17" i="5"/>
  <c r="BK20" i="5" s="1"/>
  <c r="BK19" i="5"/>
  <c r="BK22" i="5" s="1"/>
  <c r="N32" i="8"/>
  <c r="N41" i="17"/>
  <c r="N42" i="17"/>
  <c r="N44" i="17" s="1"/>
  <c r="N33" i="8"/>
  <c r="BJ22" i="17"/>
  <c r="BJ9" i="8"/>
  <c r="BJ37" i="8"/>
  <c r="BJ38" i="8" s="1"/>
  <c r="AN32" i="7"/>
  <c r="O48" i="6" l="1"/>
  <c r="O49" i="6" s="1"/>
  <c r="P44" i="6" s="1"/>
  <c r="O25" i="7"/>
  <c r="O38" i="7"/>
  <c r="O62" i="6"/>
  <c r="O63" i="6" s="1"/>
  <c r="P58" i="6" s="1"/>
  <c r="P61" i="6" s="1"/>
  <c r="P46" i="6"/>
  <c r="P47" i="6" s="1"/>
  <c r="N45" i="8"/>
  <c r="O8" i="8"/>
  <c r="N34" i="8"/>
  <c r="BB41" i="8"/>
  <c r="O20" i="6"/>
  <c r="O21" i="6" s="1"/>
  <c r="P16" i="6" s="1"/>
  <c r="O69" i="6"/>
  <c r="O70" i="6" s="1"/>
  <c r="P65" i="6" s="1"/>
  <c r="P68" i="6" s="1"/>
  <c r="P53" i="6"/>
  <c r="P54" i="6" s="1"/>
  <c r="AO30" i="7"/>
  <c r="G45" i="4"/>
  <c r="G11" i="14" s="1"/>
  <c r="G20" i="14"/>
  <c r="O17" i="8"/>
  <c r="N36" i="8"/>
  <c r="N46" i="8" s="1"/>
  <c r="N35" i="8"/>
  <c r="N39" i="8" s="1"/>
  <c r="N47" i="8" s="1"/>
  <c r="O13" i="6"/>
  <c r="O14" i="6" s="1"/>
  <c r="O76" i="6"/>
  <c r="O77" i="6" s="1"/>
  <c r="P72" i="6" s="1"/>
  <c r="P75" i="6" s="1"/>
  <c r="O27" i="6"/>
  <c r="O28" i="6" s="1"/>
  <c r="P23" i="6" s="1"/>
  <c r="O83" i="6"/>
  <c r="O84" i="6" s="1"/>
  <c r="P79" i="6" s="1"/>
  <c r="P82" i="6" s="1"/>
  <c r="BK44" i="8"/>
  <c r="BL50" i="8"/>
  <c r="BL44" i="8" s="1"/>
  <c r="I47" i="4" s="1"/>
  <c r="O34" i="6"/>
  <c r="O35" i="6" s="1"/>
  <c r="P30" i="6" s="1"/>
  <c r="BK22" i="17"/>
  <c r="BK9" i="8"/>
  <c r="BK37" i="8"/>
  <c r="BK38" i="8" s="1"/>
  <c r="BL17" i="5"/>
  <c r="BL20" i="5" s="1"/>
  <c r="I13" i="9" s="1"/>
  <c r="BL19" i="5"/>
  <c r="O41" i="6"/>
  <c r="O42" i="6" s="1"/>
  <c r="P37" i="6" s="1"/>
  <c r="AQ35" i="7"/>
  <c r="AQ36" i="7" s="1"/>
  <c r="AR34" i="7" l="1"/>
  <c r="P32" i="6"/>
  <c r="P33" i="6"/>
  <c r="P39" i="6"/>
  <c r="P40" i="6" s="1"/>
  <c r="BL22" i="5"/>
  <c r="I9" i="4"/>
  <c r="AO31" i="7"/>
  <c r="AO32" i="7"/>
  <c r="BC14" i="8"/>
  <c r="O92" i="6"/>
  <c r="P9" i="6"/>
  <c r="P18" i="6"/>
  <c r="P19" i="6" s="1"/>
  <c r="O33" i="17"/>
  <c r="O23" i="17"/>
  <c r="O21" i="8"/>
  <c r="O22" i="8" s="1"/>
  <c r="O52" i="8" s="1"/>
  <c r="P25" i="6"/>
  <c r="P26" i="6"/>
  <c r="O54" i="8" l="1"/>
  <c r="O10" i="8" s="1"/>
  <c r="O15" i="8" s="1"/>
  <c r="O28" i="8" s="1"/>
  <c r="O55" i="8"/>
  <c r="P53" i="8" s="1"/>
  <c r="O25" i="17"/>
  <c r="O27" i="17" s="1"/>
  <c r="O40" i="17" s="1"/>
  <c r="O26" i="17"/>
  <c r="P24" i="17" s="1"/>
  <c r="P11" i="6"/>
  <c r="P89" i="6" s="1"/>
  <c r="BL22" i="17"/>
  <c r="BL9" i="8"/>
  <c r="I11" i="4"/>
  <c r="BL37" i="8"/>
  <c r="BL38" i="8" s="1"/>
  <c r="BC41" i="8"/>
  <c r="AP30" i="7"/>
  <c r="AR35" i="7"/>
  <c r="AR36" i="7" s="1"/>
  <c r="AS34" i="7" l="1"/>
  <c r="O29" i="8"/>
  <c r="O30" i="8" s="1"/>
  <c r="O32" i="8" s="1"/>
  <c r="O31" i="8"/>
  <c r="I9" i="17"/>
  <c r="O40" i="8"/>
  <c r="O42" i="8" s="1"/>
  <c r="AP31" i="7"/>
  <c r="P31" i="17"/>
  <c r="E12" i="4"/>
  <c r="BD41" i="8"/>
  <c r="BD14" i="8"/>
  <c r="P12" i="6"/>
  <c r="E23" i="1"/>
  <c r="I54" i="4"/>
  <c r="E41" i="18"/>
  <c r="E42" i="18" s="1"/>
  <c r="I9" i="1"/>
  <c r="I26" i="4"/>
  <c r="O30" i="17"/>
  <c r="O28" i="17" s="1"/>
  <c r="O33" i="8" l="1"/>
  <c r="E52" i="18"/>
  <c r="E53" i="18" s="1"/>
  <c r="E14" i="9"/>
  <c r="E16" i="9" s="1"/>
  <c r="I17" i="14"/>
  <c r="P17" i="8"/>
  <c r="O36" i="8"/>
  <c r="O46" i="8" s="1"/>
  <c r="O35" i="8"/>
  <c r="O39" i="8" s="1"/>
  <c r="O47" i="8" s="1"/>
  <c r="BE14" i="8"/>
  <c r="BE41" i="8" s="1"/>
  <c r="O42" i="17"/>
  <c r="O44" i="17" s="1"/>
  <c r="O41" i="17"/>
  <c r="O45" i="8"/>
  <c r="P8" i="8"/>
  <c r="O34" i="8"/>
  <c r="P91" i="6"/>
  <c r="AP32" i="7"/>
  <c r="AS35" i="7"/>
  <c r="AS36" i="7"/>
  <c r="BF14" i="8" l="1"/>
  <c r="BF41" i="8" s="1"/>
  <c r="P21" i="8"/>
  <c r="P22" i="8" s="1"/>
  <c r="E17" i="4" s="1"/>
  <c r="P76" i="6"/>
  <c r="P77" i="6" s="1"/>
  <c r="Q72" i="6" s="1"/>
  <c r="Q75" i="6" s="1"/>
  <c r="P55" i="6"/>
  <c r="P56" i="6" s="1"/>
  <c r="Q51" i="6" s="1"/>
  <c r="P48" i="6"/>
  <c r="P49" i="6" s="1"/>
  <c r="Q44" i="6" s="1"/>
  <c r="P41" i="6"/>
  <c r="P42" i="6" s="1"/>
  <c r="Q37" i="6" s="1"/>
  <c r="P20" i="6"/>
  <c r="P21" i="6" s="1"/>
  <c r="Q16" i="6" s="1"/>
  <c r="P13" i="6"/>
  <c r="P14" i="6" s="1"/>
  <c r="P24" i="7"/>
  <c r="P34" i="6" s="1"/>
  <c r="P35" i="6" s="1"/>
  <c r="Q30" i="6" s="1"/>
  <c r="AT34" i="7"/>
  <c r="AQ30" i="7"/>
  <c r="E24" i="9"/>
  <c r="Q32" i="6" l="1"/>
  <c r="Q33" i="6" s="1"/>
  <c r="BG14" i="8"/>
  <c r="BG41" i="8" s="1"/>
  <c r="AQ31" i="7"/>
  <c r="AQ32" i="7"/>
  <c r="Q18" i="6"/>
  <c r="Q19" i="6" s="1"/>
  <c r="Q53" i="6"/>
  <c r="Q54" i="6" s="1"/>
  <c r="P69" i="6"/>
  <c r="P70" i="6" s="1"/>
  <c r="Q65" i="6" s="1"/>
  <c r="Q68" i="6" s="1"/>
  <c r="Q9" i="6"/>
  <c r="Q39" i="6"/>
  <c r="Q40" i="6"/>
  <c r="Q46" i="6"/>
  <c r="Q47" i="6" s="1"/>
  <c r="AT35" i="7"/>
  <c r="AT36" i="7" s="1"/>
  <c r="AU34" i="7" s="1"/>
  <c r="P25" i="7"/>
  <c r="P38" i="7"/>
  <c r="E16" i="14" s="1"/>
  <c r="P62" i="6"/>
  <c r="P63" i="6" s="1"/>
  <c r="Q58" i="6" s="1"/>
  <c r="P27" i="6"/>
  <c r="P28" i="6" s="1"/>
  <c r="Q23" i="6" s="1"/>
  <c r="P83" i="6"/>
  <c r="P84" i="6" s="1"/>
  <c r="Q79" i="6" s="1"/>
  <c r="Q82" i="6" s="1"/>
  <c r="AU35" i="7" l="1"/>
  <c r="AU36" i="7"/>
  <c r="AV34" i="7" s="1"/>
  <c r="BH14" i="8"/>
  <c r="BH41" i="8" s="1"/>
  <c r="Q60" i="6"/>
  <c r="Q61" i="6" s="1"/>
  <c r="AR30" i="7"/>
  <c r="Q25" i="6"/>
  <c r="Q26" i="6" s="1"/>
  <c r="Q11" i="6"/>
  <c r="P33" i="17"/>
  <c r="E15" i="4"/>
  <c r="P23" i="17"/>
  <c r="P52" i="8"/>
  <c r="P92" i="6"/>
  <c r="BI14" i="8" l="1"/>
  <c r="BI41" i="8"/>
  <c r="E39" i="4"/>
  <c r="E19" i="14"/>
  <c r="P54" i="8"/>
  <c r="P10" i="8" s="1"/>
  <c r="P55" i="8"/>
  <c r="Q53" i="8" s="1"/>
  <c r="P25" i="17"/>
  <c r="P27" i="17" s="1"/>
  <c r="E10" i="17"/>
  <c r="P26" i="17"/>
  <c r="Q24" i="17" s="1"/>
  <c r="E11" i="9"/>
  <c r="E12" i="9" s="1"/>
  <c r="E16" i="4"/>
  <c r="E21" i="4" s="1"/>
  <c r="AV35" i="7"/>
  <c r="AV36" i="7"/>
  <c r="AW34" i="7" s="1"/>
  <c r="Q89" i="6"/>
  <c r="Q12" i="6"/>
  <c r="AR31" i="7"/>
  <c r="AR32" i="7" s="1"/>
  <c r="AS30" i="7" l="1"/>
  <c r="Q91" i="6"/>
  <c r="E10" i="14"/>
  <c r="F44" i="9"/>
  <c r="AW35" i="7"/>
  <c r="AW36" i="7" s="1"/>
  <c r="AX34" i="7" s="1"/>
  <c r="Q31" i="17"/>
  <c r="P40" i="17"/>
  <c r="E11" i="17"/>
  <c r="BJ41" i="8"/>
  <c r="BJ14" i="8"/>
  <c r="P30" i="17"/>
  <c r="P28" i="17" s="1"/>
  <c r="E22" i="9"/>
  <c r="E18" i="9"/>
  <c r="E17" i="9"/>
  <c r="P15" i="8"/>
  <c r="P28" i="8" s="1"/>
  <c r="E22" i="4"/>
  <c r="E27" i="4" s="1"/>
  <c r="E31" i="4" s="1"/>
  <c r="F22" i="10"/>
  <c r="F24" i="10" s="1"/>
  <c r="F27" i="10" s="1"/>
  <c r="P40" i="8"/>
  <c r="AX35" i="7" l="1"/>
  <c r="AX36" i="7" s="1"/>
  <c r="AY34" i="7" s="1"/>
  <c r="E23" i="4"/>
  <c r="E10" i="1" s="1"/>
  <c r="P42" i="8"/>
  <c r="E14" i="1"/>
  <c r="BK14" i="8"/>
  <c r="BK41" i="8" s="1"/>
  <c r="E11" i="1"/>
  <c r="P29" i="8"/>
  <c r="P30" i="8" s="1"/>
  <c r="P31" i="8"/>
  <c r="F18" i="1"/>
  <c r="E26" i="9"/>
  <c r="E30" i="9"/>
  <c r="E25" i="9"/>
  <c r="Q24" i="7"/>
  <c r="Q76" i="6" s="1"/>
  <c r="Q77" i="6" s="1"/>
  <c r="R72" i="6" s="1"/>
  <c r="R75" i="6" s="1"/>
  <c r="P42" i="17"/>
  <c r="P41" i="17"/>
  <c r="E15" i="17" s="1"/>
  <c r="E12" i="17"/>
  <c r="E13" i="14"/>
  <c r="AS31" i="7"/>
  <c r="AS32" i="7" s="1"/>
  <c r="Q41" i="6" l="1"/>
  <c r="Q42" i="6" s="1"/>
  <c r="R37" i="6" s="1"/>
  <c r="Q48" i="6"/>
  <c r="Q49" i="6" s="1"/>
  <c r="R44" i="6" s="1"/>
  <c r="R47" i="6" s="1"/>
  <c r="Q62" i="6"/>
  <c r="Q63" i="6" s="1"/>
  <c r="R58" i="6" s="1"/>
  <c r="AT30" i="7"/>
  <c r="BL14" i="8"/>
  <c r="I32" i="4" s="1"/>
  <c r="AY35" i="7"/>
  <c r="AY36" i="7" s="1"/>
  <c r="AZ34" i="7" s="1"/>
  <c r="P44" i="17"/>
  <c r="E14" i="17" s="1"/>
  <c r="E13" i="17"/>
  <c r="R46" i="6"/>
  <c r="R60" i="6"/>
  <c r="R61" i="6" s="1"/>
  <c r="Q34" i="6"/>
  <c r="Q35" i="6" s="1"/>
  <c r="R30" i="6" s="1"/>
  <c r="Q69" i="6"/>
  <c r="Q70" i="6" s="1"/>
  <c r="R65" i="6" s="1"/>
  <c r="R68" i="6" s="1"/>
  <c r="E35" i="4"/>
  <c r="P32" i="8"/>
  <c r="E49" i="4"/>
  <c r="Q20" i="6"/>
  <c r="Q21" i="6" s="1"/>
  <c r="R16" i="6" s="1"/>
  <c r="P33" i="8"/>
  <c r="R39" i="6"/>
  <c r="R40" i="6" s="1"/>
  <c r="E31" i="9"/>
  <c r="E15" i="1"/>
  <c r="E32" i="9"/>
  <c r="F28" i="9" s="1"/>
  <c r="Q25" i="7"/>
  <c r="Q38" i="7"/>
  <c r="Q55" i="6"/>
  <c r="Q56" i="6" s="1"/>
  <c r="R51" i="6" s="1"/>
  <c r="Q13" i="6"/>
  <c r="Q14" i="6" s="1"/>
  <c r="Q27" i="6"/>
  <c r="Q28" i="6" s="1"/>
  <c r="R23" i="6" s="1"/>
  <c r="Q83" i="6"/>
  <c r="Q84" i="6" s="1"/>
  <c r="R79" i="6" s="1"/>
  <c r="R82" i="6" s="1"/>
  <c r="AZ35" i="7" l="1"/>
  <c r="AZ36" i="7" s="1"/>
  <c r="Q17" i="8"/>
  <c r="P36" i="8"/>
  <c r="P35" i="8"/>
  <c r="P39" i="8" s="1"/>
  <c r="E52" i="4"/>
  <c r="E12" i="1" s="1"/>
  <c r="E9" i="14"/>
  <c r="R18" i="6"/>
  <c r="R19" i="6" s="1"/>
  <c r="Q33" i="17"/>
  <c r="Q23" i="17"/>
  <c r="R25" i="6"/>
  <c r="R26" i="6" s="1"/>
  <c r="Q92" i="6"/>
  <c r="R9" i="6"/>
  <c r="R32" i="6"/>
  <c r="R33" i="6" s="1"/>
  <c r="R53" i="6"/>
  <c r="R54" i="6" s="1"/>
  <c r="P45" i="8"/>
  <c r="E42" i="4" s="1"/>
  <c r="Q8" i="8"/>
  <c r="E36" i="4"/>
  <c r="P34" i="8"/>
  <c r="E53" i="4" s="1"/>
  <c r="E13" i="1" s="1"/>
  <c r="E29" i="10"/>
  <c r="E30" i="10"/>
  <c r="BL41" i="8"/>
  <c r="I46" i="4" s="1"/>
  <c r="AT31" i="7"/>
  <c r="AT32" i="7" s="1"/>
  <c r="AU30" i="7" s="1"/>
  <c r="F29" i="9"/>
  <c r="P47" i="8" l="1"/>
  <c r="E36" i="9"/>
  <c r="E37" i="9" s="1"/>
  <c r="BA34" i="7"/>
  <c r="H40" i="4"/>
  <c r="H12" i="14" s="1"/>
  <c r="H21" i="14"/>
  <c r="Q25" i="17"/>
  <c r="Q27" i="17" s="1"/>
  <c r="Q26" i="17"/>
  <c r="R24" i="17" s="1"/>
  <c r="AU31" i="7"/>
  <c r="AU32" i="7" s="1"/>
  <c r="AV30" i="7" s="1"/>
  <c r="R11" i="6"/>
  <c r="R89" i="6" s="1"/>
  <c r="Q21" i="8"/>
  <c r="Q22" i="8" s="1"/>
  <c r="P46" i="8"/>
  <c r="E48" i="4" s="1"/>
  <c r="F46" i="9" s="1"/>
  <c r="F47" i="9" s="1"/>
  <c r="E44" i="4"/>
  <c r="F43" i="9"/>
  <c r="F45" i="9" s="1"/>
  <c r="AV31" i="7" l="1"/>
  <c r="AV32" i="7" s="1"/>
  <c r="AW30" i="7" s="1"/>
  <c r="Q40" i="17"/>
  <c r="F49" i="9"/>
  <c r="E8" i="14"/>
  <c r="R31" i="17"/>
  <c r="R12" i="6"/>
  <c r="BA35" i="7"/>
  <c r="BA36" i="7"/>
  <c r="Q52" i="8"/>
  <c r="Q30" i="17"/>
  <c r="Q28" i="17" s="1"/>
  <c r="AW31" i="7" l="1"/>
  <c r="AW32" i="7"/>
  <c r="AX30" i="7" s="1"/>
  <c r="BB34" i="7"/>
  <c r="R91" i="6"/>
  <c r="F16" i="1"/>
  <c r="Q41" i="17"/>
  <c r="Q42" i="17"/>
  <c r="Q54" i="8"/>
  <c r="Q10" i="8" s="1"/>
  <c r="Q40" i="8" s="1"/>
  <c r="Q55" i="8"/>
  <c r="R53" i="8" s="1"/>
  <c r="Q42" i="8" l="1"/>
  <c r="R24" i="7"/>
  <c r="R76" i="6" s="1"/>
  <c r="R77" i="6" s="1"/>
  <c r="S72" i="6" s="1"/>
  <c r="S75" i="6" s="1"/>
  <c r="Q15" i="8"/>
  <c r="BB35" i="7"/>
  <c r="BB36" i="7" s="1"/>
  <c r="Q44" i="17"/>
  <c r="AX31" i="7"/>
  <c r="AX32" i="7" s="1"/>
  <c r="AY30" i="7" s="1"/>
  <c r="R48" i="6" l="1"/>
  <c r="R49" i="6" s="1"/>
  <c r="S44" i="6" s="1"/>
  <c r="R55" i="6"/>
  <c r="R56" i="6" s="1"/>
  <c r="S51" i="6" s="1"/>
  <c r="S53" i="6" s="1"/>
  <c r="S54" i="6" s="1"/>
  <c r="BC34" i="7"/>
  <c r="AY31" i="7"/>
  <c r="AY32" i="7"/>
  <c r="AZ30" i="7" s="1"/>
  <c r="S46" i="6"/>
  <c r="S47" i="6" s="1"/>
  <c r="R38" i="7"/>
  <c r="R25" i="7"/>
  <c r="R20" i="6"/>
  <c r="R21" i="6" s="1"/>
  <c r="S16" i="6" s="1"/>
  <c r="R62" i="6"/>
  <c r="R63" i="6" s="1"/>
  <c r="S58" i="6" s="1"/>
  <c r="R27" i="6"/>
  <c r="R28" i="6" s="1"/>
  <c r="S23" i="6" s="1"/>
  <c r="R83" i="6"/>
  <c r="R84" i="6" s="1"/>
  <c r="S79" i="6" s="1"/>
  <c r="S82" i="6" s="1"/>
  <c r="R34" i="6"/>
  <c r="R35" i="6" s="1"/>
  <c r="S30" i="6" s="1"/>
  <c r="R69" i="6"/>
  <c r="R70" i="6" s="1"/>
  <c r="S65" i="6" s="1"/>
  <c r="S68" i="6" s="1"/>
  <c r="R13" i="6"/>
  <c r="R14" i="6" s="1"/>
  <c r="Q28" i="8"/>
  <c r="R41" i="6"/>
  <c r="R42" i="6" s="1"/>
  <c r="S37" i="6" s="1"/>
  <c r="S25" i="6" l="1"/>
  <c r="S26" i="6" s="1"/>
  <c r="S39" i="6"/>
  <c r="S40" i="6"/>
  <c r="Q29" i="8"/>
  <c r="Q30" i="8" s="1"/>
  <c r="Q33" i="8" s="1"/>
  <c r="Q31" i="8"/>
  <c r="S60" i="6"/>
  <c r="S61" i="6" s="1"/>
  <c r="AZ31" i="7"/>
  <c r="H18" i="4" s="1"/>
  <c r="R92" i="6"/>
  <c r="S9" i="6"/>
  <c r="S18" i="6"/>
  <c r="S19" i="6" s="1"/>
  <c r="R33" i="17"/>
  <c r="R23" i="17"/>
  <c r="S32" i="6"/>
  <c r="S33" i="6" s="1"/>
  <c r="BC35" i="7"/>
  <c r="BC36" i="7"/>
  <c r="AZ32" i="7" l="1"/>
  <c r="S11" i="6"/>
  <c r="S89" i="6" s="1"/>
  <c r="S12" i="6"/>
  <c r="Q45" i="8"/>
  <c r="R8" i="8"/>
  <c r="Q34" i="8"/>
  <c r="BA30" i="7"/>
  <c r="H45" i="4"/>
  <c r="H11" i="14" s="1"/>
  <c r="H20" i="14"/>
  <c r="R25" i="17"/>
  <c r="R27" i="17" s="1"/>
  <c r="R26" i="17"/>
  <c r="S24" i="17" s="1"/>
  <c r="BD34" i="7"/>
  <c r="Q32" i="8"/>
  <c r="BD35" i="7" l="1"/>
  <c r="BD36" i="7" s="1"/>
  <c r="S31" i="17"/>
  <c r="R40" i="17"/>
  <c r="R30" i="17"/>
  <c r="R28" i="17" s="1"/>
  <c r="S91" i="6"/>
  <c r="BA31" i="7"/>
  <c r="BA32" i="7" s="1"/>
  <c r="R17" i="8"/>
  <c r="Q36" i="8"/>
  <c r="Q46" i="8" s="1"/>
  <c r="Q35" i="8"/>
  <c r="Q39" i="8" s="1"/>
  <c r="BE34" i="7" l="1"/>
  <c r="Q47" i="8"/>
  <c r="R41" i="17"/>
  <c r="R42" i="17"/>
  <c r="R21" i="8"/>
  <c r="R22" i="8" s="1"/>
  <c r="BB30" i="7"/>
  <c r="S83" i="6"/>
  <c r="S84" i="6" s="1"/>
  <c r="T79" i="6" s="1"/>
  <c r="T82" i="6" s="1"/>
  <c r="S69" i="6"/>
  <c r="S70" i="6" s="1"/>
  <c r="T65" i="6" s="1"/>
  <c r="T68" i="6" s="1"/>
  <c r="S20" i="6"/>
  <c r="S21" i="6" s="1"/>
  <c r="T16" i="6" s="1"/>
  <c r="S41" i="6"/>
  <c r="S42" i="6" s="1"/>
  <c r="T37" i="6" s="1"/>
  <c r="S55" i="6"/>
  <c r="S56" i="6" s="1"/>
  <c r="T51" i="6" s="1"/>
  <c r="S13" i="6"/>
  <c r="S14" i="6" s="1"/>
  <c r="S48" i="6"/>
  <c r="S49" i="6" s="1"/>
  <c r="T44" i="6" s="1"/>
  <c r="S34" i="6"/>
  <c r="S35" i="6" s="1"/>
  <c r="T30" i="6" s="1"/>
  <c r="S27" i="6"/>
  <c r="S28" i="6" s="1"/>
  <c r="T23" i="6" s="1"/>
  <c r="S24" i="7"/>
  <c r="S62" i="6" s="1"/>
  <c r="S63" i="6" s="1"/>
  <c r="T58" i="6" s="1"/>
  <c r="T60" i="6" l="1"/>
  <c r="T61" i="6" s="1"/>
  <c r="T32" i="6"/>
  <c r="T33" i="6" s="1"/>
  <c r="T39" i="6"/>
  <c r="T40" i="6" s="1"/>
  <c r="T9" i="6"/>
  <c r="T25" i="6"/>
  <c r="T26" i="6" s="1"/>
  <c r="T46" i="6"/>
  <c r="T47" i="6" s="1"/>
  <c r="R44" i="17"/>
  <c r="BB31" i="7"/>
  <c r="BB32" i="7" s="1"/>
  <c r="T53" i="6"/>
  <c r="T54" i="6" s="1"/>
  <c r="T18" i="6"/>
  <c r="T19" i="6"/>
  <c r="S25" i="7"/>
  <c r="S38" i="7"/>
  <c r="S76" i="6"/>
  <c r="S77" i="6" s="1"/>
  <c r="T72" i="6" s="1"/>
  <c r="T75" i="6" s="1"/>
  <c r="R52" i="8"/>
  <c r="BE35" i="7"/>
  <c r="BE36" i="7" s="1"/>
  <c r="BF34" i="7" l="1"/>
  <c r="S33" i="17"/>
  <c r="S23" i="17"/>
  <c r="BC30" i="7"/>
  <c r="R54" i="8"/>
  <c r="R10" i="8" s="1"/>
  <c r="R55" i="8"/>
  <c r="S53" i="8" s="1"/>
  <c r="T11" i="6"/>
  <c r="T89" i="6" s="1"/>
  <c r="S92" i="6"/>
  <c r="T12" i="6" l="1"/>
  <c r="BF35" i="7"/>
  <c r="BF36" i="7"/>
  <c r="BG34" i="7" s="1"/>
  <c r="R15" i="8"/>
  <c r="T31" i="17"/>
  <c r="BC31" i="7"/>
  <c r="BC32" i="7" s="1"/>
  <c r="S25" i="17"/>
  <c r="S27" i="17" s="1"/>
  <c r="S26" i="17"/>
  <c r="T24" i="17" s="1"/>
  <c r="R40" i="8"/>
  <c r="BD30" i="7" l="1"/>
  <c r="S40" i="17"/>
  <c r="S30" i="17"/>
  <c r="S28" i="17" s="1"/>
  <c r="R28" i="8"/>
  <c r="BG35" i="7"/>
  <c r="BG36" i="7" s="1"/>
  <c r="BH34" i="7" s="1"/>
  <c r="R42" i="8"/>
  <c r="T91" i="6"/>
  <c r="BH36" i="7" l="1"/>
  <c r="BI34" i="7" s="1"/>
  <c r="BH35" i="7"/>
  <c r="R29" i="8"/>
  <c r="R30" i="8" s="1"/>
  <c r="R31" i="8"/>
  <c r="T24" i="7"/>
  <c r="T41" i="6" s="1"/>
  <c r="T42" i="6" s="1"/>
  <c r="U37" i="6" s="1"/>
  <c r="S41" i="17"/>
  <c r="S42" i="17"/>
  <c r="BD31" i="7"/>
  <c r="BD32" i="7" s="1"/>
  <c r="T48" i="6" l="1"/>
  <c r="T49" i="6" s="1"/>
  <c r="U44" i="6" s="1"/>
  <c r="T69" i="6"/>
  <c r="T70" i="6" s="1"/>
  <c r="U65" i="6" s="1"/>
  <c r="U68" i="6" s="1"/>
  <c r="T13" i="6"/>
  <c r="T14" i="6" s="1"/>
  <c r="T92" i="6" s="1"/>
  <c r="T83" i="6"/>
  <c r="T84" i="6" s="1"/>
  <c r="U79" i="6" s="1"/>
  <c r="U82" i="6" s="1"/>
  <c r="T62" i="6"/>
  <c r="T63" i="6" s="1"/>
  <c r="U58" i="6" s="1"/>
  <c r="T76" i="6"/>
  <c r="T77" i="6" s="1"/>
  <c r="U72" i="6" s="1"/>
  <c r="U75" i="6" s="1"/>
  <c r="T27" i="6"/>
  <c r="T28" i="6" s="1"/>
  <c r="U23" i="6" s="1"/>
  <c r="U25" i="6" s="1"/>
  <c r="T34" i="6"/>
  <c r="T35" i="6" s="1"/>
  <c r="U30" i="6" s="1"/>
  <c r="U32" i="6" s="1"/>
  <c r="U33" i="6" s="1"/>
  <c r="T20" i="6"/>
  <c r="T21" i="6" s="1"/>
  <c r="U16" i="6" s="1"/>
  <c r="U18" i="6" s="1"/>
  <c r="U19" i="6" s="1"/>
  <c r="BE30" i="7"/>
  <c r="S44" i="17"/>
  <c r="R32" i="8"/>
  <c r="U46" i="6"/>
  <c r="U47" i="6" s="1"/>
  <c r="R33" i="8"/>
  <c r="T25" i="7"/>
  <c r="T38" i="7"/>
  <c r="T55" i="6"/>
  <c r="T56" i="6" s="1"/>
  <c r="U51" i="6" s="1"/>
  <c r="U60" i="6"/>
  <c r="U61" i="6" s="1"/>
  <c r="U40" i="6"/>
  <c r="U39" i="6"/>
  <c r="U9" i="6"/>
  <c r="BI35" i="7"/>
  <c r="BI36" i="7"/>
  <c r="BJ34" i="7" s="1"/>
  <c r="U26" i="6" l="1"/>
  <c r="T33" i="17"/>
  <c r="T23" i="17"/>
  <c r="S17" i="8"/>
  <c r="R36" i="8"/>
  <c r="R46" i="8" s="1"/>
  <c r="R35" i="8"/>
  <c r="R39" i="8" s="1"/>
  <c r="BJ36" i="7"/>
  <c r="BK34" i="7" s="1"/>
  <c r="BJ35" i="7"/>
  <c r="R45" i="8"/>
  <c r="S8" i="8"/>
  <c r="R34" i="8"/>
  <c r="U11" i="6"/>
  <c r="U12" i="6" s="1"/>
  <c r="U53" i="6"/>
  <c r="U54" i="6" s="1"/>
  <c r="BE31" i="7"/>
  <c r="BE32" i="7" s="1"/>
  <c r="U91" i="6" l="1"/>
  <c r="BK35" i="7"/>
  <c r="BK36" i="7"/>
  <c r="BL34" i="7" s="1"/>
  <c r="T25" i="17"/>
  <c r="T27" i="17" s="1"/>
  <c r="T26" i="17"/>
  <c r="U24" i="17" s="1"/>
  <c r="BF30" i="7"/>
  <c r="R47" i="8"/>
  <c r="S21" i="8"/>
  <c r="S22" i="8" s="1"/>
  <c r="U89" i="6"/>
  <c r="T40" i="17" l="1"/>
  <c r="U31" i="17"/>
  <c r="S52" i="8"/>
  <c r="T30" i="17"/>
  <c r="T28" i="17" s="1"/>
  <c r="BL35" i="7"/>
  <c r="BL36" i="7"/>
  <c r="BF31" i="7"/>
  <c r="BF32" i="7" s="1"/>
  <c r="BG30" i="7" s="1"/>
  <c r="U24" i="7"/>
  <c r="U83" i="6" s="1"/>
  <c r="U84" i="6" s="1"/>
  <c r="V79" i="6" s="1"/>
  <c r="V82" i="6" s="1"/>
  <c r="U48" i="6" l="1"/>
  <c r="U49" i="6" s="1"/>
  <c r="V44" i="6" s="1"/>
  <c r="U69" i="6"/>
  <c r="U70" i="6" s="1"/>
  <c r="V65" i="6" s="1"/>
  <c r="V68" i="6" s="1"/>
  <c r="U55" i="6"/>
  <c r="U56" i="6" s="1"/>
  <c r="V51" i="6" s="1"/>
  <c r="U34" i="6"/>
  <c r="U35" i="6" s="1"/>
  <c r="V30" i="6" s="1"/>
  <c r="V33" i="6" s="1"/>
  <c r="U13" i="6"/>
  <c r="U14" i="6" s="1"/>
  <c r="U92" i="6" s="1"/>
  <c r="U62" i="6"/>
  <c r="U63" i="6" s="1"/>
  <c r="V58" i="6" s="1"/>
  <c r="V60" i="6" s="1"/>
  <c r="V61" i="6" s="1"/>
  <c r="U27" i="6"/>
  <c r="U28" i="6" s="1"/>
  <c r="V23" i="6" s="1"/>
  <c r="V25" i="6" s="1"/>
  <c r="U76" i="6"/>
  <c r="U77" i="6" s="1"/>
  <c r="V72" i="6" s="1"/>
  <c r="V75" i="6" s="1"/>
  <c r="U20" i="6"/>
  <c r="U21" i="6" s="1"/>
  <c r="V16" i="6" s="1"/>
  <c r="S54" i="8"/>
  <c r="S10" i="8" s="1"/>
  <c r="S55" i="8"/>
  <c r="T53" i="8" s="1"/>
  <c r="V46" i="6"/>
  <c r="V47" i="6" s="1"/>
  <c r="V53" i="6"/>
  <c r="V54" i="6" s="1"/>
  <c r="V32" i="6"/>
  <c r="I40" i="4"/>
  <c r="I12" i="14" s="1"/>
  <c r="I21" i="14"/>
  <c r="BG31" i="7"/>
  <c r="BG32" i="7"/>
  <c r="BH30" i="7" s="1"/>
  <c r="V18" i="6"/>
  <c r="V19" i="6" s="1"/>
  <c r="U25" i="7"/>
  <c r="U38" i="7"/>
  <c r="U41" i="6"/>
  <c r="U42" i="6" s="1"/>
  <c r="V37" i="6" s="1"/>
  <c r="T41" i="17"/>
  <c r="T42" i="17"/>
  <c r="V26" i="6" l="1"/>
  <c r="V9" i="6"/>
  <c r="V11" i="6" s="1"/>
  <c r="BH31" i="7"/>
  <c r="BH32" i="7" s="1"/>
  <c r="BI30" i="7" s="1"/>
  <c r="S15" i="8"/>
  <c r="T44" i="17"/>
  <c r="V39" i="6"/>
  <c r="V40" i="6" s="1"/>
  <c r="U33" i="17"/>
  <c r="U23" i="17"/>
  <c r="S40" i="8"/>
  <c r="V12" i="6" l="1"/>
  <c r="BI31" i="7"/>
  <c r="BI32" i="7" s="1"/>
  <c r="BJ30" i="7" s="1"/>
  <c r="V91" i="6"/>
  <c r="U25" i="17"/>
  <c r="U27" i="17" s="1"/>
  <c r="U30" i="17"/>
  <c r="U28" i="17" s="1"/>
  <c r="U26" i="17"/>
  <c r="V24" i="17" s="1"/>
  <c r="V89" i="6"/>
  <c r="S42" i="8"/>
  <c r="S28" i="8"/>
  <c r="BJ31" i="7" l="1"/>
  <c r="BJ32" i="7" s="1"/>
  <c r="BK30" i="7" s="1"/>
  <c r="S29" i="8"/>
  <c r="S30" i="8" s="1"/>
  <c r="S31" i="8"/>
  <c r="U42" i="17"/>
  <c r="U40" i="17"/>
  <c r="U41" i="17" s="1"/>
  <c r="V24" i="7"/>
  <c r="V34" i="6" s="1"/>
  <c r="V35" i="6" s="1"/>
  <c r="W30" i="6" s="1"/>
  <c r="V31" i="17"/>
  <c r="F11" i="10"/>
  <c r="F13" i="10" s="1"/>
  <c r="V48" i="6" l="1"/>
  <c r="V49" i="6" s="1"/>
  <c r="W44" i="6" s="1"/>
  <c r="W32" i="6"/>
  <c r="W33" i="6"/>
  <c r="BK31" i="7"/>
  <c r="BK32" i="7" s="1"/>
  <c r="BL30" i="7" s="1"/>
  <c r="V55" i="6"/>
  <c r="V56" i="6" s="1"/>
  <c r="W51" i="6" s="1"/>
  <c r="V62" i="6"/>
  <c r="V63" i="6" s="1"/>
  <c r="W58" i="6" s="1"/>
  <c r="V69" i="6"/>
  <c r="V70" i="6" s="1"/>
  <c r="W65" i="6" s="1"/>
  <c r="W68" i="6" s="1"/>
  <c r="V13" i="6"/>
  <c r="V14" i="6" s="1"/>
  <c r="V76" i="6"/>
  <c r="V77" i="6" s="1"/>
  <c r="W72" i="6" s="1"/>
  <c r="W75" i="6" s="1"/>
  <c r="V83" i="6"/>
  <c r="V84" i="6" s="1"/>
  <c r="W79" i="6" s="1"/>
  <c r="W82" i="6" s="1"/>
  <c r="W46" i="6"/>
  <c r="W47" i="6" s="1"/>
  <c r="V38" i="7"/>
  <c r="V25" i="7"/>
  <c r="U44" i="17"/>
  <c r="V20" i="6"/>
  <c r="V21" i="6" s="1"/>
  <c r="W16" i="6" s="1"/>
  <c r="S32" i="8"/>
  <c r="V27" i="6"/>
  <c r="V28" i="6" s="1"/>
  <c r="W23" i="6" s="1"/>
  <c r="S33" i="8"/>
  <c r="V41" i="6"/>
  <c r="V42" i="6" s="1"/>
  <c r="W37" i="6" s="1"/>
  <c r="BL31" i="7" l="1"/>
  <c r="I18" i="4" s="1"/>
  <c r="BL32" i="7"/>
  <c r="W60" i="6"/>
  <c r="W61" i="6" s="1"/>
  <c r="V92" i="6"/>
  <c r="W9" i="6"/>
  <c r="V33" i="17"/>
  <c r="F14" i="10"/>
  <c r="V23" i="17"/>
  <c r="W25" i="6"/>
  <c r="W26" i="6" s="1"/>
  <c r="W53" i="6"/>
  <c r="W54" i="6" s="1"/>
  <c r="W39" i="6"/>
  <c r="W40" i="6" s="1"/>
  <c r="S45" i="8"/>
  <c r="T8" i="8"/>
  <c r="S34" i="8"/>
  <c r="T17" i="8"/>
  <c r="S36" i="8"/>
  <c r="S46" i="8" s="1"/>
  <c r="S35" i="8"/>
  <c r="S39" i="8" s="1"/>
  <c r="W18" i="6"/>
  <c r="W19" i="6" s="1"/>
  <c r="S47" i="8" l="1"/>
  <c r="V25" i="17"/>
  <c r="V27" i="17" s="1"/>
  <c r="V40" i="17" s="1"/>
  <c r="V26" i="17"/>
  <c r="W24" i="17" s="1"/>
  <c r="T21" i="8"/>
  <c r="T22" i="8" s="1"/>
  <c r="W11" i="6"/>
  <c r="W89" i="6" s="1"/>
  <c r="F15" i="10"/>
  <c r="F16" i="10" s="1"/>
  <c r="E59" i="18"/>
  <c r="I45" i="4"/>
  <c r="I11" i="14" s="1"/>
  <c r="I20" i="14"/>
  <c r="W31" i="17" l="1"/>
  <c r="T52" i="8"/>
  <c r="F18" i="10"/>
  <c r="F17" i="10"/>
  <c r="W12" i="6"/>
  <c r="V30" i="17"/>
  <c r="V28" i="17" s="1"/>
  <c r="V41" i="17" l="1"/>
  <c r="V42" i="17"/>
  <c r="V44" i="17" s="1"/>
  <c r="W91" i="6"/>
  <c r="F17" i="1"/>
  <c r="T54" i="8"/>
  <c r="T10" i="8" s="1"/>
  <c r="T55" i="8"/>
  <c r="U53" i="8" s="1"/>
  <c r="T15" i="8" l="1"/>
  <c r="T40" i="8"/>
  <c r="W24" i="7"/>
  <c r="W25" i="7" l="1"/>
  <c r="W38" i="7"/>
  <c r="W27" i="6"/>
  <c r="W28" i="6" s="1"/>
  <c r="X23" i="6" s="1"/>
  <c r="T42" i="8"/>
  <c r="W48" i="6"/>
  <c r="W49" i="6" s="1"/>
  <c r="X44" i="6" s="1"/>
  <c r="W55" i="6"/>
  <c r="W56" i="6" s="1"/>
  <c r="X51" i="6" s="1"/>
  <c r="W13" i="6"/>
  <c r="W14" i="6" s="1"/>
  <c r="W69" i="6"/>
  <c r="W70" i="6" s="1"/>
  <c r="X65" i="6" s="1"/>
  <c r="X68" i="6" s="1"/>
  <c r="W20" i="6"/>
  <c r="W21" i="6" s="1"/>
  <c r="X16" i="6" s="1"/>
  <c r="W76" i="6"/>
  <c r="W77" i="6" s="1"/>
  <c r="X72" i="6" s="1"/>
  <c r="X75" i="6" s="1"/>
  <c r="W83" i="6"/>
  <c r="W84" i="6" s="1"/>
  <c r="X79" i="6" s="1"/>
  <c r="X82" i="6" s="1"/>
  <c r="W34" i="6"/>
  <c r="W35" i="6" s="1"/>
  <c r="X30" i="6" s="1"/>
  <c r="W62" i="6"/>
  <c r="W63" i="6" s="1"/>
  <c r="X58" i="6" s="1"/>
  <c r="W41" i="6"/>
  <c r="W42" i="6" s="1"/>
  <c r="X37" i="6" s="1"/>
  <c r="T28" i="8"/>
  <c r="W92" i="6" l="1"/>
  <c r="X9" i="6"/>
  <c r="X39" i="6"/>
  <c r="X40" i="6"/>
  <c r="X60" i="6"/>
  <c r="X61" i="6" s="1"/>
  <c r="X32" i="6"/>
  <c r="X33" i="6"/>
  <c r="X18" i="6"/>
  <c r="X19" i="6" s="1"/>
  <c r="X53" i="6"/>
  <c r="X54" i="6" s="1"/>
  <c r="X46" i="6"/>
  <c r="X47" i="6" s="1"/>
  <c r="X25" i="6"/>
  <c r="X26" i="6"/>
  <c r="T29" i="8"/>
  <c r="T30" i="8" s="1"/>
  <c r="T31" i="8"/>
  <c r="W33" i="17"/>
  <c r="W23" i="17"/>
  <c r="T33" i="8" l="1"/>
  <c r="T45" i="8"/>
  <c r="U8" i="8"/>
  <c r="T34" i="8"/>
  <c r="W25" i="17"/>
  <c r="W27" i="17" s="1"/>
  <c r="W40" i="17" s="1"/>
  <c r="W26" i="17"/>
  <c r="X24" i="17" s="1"/>
  <c r="T32" i="8"/>
  <c r="X11" i="6"/>
  <c r="X89" i="6" s="1"/>
  <c r="W30" i="17" l="1"/>
  <c r="W28" i="17" s="1"/>
  <c r="X12" i="6"/>
  <c r="X31" i="17"/>
  <c r="U17" i="8"/>
  <c r="T36" i="8"/>
  <c r="T46" i="8" s="1"/>
  <c r="T35" i="8"/>
  <c r="T39" i="8" s="1"/>
  <c r="X91" i="6" l="1"/>
  <c r="T47" i="8"/>
  <c r="W42" i="17"/>
  <c r="W44" i="17" s="1"/>
  <c r="W41" i="17"/>
  <c r="U21" i="8"/>
  <c r="U22" i="8" s="1"/>
  <c r="U52" i="8" l="1"/>
  <c r="X24" i="7"/>
  <c r="X69" i="6" s="1"/>
  <c r="X70" i="6" s="1"/>
  <c r="Y65" i="6" s="1"/>
  <c r="Y68" i="6" s="1"/>
  <c r="X76" i="6" l="1"/>
  <c r="X77" i="6" s="1"/>
  <c r="Y72" i="6" s="1"/>
  <c r="Y75" i="6" s="1"/>
  <c r="X41" i="6"/>
  <c r="X42" i="6" s="1"/>
  <c r="Y37" i="6" s="1"/>
  <c r="Y39" i="6"/>
  <c r="Y40" i="6"/>
  <c r="X48" i="6"/>
  <c r="X49" i="6" s="1"/>
  <c r="Y44" i="6" s="1"/>
  <c r="X55" i="6"/>
  <c r="X56" i="6" s="1"/>
  <c r="Y51" i="6" s="1"/>
  <c r="X62" i="6"/>
  <c r="X63" i="6" s="1"/>
  <c r="Y58" i="6" s="1"/>
  <c r="X20" i="6"/>
  <c r="X21" i="6" s="1"/>
  <c r="Y16" i="6" s="1"/>
  <c r="U54" i="8"/>
  <c r="U10" i="8" s="1"/>
  <c r="U55" i="8"/>
  <c r="V53" i="8" s="1"/>
  <c r="X25" i="7"/>
  <c r="X38" i="7"/>
  <c r="X13" i="6"/>
  <c r="X14" i="6" s="1"/>
  <c r="X83" i="6"/>
  <c r="X84" i="6" s="1"/>
  <c r="Y79" i="6" s="1"/>
  <c r="Y82" i="6" s="1"/>
  <c r="X27" i="6"/>
  <c r="X28" i="6" s="1"/>
  <c r="Y23" i="6" s="1"/>
  <c r="X34" i="6"/>
  <c r="X35" i="6" s="1"/>
  <c r="Y30" i="6" s="1"/>
  <c r="Y25" i="6" l="1"/>
  <c r="Y26" i="6"/>
  <c r="X92" i="6"/>
  <c r="Y9" i="6"/>
  <c r="Y46" i="6"/>
  <c r="Y47" i="6" s="1"/>
  <c r="Y32" i="6"/>
  <c r="Y33" i="6" s="1"/>
  <c r="Y60" i="6"/>
  <c r="Y61" i="6" s="1"/>
  <c r="U15" i="8"/>
  <c r="Y18" i="6"/>
  <c r="Y19" i="6"/>
  <c r="Y54" i="6"/>
  <c r="Y53" i="6"/>
  <c r="X33" i="17"/>
  <c r="X23" i="17"/>
  <c r="U40" i="8"/>
  <c r="U42" i="8" l="1"/>
  <c r="X25" i="17"/>
  <c r="X27" i="17" s="1"/>
  <c r="X40" i="17" s="1"/>
  <c r="X30" i="17"/>
  <c r="X28" i="17" s="1"/>
  <c r="X26" i="17"/>
  <c r="Y24" i="17" s="1"/>
  <c r="U28" i="8"/>
  <c r="Y11" i="6"/>
  <c r="Y89" i="6" s="1"/>
  <c r="X42" i="17" l="1"/>
  <c r="X44" i="17" s="1"/>
  <c r="X41" i="17"/>
  <c r="Y12" i="6"/>
  <c r="Y31" i="17"/>
  <c r="U29" i="8"/>
  <c r="U30" i="8" s="1"/>
  <c r="U31" i="8"/>
  <c r="U32" i="8" l="1"/>
  <c r="Y91" i="6"/>
  <c r="U33" i="8"/>
  <c r="Y62" i="6" l="1"/>
  <c r="Y63" i="6" s="1"/>
  <c r="Z58" i="6" s="1"/>
  <c r="Y20" i="6"/>
  <c r="Y21" i="6" s="1"/>
  <c r="Z16" i="6" s="1"/>
  <c r="Y24" i="7"/>
  <c r="Y48" i="6" s="1"/>
  <c r="Y49" i="6" s="1"/>
  <c r="Z44" i="6" s="1"/>
  <c r="U45" i="8"/>
  <c r="U39" i="8"/>
  <c r="V8" i="8"/>
  <c r="U34" i="8"/>
  <c r="V17" i="8"/>
  <c r="U36" i="8"/>
  <c r="U46" i="8" s="1"/>
  <c r="U35" i="8"/>
  <c r="Y41" i="6" l="1"/>
  <c r="Y42" i="6" s="1"/>
  <c r="Z37" i="6" s="1"/>
  <c r="Z60" i="6"/>
  <c r="Z61" i="6" s="1"/>
  <c r="Z46" i="6"/>
  <c r="Z47" i="6" s="1"/>
  <c r="Z18" i="6"/>
  <c r="Z19" i="6" s="1"/>
  <c r="U47" i="8"/>
  <c r="Z39" i="6"/>
  <c r="Z40" i="6" s="1"/>
  <c r="Y25" i="7"/>
  <c r="Y38" i="7"/>
  <c r="Y55" i="6"/>
  <c r="Y56" i="6" s="1"/>
  <c r="Z51" i="6" s="1"/>
  <c r="Y27" i="6"/>
  <c r="Y28" i="6" s="1"/>
  <c r="Z23" i="6" s="1"/>
  <c r="Y83" i="6"/>
  <c r="Y84" i="6" s="1"/>
  <c r="Z79" i="6" s="1"/>
  <c r="Z82" i="6" s="1"/>
  <c r="V21" i="8"/>
  <c r="V22" i="8" s="1"/>
  <c r="V52" i="8" s="1"/>
  <c r="Y34" i="6"/>
  <c r="Y35" i="6" s="1"/>
  <c r="Z30" i="6" s="1"/>
  <c r="Y69" i="6"/>
  <c r="Y70" i="6" s="1"/>
  <c r="Z65" i="6" s="1"/>
  <c r="Z68" i="6" s="1"/>
  <c r="Y13" i="6"/>
  <c r="Y14" i="6" s="1"/>
  <c r="Y76" i="6"/>
  <c r="Y77" i="6" s="1"/>
  <c r="Z72" i="6" s="1"/>
  <c r="Z75" i="6" s="1"/>
  <c r="Y92" i="6" l="1"/>
  <c r="Z9" i="6"/>
  <c r="Y33" i="17"/>
  <c r="Y23" i="17"/>
  <c r="Z32" i="6"/>
  <c r="Z33" i="6" s="1"/>
  <c r="Z25" i="6"/>
  <c r="Z26" i="6" s="1"/>
  <c r="Z53" i="6"/>
  <c r="Z54" i="6" s="1"/>
  <c r="V54" i="8"/>
  <c r="V10" i="8" s="1"/>
  <c r="V15" i="8" s="1"/>
  <c r="V28" i="8" s="1"/>
  <c r="V55" i="8"/>
  <c r="W53" i="8" s="1"/>
  <c r="V40" i="8" l="1"/>
  <c r="V42" i="8" s="1"/>
  <c r="Z11" i="6"/>
  <c r="Z89" i="6" s="1"/>
  <c r="Y25" i="17"/>
  <c r="Y27" i="17" s="1"/>
  <c r="Y40" i="17" s="1"/>
  <c r="Y26" i="17"/>
  <c r="Z24" i="17" s="1"/>
  <c r="V29" i="8"/>
  <c r="V30" i="8" s="1"/>
  <c r="V33" i="8" s="1"/>
  <c r="V31" i="8"/>
  <c r="V45" i="8" l="1"/>
  <c r="W8" i="8"/>
  <c r="V34" i="8"/>
  <c r="Z12" i="6"/>
  <c r="Z31" i="17"/>
  <c r="V32" i="8"/>
  <c r="G31" i="10"/>
  <c r="G33" i="10" s="1"/>
  <c r="Y30" i="17"/>
  <c r="Y28" i="17" s="1"/>
  <c r="Y42" i="17" l="1"/>
  <c r="Y44" i="17" s="1"/>
  <c r="Y41" i="17"/>
  <c r="Z91" i="6"/>
  <c r="G32" i="10"/>
  <c r="W17" i="8"/>
  <c r="V36" i="8"/>
  <c r="V46" i="8" s="1"/>
  <c r="V35" i="8"/>
  <c r="V39" i="8" s="1"/>
  <c r="V47" i="8" s="1"/>
  <c r="W21" i="8" l="1"/>
  <c r="W22" i="8" s="1"/>
  <c r="W52" i="8" s="1"/>
  <c r="Z24" i="7"/>
  <c r="Z38" i="7" l="1"/>
  <c r="Z25" i="7"/>
  <c r="Z55" i="6"/>
  <c r="Z56" i="6" s="1"/>
  <c r="AA51" i="6" s="1"/>
  <c r="Z13" i="6"/>
  <c r="Z14" i="6" s="1"/>
  <c r="Z62" i="6"/>
  <c r="Z63" i="6" s="1"/>
  <c r="AA58" i="6" s="1"/>
  <c r="Z41" i="6"/>
  <c r="Z42" i="6" s="1"/>
  <c r="AA37" i="6" s="1"/>
  <c r="Z83" i="6"/>
  <c r="Z84" i="6" s="1"/>
  <c r="AA79" i="6" s="1"/>
  <c r="AA82" i="6" s="1"/>
  <c r="Z34" i="6"/>
  <c r="Z35" i="6" s="1"/>
  <c r="AA30" i="6" s="1"/>
  <c r="Z76" i="6"/>
  <c r="Z77" i="6" s="1"/>
  <c r="AA72" i="6" s="1"/>
  <c r="AA75" i="6" s="1"/>
  <c r="Z20" i="6"/>
  <c r="Z21" i="6" s="1"/>
  <c r="AA16" i="6" s="1"/>
  <c r="W54" i="8"/>
  <c r="W10" i="8" s="1"/>
  <c r="W15" i="8" s="1"/>
  <c r="W28" i="8" s="1"/>
  <c r="W40" i="8"/>
  <c r="W42" i="8" s="1"/>
  <c r="W55" i="8"/>
  <c r="X53" i="8" s="1"/>
  <c r="Z69" i="6"/>
  <c r="Z70" i="6" s="1"/>
  <c r="AA65" i="6" s="1"/>
  <c r="AA68" i="6" s="1"/>
  <c r="Z27" i="6"/>
  <c r="Z28" i="6" s="1"/>
  <c r="AA23" i="6" s="1"/>
  <c r="Z48" i="6"/>
  <c r="Z49" i="6" s="1"/>
  <c r="AA44" i="6" s="1"/>
  <c r="AA25" i="6" l="1"/>
  <c r="AA26" i="6"/>
  <c r="AA32" i="6"/>
  <c r="AA33" i="6" s="1"/>
  <c r="AA39" i="6"/>
  <c r="AA40" i="6"/>
  <c r="AA60" i="6"/>
  <c r="AA61" i="6" s="1"/>
  <c r="Z92" i="6"/>
  <c r="AA9" i="6"/>
  <c r="AA18" i="6"/>
  <c r="AA19" i="6"/>
  <c r="AA46" i="6"/>
  <c r="AA47" i="6" s="1"/>
  <c r="W29" i="8"/>
  <c r="W30" i="8" s="1"/>
  <c r="W31" i="8"/>
  <c r="AA53" i="6"/>
  <c r="AA54" i="6" s="1"/>
  <c r="Z33" i="17"/>
  <c r="Z23" i="17"/>
  <c r="W32" i="8" l="1"/>
  <c r="AA11" i="6"/>
  <c r="AA89" i="6" s="1"/>
  <c r="W33" i="8"/>
  <c r="Z25" i="17"/>
  <c r="Z27" i="17" s="1"/>
  <c r="Z40" i="17" s="1"/>
  <c r="Z26" i="17"/>
  <c r="AA24" i="17" s="1"/>
  <c r="AA12" i="6" l="1"/>
  <c r="X17" i="8"/>
  <c r="W36" i="8"/>
  <c r="W46" i="8" s="1"/>
  <c r="W35" i="8"/>
  <c r="W39" i="8" s="1"/>
  <c r="W47" i="8" s="1"/>
  <c r="AA91" i="6"/>
  <c r="Z30" i="17"/>
  <c r="Z28" i="17" s="1"/>
  <c r="W45" i="8"/>
  <c r="X8" i="8"/>
  <c r="W34" i="8"/>
  <c r="AA31" i="17"/>
  <c r="Z42" i="17" l="1"/>
  <c r="Z44" i="17" s="1"/>
  <c r="Z41" i="17"/>
  <c r="AA24" i="7"/>
  <c r="AA83" i="6" s="1"/>
  <c r="AA84" i="6" s="1"/>
  <c r="AB79" i="6" s="1"/>
  <c r="AB82" i="6" s="1"/>
  <c r="X21" i="8"/>
  <c r="X22" i="8" s="1"/>
  <c r="X52" i="8" s="1"/>
  <c r="AA13" i="6" l="1"/>
  <c r="AA14" i="6" s="1"/>
  <c r="AB9" i="6" s="1"/>
  <c r="AA55" i="6"/>
  <c r="AA56" i="6" s="1"/>
  <c r="AB51" i="6" s="1"/>
  <c r="AA62" i="6"/>
  <c r="AA63" i="6" s="1"/>
  <c r="AB58" i="6" s="1"/>
  <c r="AA38" i="7"/>
  <c r="AA25" i="7"/>
  <c r="AA69" i="6"/>
  <c r="AA70" i="6" s="1"/>
  <c r="AB65" i="6" s="1"/>
  <c r="AB68" i="6" s="1"/>
  <c r="AA27" i="6"/>
  <c r="AA28" i="6" s="1"/>
  <c r="AB23" i="6" s="1"/>
  <c r="AA20" i="6"/>
  <c r="AA21" i="6" s="1"/>
  <c r="AB16" i="6" s="1"/>
  <c r="AA76" i="6"/>
  <c r="AA77" i="6" s="1"/>
  <c r="AB72" i="6" s="1"/>
  <c r="AB75" i="6" s="1"/>
  <c r="AA41" i="6"/>
  <c r="AA42" i="6" s="1"/>
  <c r="AB37" i="6" s="1"/>
  <c r="X54" i="8"/>
  <c r="X10" i="8" s="1"/>
  <c r="X15" i="8" s="1"/>
  <c r="X28" i="8" s="1"/>
  <c r="X55" i="8"/>
  <c r="Y53" i="8" s="1"/>
  <c r="AA34" i="6"/>
  <c r="AA35" i="6" s="1"/>
  <c r="AB30" i="6" s="1"/>
  <c r="AA48" i="6"/>
  <c r="AA49" i="6" s="1"/>
  <c r="AB44" i="6" s="1"/>
  <c r="AB32" i="6" l="1"/>
  <c r="AB33" i="6" s="1"/>
  <c r="AA33" i="17"/>
  <c r="AA23" i="17"/>
  <c r="X40" i="8"/>
  <c r="X42" i="8" s="1"/>
  <c r="AB39" i="6"/>
  <c r="AB40" i="6" s="1"/>
  <c r="X29" i="8"/>
  <c r="X30" i="8" s="1"/>
  <c r="X31" i="8"/>
  <c r="AB60" i="6"/>
  <c r="AB61" i="6" s="1"/>
  <c r="AB53" i="6"/>
  <c r="AB54" i="6" s="1"/>
  <c r="AB11" i="6"/>
  <c r="AB12" i="6"/>
  <c r="AB18" i="6"/>
  <c r="AB19" i="6" s="1"/>
  <c r="AA92" i="6"/>
  <c r="AB46" i="6"/>
  <c r="AB47" i="6" s="1"/>
  <c r="AB25" i="6"/>
  <c r="AB26" i="6" s="1"/>
  <c r="AA25" i="17" l="1"/>
  <c r="AA27" i="17" s="1"/>
  <c r="AA40" i="17" s="1"/>
  <c r="AA26" i="17"/>
  <c r="AB24" i="17" s="1"/>
  <c r="X32" i="8"/>
  <c r="AB89" i="6"/>
  <c r="AB91" i="6"/>
  <c r="X33" i="8"/>
  <c r="X45" i="8" l="1"/>
  <c r="Y8" i="8"/>
  <c r="X34" i="8"/>
  <c r="Y17" i="8"/>
  <c r="X36" i="8"/>
  <c r="X46" i="8" s="1"/>
  <c r="X35" i="8"/>
  <c r="X39" i="8" s="1"/>
  <c r="X47" i="8" s="1"/>
  <c r="AB48" i="6"/>
  <c r="AB49" i="6" s="1"/>
  <c r="AC44" i="6" s="1"/>
  <c r="AB20" i="6"/>
  <c r="AB21" i="6" s="1"/>
  <c r="AC16" i="6" s="1"/>
  <c r="AB41" i="6"/>
  <c r="AB42" i="6" s="1"/>
  <c r="AC37" i="6" s="1"/>
  <c r="AB24" i="7"/>
  <c r="AB31" i="17"/>
  <c r="F12" i="4"/>
  <c r="AA30" i="17"/>
  <c r="AA28" i="17" s="1"/>
  <c r="AC39" i="6" l="1"/>
  <c r="AC40" i="6" s="1"/>
  <c r="AB38" i="7"/>
  <c r="F16" i="14" s="1"/>
  <c r="AB25" i="7"/>
  <c r="AB76" i="6"/>
  <c r="AB77" i="6" s="1"/>
  <c r="AC72" i="6" s="1"/>
  <c r="AC75" i="6" s="1"/>
  <c r="AC46" i="6"/>
  <c r="AC47" i="6" s="1"/>
  <c r="AB55" i="6"/>
  <c r="AB56" i="6" s="1"/>
  <c r="AC51" i="6" s="1"/>
  <c r="AB62" i="6"/>
  <c r="AB63" i="6" s="1"/>
  <c r="AC58" i="6" s="1"/>
  <c r="F14" i="9"/>
  <c r="F16" i="9" s="1"/>
  <c r="AC18" i="6"/>
  <c r="AC19" i="6" s="1"/>
  <c r="Y21" i="8"/>
  <c r="Y22" i="8" s="1"/>
  <c r="Y52" i="8" s="1"/>
  <c r="AB13" i="6"/>
  <c r="AB14" i="6" s="1"/>
  <c r="AB27" i="6"/>
  <c r="AB28" i="6" s="1"/>
  <c r="AC23" i="6" s="1"/>
  <c r="AB83" i="6"/>
  <c r="AB84" i="6" s="1"/>
  <c r="AC79" i="6" s="1"/>
  <c r="AC82" i="6" s="1"/>
  <c r="AA41" i="17"/>
  <c r="AA42" i="17"/>
  <c r="AA44" i="17" s="1"/>
  <c r="AB34" i="6"/>
  <c r="AB35" i="6" s="1"/>
  <c r="AC30" i="6" s="1"/>
  <c r="AB69" i="6"/>
  <c r="AB70" i="6" s="1"/>
  <c r="AC65" i="6" s="1"/>
  <c r="AC32" i="6" l="1"/>
  <c r="AC33" i="6" s="1"/>
  <c r="AC53" i="6"/>
  <c r="AC54" i="6" s="1"/>
  <c r="AC26" i="6"/>
  <c r="AC25" i="6"/>
  <c r="AB33" i="17"/>
  <c r="F15" i="4"/>
  <c r="AB23" i="17"/>
  <c r="F24" i="9"/>
  <c r="Y54" i="8"/>
  <c r="Y10" i="8" s="1"/>
  <c r="Y15" i="8" s="1"/>
  <c r="Y28" i="8" s="1"/>
  <c r="Y40" i="8"/>
  <c r="Y42" i="8" s="1"/>
  <c r="Y55" i="8"/>
  <c r="Z53" i="8" s="1"/>
  <c r="AB92" i="6"/>
  <c r="AC9" i="6"/>
  <c r="AC67" i="6"/>
  <c r="AC68" i="6" s="1"/>
  <c r="AC60" i="6"/>
  <c r="AC61" i="6" s="1"/>
  <c r="F39" i="4" l="1"/>
  <c r="F19" i="14"/>
  <c r="AB25" i="17"/>
  <c r="AB27" i="17" s="1"/>
  <c r="F10" i="17"/>
  <c r="AB26" i="17"/>
  <c r="AC24" i="17" s="1"/>
  <c r="F11" i="9"/>
  <c r="F12" i="9" s="1"/>
  <c r="F16" i="4"/>
  <c r="AC12" i="6"/>
  <c r="AC11" i="6"/>
  <c r="AC89" i="6" s="1"/>
  <c r="Y29" i="8"/>
  <c r="Y30" i="8" s="1"/>
  <c r="Y31" i="8"/>
  <c r="Y32" i="8" l="1"/>
  <c r="AB40" i="17"/>
  <c r="F11" i="17"/>
  <c r="F18" i="9"/>
  <c r="F22" i="9"/>
  <c r="F17" i="9"/>
  <c r="Z17" i="8"/>
  <c r="Y36" i="8"/>
  <c r="Y46" i="8" s="1"/>
  <c r="Y35" i="8"/>
  <c r="Y33" i="8"/>
  <c r="AC91" i="6"/>
  <c r="G44" i="9"/>
  <c r="F10" i="14"/>
  <c r="AC31" i="17"/>
  <c r="AB30" i="17"/>
  <c r="AB28" i="17" s="1"/>
  <c r="Z21" i="8" l="1"/>
  <c r="Z22" i="8" s="1"/>
  <c r="Z52" i="8" s="1"/>
  <c r="AB42" i="17"/>
  <c r="AB41" i="17"/>
  <c r="F15" i="17" s="1"/>
  <c r="F12" i="17"/>
  <c r="F26" i="9"/>
  <c r="F30" i="9"/>
  <c r="F25" i="9"/>
  <c r="F14" i="1"/>
  <c r="AC24" i="7"/>
  <c r="Y39" i="8"/>
  <c r="Y47" i="8" s="1"/>
  <c r="Y45" i="8"/>
  <c r="Z8" i="8"/>
  <c r="Y34" i="8"/>
  <c r="AC38" i="7" l="1"/>
  <c r="AC25" i="7"/>
  <c r="AC76" i="6"/>
  <c r="AC77" i="6" s="1"/>
  <c r="AD72" i="6" s="1"/>
  <c r="AD75" i="6" s="1"/>
  <c r="AC20" i="6"/>
  <c r="AC21" i="6" s="1"/>
  <c r="AD16" i="6" s="1"/>
  <c r="AC83" i="6"/>
  <c r="AC84" i="6" s="1"/>
  <c r="AD79" i="6" s="1"/>
  <c r="AD82" i="6" s="1"/>
  <c r="AC69" i="6"/>
  <c r="AC70" i="6" s="1"/>
  <c r="AD65" i="6" s="1"/>
  <c r="AC41" i="6"/>
  <c r="AC42" i="6" s="1"/>
  <c r="AD37" i="6" s="1"/>
  <c r="F33" i="9"/>
  <c r="F31" i="9"/>
  <c r="F15" i="1"/>
  <c r="F32" i="9"/>
  <c r="G28" i="9" s="1"/>
  <c r="AC13" i="6"/>
  <c r="AC14" i="6" s="1"/>
  <c r="AC62" i="6"/>
  <c r="AC63" i="6" s="1"/>
  <c r="AD58" i="6" s="1"/>
  <c r="AC27" i="6"/>
  <c r="AC28" i="6" s="1"/>
  <c r="AD23" i="6" s="1"/>
  <c r="AB44" i="17"/>
  <c r="F14" i="17" s="1"/>
  <c r="F13" i="17"/>
  <c r="AC34" i="6"/>
  <c r="AC35" i="6" s="1"/>
  <c r="AD30" i="6" s="1"/>
  <c r="Z54" i="8"/>
  <c r="Z10" i="8" s="1"/>
  <c r="Z15" i="8" s="1"/>
  <c r="Z28" i="8" s="1"/>
  <c r="Z55" i="8"/>
  <c r="AA53" i="8" s="1"/>
  <c r="AC48" i="6"/>
  <c r="AC49" i="6" s="1"/>
  <c r="AD44" i="6" s="1"/>
  <c r="AC55" i="6"/>
  <c r="AC56" i="6" s="1"/>
  <c r="AD51" i="6" s="1"/>
  <c r="AD53" i="6" l="1"/>
  <c r="AD54" i="6" s="1"/>
  <c r="AD39" i="6"/>
  <c r="AD40" i="6" s="1"/>
  <c r="AD67" i="6"/>
  <c r="AD68" i="6" s="1"/>
  <c r="AD60" i="6"/>
  <c r="AD61" i="6" s="1"/>
  <c r="AD46" i="6"/>
  <c r="AD47" i="6" s="1"/>
  <c r="Z40" i="8"/>
  <c r="Z42" i="8" s="1"/>
  <c r="AC92" i="6"/>
  <c r="AD9" i="6"/>
  <c r="AD18" i="6"/>
  <c r="AD19" i="6" s="1"/>
  <c r="AD25" i="6"/>
  <c r="AD26" i="6"/>
  <c r="G29" i="9"/>
  <c r="AD32" i="6"/>
  <c r="AD33" i="6"/>
  <c r="Z29" i="8"/>
  <c r="Z30" i="8" s="1"/>
  <c r="Z31" i="8"/>
  <c r="AC33" i="17"/>
  <c r="AC23" i="17"/>
  <c r="AD11" i="6" l="1"/>
  <c r="AD89" i="6" s="1"/>
  <c r="AD12" i="6"/>
  <c r="Z32" i="8"/>
  <c r="AC25" i="17"/>
  <c r="AC27" i="17" s="1"/>
  <c r="AC30" i="17" s="1"/>
  <c r="AC28" i="17" s="1"/>
  <c r="AC26" i="17"/>
  <c r="AD24" i="17" s="1"/>
  <c r="Z33" i="8"/>
  <c r="AA17" i="8" l="1"/>
  <c r="Z36" i="8"/>
  <c r="Z46" i="8" s="1"/>
  <c r="Z35" i="8"/>
  <c r="Z45" i="8"/>
  <c r="Z39" i="8"/>
  <c r="Z47" i="8" s="1"/>
  <c r="AA8" i="8"/>
  <c r="Z34" i="8"/>
  <c r="AD91" i="6"/>
  <c r="AC42" i="17"/>
  <c r="AC40" i="17"/>
  <c r="AC41" i="17" s="1"/>
  <c r="AD31" i="17"/>
  <c r="AD24" i="7" l="1"/>
  <c r="AD83" i="6" s="1"/>
  <c r="AD84" i="6" s="1"/>
  <c r="AE79" i="6" s="1"/>
  <c r="AE82" i="6" s="1"/>
  <c r="AC44" i="17"/>
  <c r="AA21" i="8"/>
  <c r="AA22" i="8" s="1"/>
  <c r="AA52" i="8" s="1"/>
  <c r="AD55" i="6" l="1"/>
  <c r="AD56" i="6" s="1"/>
  <c r="AE51" i="6" s="1"/>
  <c r="AD34" i="6"/>
  <c r="AD35" i="6" s="1"/>
  <c r="AE30" i="6" s="1"/>
  <c r="AD41" i="6"/>
  <c r="AD42" i="6" s="1"/>
  <c r="AE37" i="6" s="1"/>
  <c r="AD48" i="6"/>
  <c r="AD49" i="6" s="1"/>
  <c r="AE44" i="6" s="1"/>
  <c r="AE53" i="6"/>
  <c r="AE54" i="6" s="1"/>
  <c r="AA54" i="8"/>
  <c r="AA10" i="8" s="1"/>
  <c r="AA15" i="8" s="1"/>
  <c r="AA28" i="8" s="1"/>
  <c r="AA55" i="8"/>
  <c r="AB53" i="8" s="1"/>
  <c r="AD13" i="6"/>
  <c r="AD14" i="6" s="1"/>
  <c r="AD76" i="6"/>
  <c r="AD77" i="6" s="1"/>
  <c r="AE72" i="6" s="1"/>
  <c r="AE75" i="6" s="1"/>
  <c r="AD20" i="6"/>
  <c r="AD21" i="6" s="1"/>
  <c r="AE16" i="6" s="1"/>
  <c r="AD25" i="7"/>
  <c r="AD38" i="7"/>
  <c r="AD62" i="6"/>
  <c r="AD63" i="6" s="1"/>
  <c r="AE58" i="6" s="1"/>
  <c r="AD69" i="6"/>
  <c r="AD70" i="6" s="1"/>
  <c r="AE65" i="6" s="1"/>
  <c r="AD27" i="6"/>
  <c r="AD28" i="6" s="1"/>
  <c r="AE23" i="6" s="1"/>
  <c r="AA40" i="8" l="1"/>
  <c r="AA42" i="8" s="1"/>
  <c r="AE60" i="6"/>
  <c r="AE61" i="6" s="1"/>
  <c r="AD33" i="17"/>
  <c r="AD23" i="17"/>
  <c r="AE18" i="6"/>
  <c r="AE19" i="6" s="1"/>
  <c r="AE46" i="6"/>
  <c r="AE47" i="6" s="1"/>
  <c r="AE39" i="6"/>
  <c r="AE40" i="6" s="1"/>
  <c r="AD92" i="6"/>
  <c r="AE9" i="6"/>
  <c r="AE25" i="6"/>
  <c r="AE26" i="6" s="1"/>
  <c r="AE32" i="6"/>
  <c r="AE33" i="6"/>
  <c r="AE67" i="6"/>
  <c r="AE68" i="6" s="1"/>
  <c r="AA29" i="8"/>
  <c r="AA30" i="8" s="1"/>
  <c r="AA31" i="8"/>
  <c r="AA33" i="8" l="1"/>
  <c r="AA45" i="8"/>
  <c r="AB8" i="8"/>
  <c r="AA34" i="8"/>
  <c r="AD25" i="17"/>
  <c r="AD27" i="17" s="1"/>
  <c r="AD26" i="17"/>
  <c r="AE24" i="17" s="1"/>
  <c r="AA32" i="8"/>
  <c r="AE11" i="6"/>
  <c r="AE89" i="6" s="1"/>
  <c r="AB17" i="8" l="1"/>
  <c r="AA36" i="8"/>
  <c r="AA46" i="8" s="1"/>
  <c r="AA35" i="8"/>
  <c r="AA39" i="8" s="1"/>
  <c r="AA47" i="8" s="1"/>
  <c r="AD40" i="17"/>
  <c r="AE31" i="17"/>
  <c r="AD30" i="17"/>
  <c r="AD28" i="17" s="1"/>
  <c r="AE12" i="6"/>
  <c r="AD42" i="17" l="1"/>
  <c r="AD41" i="17"/>
  <c r="AE91" i="6"/>
  <c r="AB21" i="8"/>
  <c r="AB22" i="8" s="1"/>
  <c r="F17" i="4" l="1"/>
  <c r="F21" i="4" s="1"/>
  <c r="AB52" i="8"/>
  <c r="AE24" i="7"/>
  <c r="AD44" i="17"/>
  <c r="AE25" i="7" l="1"/>
  <c r="AE38" i="7"/>
  <c r="AE27" i="6"/>
  <c r="AE28" i="6" s="1"/>
  <c r="AF23" i="6" s="1"/>
  <c r="AE76" i="6"/>
  <c r="AE77" i="6" s="1"/>
  <c r="AF72" i="6" s="1"/>
  <c r="AF75" i="6" s="1"/>
  <c r="AE34" i="6"/>
  <c r="AE35" i="6" s="1"/>
  <c r="AF30" i="6" s="1"/>
  <c r="AE83" i="6"/>
  <c r="AE84" i="6" s="1"/>
  <c r="AF79" i="6" s="1"/>
  <c r="AF82" i="6" s="1"/>
  <c r="AE55" i="6"/>
  <c r="AE56" i="6" s="1"/>
  <c r="AF51" i="6" s="1"/>
  <c r="AE69" i="6"/>
  <c r="AE70" i="6" s="1"/>
  <c r="AF65" i="6" s="1"/>
  <c r="AE13" i="6"/>
  <c r="AE14" i="6" s="1"/>
  <c r="AE41" i="6"/>
  <c r="AE42" i="6" s="1"/>
  <c r="AF37" i="6" s="1"/>
  <c r="AE48" i="6"/>
  <c r="AE49" i="6" s="1"/>
  <c r="AF44" i="6" s="1"/>
  <c r="AE20" i="6"/>
  <c r="AE21" i="6" s="1"/>
  <c r="AF16" i="6" s="1"/>
  <c r="AB54" i="8"/>
  <c r="AB10" i="8" s="1"/>
  <c r="AB40" i="8" s="1"/>
  <c r="AB55" i="8"/>
  <c r="AC53" i="8" s="1"/>
  <c r="AE62" i="6"/>
  <c r="AE63" i="6" s="1"/>
  <c r="AF58" i="6" s="1"/>
  <c r="G22" i="10"/>
  <c r="G24" i="10" s="1"/>
  <c r="G27" i="10" s="1"/>
  <c r="AF67" i="6" l="1"/>
  <c r="AF68" i="6" s="1"/>
  <c r="AF53" i="6"/>
  <c r="AF54" i="6" s="1"/>
  <c r="AB15" i="8"/>
  <c r="F22" i="4"/>
  <c r="AF39" i="6"/>
  <c r="AF40" i="6" s="1"/>
  <c r="AF25" i="6"/>
  <c r="AF26" i="6" s="1"/>
  <c r="F23" i="4"/>
  <c r="F10" i="1" s="1"/>
  <c r="AB42" i="8"/>
  <c r="AF18" i="6"/>
  <c r="AF19" i="6" s="1"/>
  <c r="AF32" i="6"/>
  <c r="AF33" i="6"/>
  <c r="G18" i="1"/>
  <c r="AF46" i="6"/>
  <c r="AF47" i="6" s="1"/>
  <c r="AF60" i="6"/>
  <c r="AF61" i="6" s="1"/>
  <c r="AE92" i="6"/>
  <c r="AF9" i="6"/>
  <c r="AE33" i="17"/>
  <c r="AE23" i="17"/>
  <c r="AE25" i="17" l="1"/>
  <c r="AE27" i="17" s="1"/>
  <c r="AE30" i="17" s="1"/>
  <c r="AE28" i="17" s="1"/>
  <c r="AE26" i="17"/>
  <c r="AF24" i="17" s="1"/>
  <c r="F49" i="4"/>
  <c r="E39" i="9"/>
  <c r="E42" i="9" s="1"/>
  <c r="AB28" i="8"/>
  <c r="F27" i="4"/>
  <c r="F31" i="4" s="1"/>
  <c r="F13" i="14"/>
  <c r="AF11" i="6"/>
  <c r="AF89" i="6" s="1"/>
  <c r="AF12" i="6"/>
  <c r="AE42" i="17" l="1"/>
  <c r="AF31" i="17"/>
  <c r="F11" i="1"/>
  <c r="AB29" i="8"/>
  <c r="AB30" i="8" s="1"/>
  <c r="AB31" i="8"/>
  <c r="AF91" i="6"/>
  <c r="AE40" i="17"/>
  <c r="AE41" i="17" s="1"/>
  <c r="AF24" i="7" l="1"/>
  <c r="F35" i="4"/>
  <c r="AB32" i="8"/>
  <c r="AB33" i="8"/>
  <c r="AE44" i="17"/>
  <c r="AF25" i="7" l="1"/>
  <c r="AF38" i="7"/>
  <c r="AF13" i="6"/>
  <c r="AF14" i="6" s="1"/>
  <c r="AF34" i="6"/>
  <c r="AF35" i="6" s="1"/>
  <c r="AG30" i="6" s="1"/>
  <c r="F9" i="14"/>
  <c r="AF55" i="6"/>
  <c r="AF56" i="6" s="1"/>
  <c r="AG51" i="6" s="1"/>
  <c r="AF62" i="6"/>
  <c r="AF63" i="6" s="1"/>
  <c r="AG58" i="6" s="1"/>
  <c r="AB45" i="8"/>
  <c r="F42" i="4" s="1"/>
  <c r="AC8" i="8"/>
  <c r="F36" i="4"/>
  <c r="AB34" i="8"/>
  <c r="F53" i="4" s="1"/>
  <c r="F13" i="1" s="1"/>
  <c r="F29" i="10"/>
  <c r="F30" i="10"/>
  <c r="AF41" i="6"/>
  <c r="AF42" i="6" s="1"/>
  <c r="AG37" i="6" s="1"/>
  <c r="AC17" i="8"/>
  <c r="AB36" i="8"/>
  <c r="AB35" i="8"/>
  <c r="AB39" i="8" s="1"/>
  <c r="F52" i="4"/>
  <c r="F12" i="1" s="1"/>
  <c r="AF48" i="6"/>
  <c r="AF49" i="6" s="1"/>
  <c r="AG44" i="6" s="1"/>
  <c r="AF69" i="6"/>
  <c r="AF70" i="6" s="1"/>
  <c r="AG65" i="6" s="1"/>
  <c r="AF20" i="6"/>
  <c r="AF21" i="6" s="1"/>
  <c r="AG16" i="6" s="1"/>
  <c r="AF76" i="6"/>
  <c r="AF77" i="6" s="1"/>
  <c r="AG72" i="6" s="1"/>
  <c r="AG75" i="6" s="1"/>
  <c r="AF27" i="6"/>
  <c r="AF28" i="6" s="1"/>
  <c r="AG23" i="6" s="1"/>
  <c r="AF83" i="6"/>
  <c r="AF84" i="6" s="1"/>
  <c r="AG79" i="6" s="1"/>
  <c r="AG82" i="6" s="1"/>
  <c r="AC21" i="8" l="1"/>
  <c r="AC22" i="8" s="1"/>
  <c r="AG39" i="6"/>
  <c r="AG40" i="6"/>
  <c r="F8" i="14"/>
  <c r="G43" i="9"/>
  <c r="G45" i="9" s="1"/>
  <c r="AG60" i="6"/>
  <c r="AG61" i="6" s="1"/>
  <c r="AG53" i="6"/>
  <c r="AG54" i="6" s="1"/>
  <c r="AG18" i="6"/>
  <c r="AG19" i="6" s="1"/>
  <c r="AG67" i="6"/>
  <c r="AG68" i="6" s="1"/>
  <c r="AG46" i="6"/>
  <c r="AG47" i="6" s="1"/>
  <c r="AF92" i="6"/>
  <c r="AG9" i="6"/>
  <c r="AG32" i="6"/>
  <c r="AG33" i="6" s="1"/>
  <c r="AG25" i="6"/>
  <c r="AG26" i="6"/>
  <c r="AB46" i="8"/>
  <c r="F48" i="4" s="1"/>
  <c r="G46" i="9" s="1"/>
  <c r="G47" i="9" s="1"/>
  <c r="F44" i="4"/>
  <c r="AB47" i="8"/>
  <c r="F36" i="9"/>
  <c r="F37" i="9" s="1"/>
  <c r="AF33" i="17"/>
  <c r="AF23" i="17"/>
  <c r="AF25" i="17" l="1"/>
  <c r="AF27" i="17" s="1"/>
  <c r="AF26" i="17"/>
  <c r="AG24" i="17" s="1"/>
  <c r="AC52" i="8"/>
  <c r="AG11" i="6"/>
  <c r="AG89" i="6" s="1"/>
  <c r="G49" i="9"/>
  <c r="AG31" i="17" l="1"/>
  <c r="AF40" i="17"/>
  <c r="AG12" i="6"/>
  <c r="AF30" i="17"/>
  <c r="AF28" i="17" s="1"/>
  <c r="AC54" i="8"/>
  <c r="AC10" i="8" s="1"/>
  <c r="AC55" i="8"/>
  <c r="AD53" i="8" s="1"/>
  <c r="G16" i="1"/>
  <c r="AF42" i="17" l="1"/>
  <c r="AF41" i="17"/>
  <c r="AG91" i="6"/>
  <c r="AC15" i="8"/>
  <c r="AC40" i="8"/>
  <c r="AG24" i="7" l="1"/>
  <c r="AG41" i="6" s="1"/>
  <c r="AG42" i="6" s="1"/>
  <c r="AH37" i="6" s="1"/>
  <c r="AC28" i="8"/>
  <c r="AC42" i="8"/>
  <c r="AF44" i="17"/>
  <c r="AG34" i="6" l="1"/>
  <c r="AG35" i="6" s="1"/>
  <c r="AH30" i="6" s="1"/>
  <c r="AG62" i="6"/>
  <c r="AG63" i="6" s="1"/>
  <c r="AH58" i="6" s="1"/>
  <c r="AG69" i="6"/>
  <c r="AG70" i="6" s="1"/>
  <c r="AH65" i="6" s="1"/>
  <c r="AH60" i="6"/>
  <c r="AH61" i="6" s="1"/>
  <c r="AC29" i="8"/>
  <c r="AC30" i="8" s="1"/>
  <c r="AC31" i="8"/>
  <c r="AH32" i="6"/>
  <c r="AH33" i="6" s="1"/>
  <c r="AH67" i="6"/>
  <c r="AH68" i="6" s="1"/>
  <c r="AH39" i="6"/>
  <c r="AH40" i="6" s="1"/>
  <c r="AG38" i="7"/>
  <c r="AG25" i="7"/>
  <c r="AG48" i="6"/>
  <c r="AG49" i="6" s="1"/>
  <c r="AH44" i="6" s="1"/>
  <c r="AG20" i="6"/>
  <c r="AG21" i="6" s="1"/>
  <c r="AH16" i="6" s="1"/>
  <c r="AG55" i="6"/>
  <c r="AG56" i="6" s="1"/>
  <c r="AH51" i="6" s="1"/>
  <c r="AG13" i="6"/>
  <c r="AG14" i="6" s="1"/>
  <c r="AG76" i="6"/>
  <c r="AG77" i="6" s="1"/>
  <c r="AH72" i="6" s="1"/>
  <c r="AH75" i="6" s="1"/>
  <c r="AG27" i="6"/>
  <c r="AG28" i="6" s="1"/>
  <c r="AH23" i="6" s="1"/>
  <c r="AG83" i="6"/>
  <c r="AG84" i="6" s="1"/>
  <c r="AH79" i="6" s="1"/>
  <c r="AH82" i="6" s="1"/>
  <c r="AH46" i="6" l="1"/>
  <c r="AH47" i="6" s="1"/>
  <c r="AG33" i="17"/>
  <c r="AG23" i="17"/>
  <c r="AH25" i="6"/>
  <c r="AH26" i="6" s="1"/>
  <c r="AH18" i="6"/>
  <c r="AH19" i="6" s="1"/>
  <c r="AC32" i="8"/>
  <c r="AC33" i="8"/>
  <c r="AG92" i="6"/>
  <c r="AH9" i="6"/>
  <c r="AH53" i="6"/>
  <c r="AH54" i="6" s="1"/>
  <c r="AH11" i="6" l="1"/>
  <c r="AH89" i="6" s="1"/>
  <c r="AC45" i="8"/>
  <c r="AD8" i="8"/>
  <c r="AC34" i="8"/>
  <c r="AD17" i="8"/>
  <c r="AC36" i="8"/>
  <c r="AC46" i="8" s="1"/>
  <c r="AC35" i="8"/>
  <c r="AC39" i="8" s="1"/>
  <c r="AG25" i="17"/>
  <c r="AG27" i="17" s="1"/>
  <c r="AG30" i="17"/>
  <c r="AG28" i="17" s="1"/>
  <c r="AG26" i="17"/>
  <c r="AH24" i="17" s="1"/>
  <c r="AC47" i="8" l="1"/>
  <c r="AH31" i="17"/>
  <c r="G11" i="10"/>
  <c r="G13" i="10" s="1"/>
  <c r="AG42" i="17"/>
  <c r="AD21" i="8"/>
  <c r="AD22" i="8" s="1"/>
  <c r="AH12" i="6"/>
  <c r="AG40" i="17"/>
  <c r="AG41" i="17" s="1"/>
  <c r="AD52" i="8" l="1"/>
  <c r="AG44" i="17"/>
  <c r="AH91" i="6"/>
  <c r="AH24" i="7" l="1"/>
  <c r="AH69" i="6" s="1"/>
  <c r="AH70" i="6" s="1"/>
  <c r="AI65" i="6" s="1"/>
  <c r="AD54" i="8"/>
  <c r="AD10" i="8" s="1"/>
  <c r="AD40" i="8"/>
  <c r="AD55" i="8"/>
  <c r="AE53" i="8" s="1"/>
  <c r="AH20" i="6" l="1"/>
  <c r="AH21" i="6" s="1"/>
  <c r="AI16" i="6" s="1"/>
  <c r="AH41" i="6"/>
  <c r="AH42" i="6" s="1"/>
  <c r="AI37" i="6" s="1"/>
  <c r="AH76" i="6"/>
  <c r="AH77" i="6" s="1"/>
  <c r="AI72" i="6" s="1"/>
  <c r="AI75" i="6" s="1"/>
  <c r="AH48" i="6"/>
  <c r="AH49" i="6" s="1"/>
  <c r="AI44" i="6" s="1"/>
  <c r="AD42" i="8"/>
  <c r="AD15" i="8"/>
  <c r="AI46" i="6"/>
  <c r="AI47" i="6" s="1"/>
  <c r="AH25" i="7"/>
  <c r="AH38" i="7"/>
  <c r="AH55" i="6"/>
  <c r="AH56" i="6" s="1"/>
  <c r="AI51" i="6" s="1"/>
  <c r="AH34" i="6"/>
  <c r="AH35" i="6" s="1"/>
  <c r="AI30" i="6" s="1"/>
  <c r="AH62" i="6"/>
  <c r="AH63" i="6" s="1"/>
  <c r="AI58" i="6" s="1"/>
  <c r="AH27" i="6"/>
  <c r="AH28" i="6" s="1"/>
  <c r="AI23" i="6" s="1"/>
  <c r="AI18" i="6"/>
  <c r="AI19" i="6"/>
  <c r="AI39" i="6"/>
  <c r="AI40" i="6" s="1"/>
  <c r="AI67" i="6"/>
  <c r="AI68" i="6" s="1"/>
  <c r="AH13" i="6"/>
  <c r="AH14" i="6" s="1"/>
  <c r="AH83" i="6"/>
  <c r="AH84" i="6" s="1"/>
  <c r="AI79" i="6" s="1"/>
  <c r="AI82" i="6" s="1"/>
  <c r="AH92" i="6" l="1"/>
  <c r="AI9" i="6"/>
  <c r="AD28" i="8"/>
  <c r="AH33" i="17"/>
  <c r="G14" i="10"/>
  <c r="AH23" i="17"/>
  <c r="AI25" i="6"/>
  <c r="AI26" i="6" s="1"/>
  <c r="AI60" i="6"/>
  <c r="AI61" i="6" s="1"/>
  <c r="AI32" i="6"/>
  <c r="AI33" i="6" s="1"/>
  <c r="AI53" i="6"/>
  <c r="AI54" i="6" s="1"/>
  <c r="AD29" i="8" l="1"/>
  <c r="AD30" i="8" s="1"/>
  <c r="AD33" i="8" s="1"/>
  <c r="AD31" i="8"/>
  <c r="AI11" i="6"/>
  <c r="AI89" i="6" s="1"/>
  <c r="AH25" i="17"/>
  <c r="AH27" i="17" s="1"/>
  <c r="AH40" i="17" s="1"/>
  <c r="AH26" i="17"/>
  <c r="AI24" i="17" s="1"/>
  <c r="G15" i="10"/>
  <c r="G16" i="10" s="1"/>
  <c r="AD45" i="8" l="1"/>
  <c r="AE8" i="8"/>
  <c r="AD34" i="8"/>
  <c r="G18" i="10"/>
  <c r="G17" i="10"/>
  <c r="AH30" i="17"/>
  <c r="AH28" i="17" s="1"/>
  <c r="AI31" i="17"/>
  <c r="AD32" i="8"/>
  <c r="AI12" i="6"/>
  <c r="AE17" i="8" l="1"/>
  <c r="AD36" i="8"/>
  <c r="AD46" i="8" s="1"/>
  <c r="AD35" i="8"/>
  <c r="AD39" i="8" s="1"/>
  <c r="G17" i="1"/>
  <c r="AH42" i="17"/>
  <c r="AH44" i="17" s="1"/>
  <c r="AH41" i="17"/>
  <c r="AI91" i="6"/>
  <c r="AI24" i="7" l="1"/>
  <c r="AI55" i="6" s="1"/>
  <c r="AI56" i="6" s="1"/>
  <c r="AJ51" i="6" s="1"/>
  <c r="AD47" i="8"/>
  <c r="AE21" i="8"/>
  <c r="AE22" i="8" s="1"/>
  <c r="AI20" i="6" l="1"/>
  <c r="AI21" i="6" s="1"/>
  <c r="AJ16" i="6" s="1"/>
  <c r="AI41" i="6"/>
  <c r="AI42" i="6" s="1"/>
  <c r="AJ37" i="6" s="1"/>
  <c r="AI27" i="6"/>
  <c r="AI28" i="6" s="1"/>
  <c r="AJ23" i="6" s="1"/>
  <c r="AJ25" i="6"/>
  <c r="AJ26" i="6"/>
  <c r="AJ53" i="6"/>
  <c r="AJ54" i="6" s="1"/>
  <c r="AI25" i="7"/>
  <c r="AI38" i="7"/>
  <c r="AJ18" i="6"/>
  <c r="AJ19" i="6"/>
  <c r="AE52" i="8"/>
  <c r="AJ39" i="6"/>
  <c r="AJ40" i="6" s="1"/>
  <c r="AI62" i="6"/>
  <c r="AI63" i="6" s="1"/>
  <c r="AJ58" i="6" s="1"/>
  <c r="AI13" i="6"/>
  <c r="AI14" i="6" s="1"/>
  <c r="AI69" i="6"/>
  <c r="AI70" i="6" s="1"/>
  <c r="AJ65" i="6" s="1"/>
  <c r="AI34" i="6"/>
  <c r="AI35" i="6" s="1"/>
  <c r="AJ30" i="6" s="1"/>
  <c r="AI76" i="6"/>
  <c r="AI77" i="6" s="1"/>
  <c r="AJ72" i="6" s="1"/>
  <c r="AJ75" i="6" s="1"/>
  <c r="AI48" i="6"/>
  <c r="AI49" i="6" s="1"/>
  <c r="AJ44" i="6" s="1"/>
  <c r="AI83" i="6"/>
  <c r="AI84" i="6" s="1"/>
  <c r="AJ79" i="6" s="1"/>
  <c r="AJ82" i="6" s="1"/>
  <c r="AJ32" i="6" l="1"/>
  <c r="AJ33" i="6" s="1"/>
  <c r="AJ67" i="6"/>
  <c r="AJ68" i="6" s="1"/>
  <c r="AI92" i="6"/>
  <c r="AJ9" i="6"/>
  <c r="AJ60" i="6"/>
  <c r="AJ61" i="6" s="1"/>
  <c r="AI33" i="17"/>
  <c r="AI23" i="17"/>
  <c r="AJ46" i="6"/>
  <c r="AJ47" i="6" s="1"/>
  <c r="AE54" i="8"/>
  <c r="AE10" i="8" s="1"/>
  <c r="AE40" i="8" s="1"/>
  <c r="AE55" i="8"/>
  <c r="AF53" i="8" s="1"/>
  <c r="AE42" i="8" l="1"/>
  <c r="AI25" i="17"/>
  <c r="AI27" i="17" s="1"/>
  <c r="AI40" i="17" s="1"/>
  <c r="AI26" i="17"/>
  <c r="AJ24" i="17" s="1"/>
  <c r="AE15" i="8"/>
  <c r="AJ11" i="6"/>
  <c r="AJ89" i="6" s="1"/>
  <c r="AJ31" i="17" l="1"/>
  <c r="AE28" i="8"/>
  <c r="AJ12" i="6"/>
  <c r="AI30" i="17"/>
  <c r="AI28" i="17" s="1"/>
  <c r="AE29" i="8" l="1"/>
  <c r="AE30" i="8" s="1"/>
  <c r="AE31" i="8"/>
  <c r="AI41" i="17"/>
  <c r="AI42" i="17"/>
  <c r="AI44" i="17" s="1"/>
  <c r="AJ91" i="6"/>
  <c r="AJ24" i="7" l="1"/>
  <c r="AJ55" i="6" s="1"/>
  <c r="AJ56" i="6" s="1"/>
  <c r="AK51" i="6" s="1"/>
  <c r="AE32" i="8"/>
  <c r="AE33" i="8"/>
  <c r="AJ27" i="6" l="1"/>
  <c r="AJ28" i="6" s="1"/>
  <c r="AK23" i="6" s="1"/>
  <c r="AJ13" i="6"/>
  <c r="AJ14" i="6" s="1"/>
  <c r="AJ41" i="6"/>
  <c r="AJ42" i="6" s="1"/>
  <c r="AK37" i="6" s="1"/>
  <c r="AJ48" i="6"/>
  <c r="AJ49" i="6" s="1"/>
  <c r="AK44" i="6" s="1"/>
  <c r="AK9" i="6"/>
  <c r="AF17" i="8"/>
  <c r="AE36" i="8"/>
  <c r="AE46" i="8" s="1"/>
  <c r="AE35" i="8"/>
  <c r="AE39" i="8" s="1"/>
  <c r="AE45" i="8"/>
  <c r="AF8" i="8"/>
  <c r="AE34" i="8"/>
  <c r="AK39" i="6"/>
  <c r="AK40" i="6" s="1"/>
  <c r="AK46" i="6"/>
  <c r="AK47" i="6" s="1"/>
  <c r="AK53" i="6"/>
  <c r="AK54" i="6" s="1"/>
  <c r="AJ38" i="7"/>
  <c r="AJ25" i="7"/>
  <c r="AJ62" i="6"/>
  <c r="AJ63" i="6" s="1"/>
  <c r="AK58" i="6" s="1"/>
  <c r="AJ20" i="6"/>
  <c r="AJ21" i="6" s="1"/>
  <c r="AK16" i="6" s="1"/>
  <c r="AJ69" i="6"/>
  <c r="AJ70" i="6" s="1"/>
  <c r="AK65" i="6" s="1"/>
  <c r="AK25" i="6"/>
  <c r="AK26" i="6" s="1"/>
  <c r="AJ83" i="6"/>
  <c r="AJ84" i="6" s="1"/>
  <c r="AK79" i="6" s="1"/>
  <c r="AK82" i="6" s="1"/>
  <c r="AJ34" i="6"/>
  <c r="AJ35" i="6" s="1"/>
  <c r="AK30" i="6" s="1"/>
  <c r="AJ76" i="6"/>
  <c r="AJ77" i="6" s="1"/>
  <c r="AK72" i="6" s="1"/>
  <c r="AK75" i="6" s="1"/>
  <c r="AE47" i="8" l="1"/>
  <c r="AK67" i="6"/>
  <c r="AK68" i="6" s="1"/>
  <c r="AK18" i="6"/>
  <c r="AK19" i="6" s="1"/>
  <c r="AK60" i="6"/>
  <c r="AK61" i="6" s="1"/>
  <c r="AJ33" i="17"/>
  <c r="AJ23" i="17"/>
  <c r="AK32" i="6"/>
  <c r="AK33" i="6" s="1"/>
  <c r="AF21" i="8"/>
  <c r="AF22" i="8" s="1"/>
  <c r="AK11" i="6"/>
  <c r="AK12" i="6"/>
  <c r="AJ92" i="6"/>
  <c r="AJ25" i="17" l="1"/>
  <c r="AJ27" i="17" s="1"/>
  <c r="AJ40" i="17" s="1"/>
  <c r="AJ30" i="17"/>
  <c r="AJ28" i="17" s="1"/>
  <c r="AJ26" i="17"/>
  <c r="AK24" i="17" s="1"/>
  <c r="AK91" i="6"/>
  <c r="AK89" i="6"/>
  <c r="AF52" i="8"/>
  <c r="AK24" i="7" l="1"/>
  <c r="AK20" i="6" s="1"/>
  <c r="AK21" i="6" s="1"/>
  <c r="AL16" i="6" s="1"/>
  <c r="AJ41" i="17"/>
  <c r="AJ42" i="17"/>
  <c r="AJ44" i="17" s="1"/>
  <c r="AF54" i="8"/>
  <c r="AF10" i="8" s="1"/>
  <c r="AF55" i="8"/>
  <c r="AG53" i="8" s="1"/>
  <c r="AK31" i="17"/>
  <c r="AK34" i="6" l="1"/>
  <c r="AK35" i="6" s="1"/>
  <c r="AL30" i="6" s="1"/>
  <c r="AK55" i="6"/>
  <c r="AK56" i="6" s="1"/>
  <c r="AL51" i="6" s="1"/>
  <c r="AK48" i="6"/>
  <c r="AK49" i="6" s="1"/>
  <c r="AL44" i="6" s="1"/>
  <c r="AK41" i="6"/>
  <c r="AK42" i="6" s="1"/>
  <c r="AL37" i="6" s="1"/>
  <c r="AL39" i="6" s="1"/>
  <c r="AL32" i="6"/>
  <c r="AL33" i="6" s="1"/>
  <c r="AF15" i="8"/>
  <c r="AL53" i="6"/>
  <c r="AL54" i="6" s="1"/>
  <c r="AL46" i="6"/>
  <c r="AL47" i="6" s="1"/>
  <c r="AL18" i="6"/>
  <c r="AL19" i="6"/>
  <c r="AK38" i="7"/>
  <c r="AK25" i="7"/>
  <c r="AK83" i="6"/>
  <c r="AK84" i="6" s="1"/>
  <c r="AL79" i="6" s="1"/>
  <c r="AL82" i="6" s="1"/>
  <c r="AK27" i="6"/>
  <c r="AK28" i="6" s="1"/>
  <c r="AL23" i="6" s="1"/>
  <c r="AK62" i="6"/>
  <c r="AK63" i="6" s="1"/>
  <c r="AL58" i="6" s="1"/>
  <c r="AK13" i="6"/>
  <c r="AK14" i="6" s="1"/>
  <c r="AK69" i="6"/>
  <c r="AK70" i="6" s="1"/>
  <c r="AL65" i="6" s="1"/>
  <c r="AF40" i="8"/>
  <c r="AK76" i="6"/>
  <c r="AK77" i="6" s="1"/>
  <c r="AL72" i="6" s="1"/>
  <c r="AL75" i="6" s="1"/>
  <c r="AL40" i="6" l="1"/>
  <c r="AF42" i="8"/>
  <c r="AL67" i="6"/>
  <c r="AL68" i="6" s="1"/>
  <c r="AK33" i="17"/>
  <c r="AK23" i="17"/>
  <c r="AK92" i="6"/>
  <c r="AL9" i="6"/>
  <c r="AF28" i="8"/>
  <c r="AL25" i="6"/>
  <c r="AL26" i="6"/>
  <c r="AL60" i="6"/>
  <c r="AL61" i="6" s="1"/>
  <c r="AL11" i="6" l="1"/>
  <c r="AL89" i="6" s="1"/>
  <c r="AL12" i="6"/>
  <c r="AK25" i="17"/>
  <c r="AK27" i="17" s="1"/>
  <c r="AK40" i="17" s="1"/>
  <c r="AK26" i="17"/>
  <c r="AL24" i="17" s="1"/>
  <c r="AF29" i="8"/>
  <c r="AF30" i="8" s="1"/>
  <c r="AF31" i="8"/>
  <c r="AF33" i="8" l="1"/>
  <c r="AF45" i="8"/>
  <c r="AG8" i="8"/>
  <c r="AF34" i="8"/>
  <c r="AL91" i="6"/>
  <c r="AL31" i="17"/>
  <c r="AK30" i="17"/>
  <c r="AK28" i="17" s="1"/>
  <c r="AF32" i="8"/>
  <c r="AG17" i="8" l="1"/>
  <c r="AF36" i="8"/>
  <c r="AF46" i="8" s="1"/>
  <c r="AF35" i="8"/>
  <c r="AF39" i="8" s="1"/>
  <c r="AL24" i="7"/>
  <c r="AL20" i="6" s="1"/>
  <c r="AL21" i="6" s="1"/>
  <c r="AM16" i="6" s="1"/>
  <c r="AK41" i="17"/>
  <c r="AK42" i="17"/>
  <c r="AK44" i="17" s="1"/>
  <c r="AM18" i="6" l="1"/>
  <c r="AM19" i="6"/>
  <c r="AL62" i="6"/>
  <c r="AL63" i="6" s="1"/>
  <c r="AM58" i="6" s="1"/>
  <c r="AL25" i="7"/>
  <c r="AL38" i="7"/>
  <c r="AL13" i="6"/>
  <c r="AL14" i="6" s="1"/>
  <c r="AL69" i="6"/>
  <c r="AL70" i="6" s="1"/>
  <c r="AM65" i="6" s="1"/>
  <c r="AL76" i="6"/>
  <c r="AL77" i="6" s="1"/>
  <c r="AM72" i="6" s="1"/>
  <c r="AM75" i="6" s="1"/>
  <c r="AL27" i="6"/>
  <c r="AL28" i="6" s="1"/>
  <c r="AM23" i="6" s="1"/>
  <c r="AL83" i="6"/>
  <c r="AL84" i="6" s="1"/>
  <c r="AM79" i="6" s="1"/>
  <c r="AM82" i="6" s="1"/>
  <c r="AL34" i="6"/>
  <c r="AL35" i="6" s="1"/>
  <c r="AM30" i="6" s="1"/>
  <c r="AL41" i="6"/>
  <c r="AL42" i="6" s="1"/>
  <c r="AM37" i="6" s="1"/>
  <c r="AF47" i="8"/>
  <c r="AL48" i="6"/>
  <c r="AL49" i="6" s="1"/>
  <c r="AM44" i="6" s="1"/>
  <c r="AL55" i="6"/>
  <c r="AL56" i="6" s="1"/>
  <c r="AM51" i="6" s="1"/>
  <c r="AG21" i="8"/>
  <c r="AG22" i="8" s="1"/>
  <c r="AM67" i="6" l="1"/>
  <c r="AM68" i="6" s="1"/>
  <c r="AM53" i="6"/>
  <c r="AM54" i="6" s="1"/>
  <c r="AM46" i="6"/>
  <c r="AM47" i="6" s="1"/>
  <c r="AL92" i="6"/>
  <c r="AM9" i="6"/>
  <c r="AM39" i="6"/>
  <c r="AM40" i="6"/>
  <c r="AL33" i="17"/>
  <c r="AL23" i="17"/>
  <c r="AM32" i="6"/>
  <c r="AM33" i="6" s="1"/>
  <c r="AM60" i="6"/>
  <c r="AM61" i="6" s="1"/>
  <c r="AG52" i="8"/>
  <c r="AM25" i="6"/>
  <c r="AM26" i="6" s="1"/>
  <c r="AL25" i="17" l="1"/>
  <c r="AL27" i="17" s="1"/>
  <c r="AL40" i="17" s="1"/>
  <c r="AL26" i="17"/>
  <c r="AM24" i="17" s="1"/>
  <c r="AG54" i="8"/>
  <c r="AG10" i="8" s="1"/>
  <c r="AG40" i="8"/>
  <c r="AG55" i="8"/>
  <c r="AH53" i="8" s="1"/>
  <c r="AM11" i="6"/>
  <c r="AM89" i="6" s="1"/>
  <c r="AL30" i="17" l="1"/>
  <c r="AL28" i="17" s="1"/>
  <c r="AM12" i="6"/>
  <c r="AG42" i="8"/>
  <c r="AG15" i="8"/>
  <c r="AM31" i="17"/>
  <c r="AG28" i="8" l="1"/>
  <c r="AM91" i="6"/>
  <c r="AL41" i="17"/>
  <c r="AL42" i="17"/>
  <c r="AL44" i="17" s="1"/>
  <c r="AG29" i="8" l="1"/>
  <c r="AG30" i="8" s="1"/>
  <c r="AG31" i="8"/>
  <c r="AM24" i="7"/>
  <c r="AM55" i="6" s="1"/>
  <c r="AM56" i="6" s="1"/>
  <c r="AN51" i="6" s="1"/>
  <c r="AM34" i="6" l="1"/>
  <c r="AM35" i="6" s="1"/>
  <c r="AN30" i="6" s="1"/>
  <c r="AN53" i="6"/>
  <c r="AN54" i="6" s="1"/>
  <c r="AM38" i="7"/>
  <c r="AM25" i="7"/>
  <c r="AM62" i="6"/>
  <c r="AM63" i="6" s="1"/>
  <c r="AN58" i="6" s="1"/>
  <c r="AM13" i="6"/>
  <c r="AM14" i="6" s="1"/>
  <c r="AM69" i="6"/>
  <c r="AM70" i="6" s="1"/>
  <c r="AN65" i="6" s="1"/>
  <c r="AM20" i="6"/>
  <c r="AM21" i="6" s="1"/>
  <c r="AN16" i="6" s="1"/>
  <c r="AM76" i="6"/>
  <c r="AM77" i="6" s="1"/>
  <c r="AN72" i="6" s="1"/>
  <c r="AN75" i="6" s="1"/>
  <c r="AM27" i="6"/>
  <c r="AM28" i="6" s="1"/>
  <c r="AN23" i="6" s="1"/>
  <c r="AM83" i="6"/>
  <c r="AM84" i="6" s="1"/>
  <c r="AN79" i="6" s="1"/>
  <c r="AN82" i="6" s="1"/>
  <c r="AN32" i="6"/>
  <c r="AN33" i="6" s="1"/>
  <c r="AM41" i="6"/>
  <c r="AM42" i="6" s="1"/>
  <c r="AN37" i="6" s="1"/>
  <c r="AG32" i="8"/>
  <c r="AM48" i="6"/>
  <c r="AM49" i="6" s="1"/>
  <c r="AN44" i="6" s="1"/>
  <c r="AG33" i="8"/>
  <c r="AN18" i="6" l="1"/>
  <c r="AN19" i="6" s="1"/>
  <c r="AN67" i="6"/>
  <c r="AN68" i="6" s="1"/>
  <c r="AM33" i="17"/>
  <c r="AM23" i="17"/>
  <c r="AH17" i="8"/>
  <c r="AG36" i="8"/>
  <c r="AG46" i="8" s="1"/>
  <c r="AG35" i="8"/>
  <c r="AG39" i="8" s="1"/>
  <c r="AN39" i="6"/>
  <c r="AN40" i="6" s="1"/>
  <c r="AM92" i="6"/>
  <c r="AN9" i="6"/>
  <c r="AN60" i="6"/>
  <c r="AN61" i="6" s="1"/>
  <c r="AG45" i="8"/>
  <c r="AH8" i="8"/>
  <c r="AG34" i="8"/>
  <c r="AN25" i="6"/>
  <c r="AN26" i="6" s="1"/>
  <c r="AN46" i="6"/>
  <c r="AN47" i="6" s="1"/>
  <c r="AG47" i="8" l="1"/>
  <c r="AH21" i="8"/>
  <c r="AH22" i="8" s="1"/>
  <c r="AH52" i="8" s="1"/>
  <c r="AN11" i="6"/>
  <c r="AN89" i="6" s="1"/>
  <c r="AM25" i="17"/>
  <c r="AM27" i="17" s="1"/>
  <c r="AM40" i="17" s="1"/>
  <c r="AM26" i="17"/>
  <c r="AN24" i="17" s="1"/>
  <c r="AM30" i="17" l="1"/>
  <c r="AM28" i="17" s="1"/>
  <c r="AN12" i="6"/>
  <c r="AN31" i="17"/>
  <c r="G12" i="4"/>
  <c r="AH54" i="8"/>
  <c r="AH10" i="8" s="1"/>
  <c r="AH15" i="8" s="1"/>
  <c r="AH28" i="8" s="1"/>
  <c r="AH55" i="8"/>
  <c r="AI53" i="8" s="1"/>
  <c r="AM42" i="17"/>
  <c r="AM44" i="17" s="1"/>
  <c r="AM41" i="17"/>
  <c r="AH40" i="8" l="1"/>
  <c r="AH42" i="8" s="1"/>
  <c r="H31" i="10"/>
  <c r="H33" i="10" s="1"/>
  <c r="AH29" i="8"/>
  <c r="AH30" i="8" s="1"/>
  <c r="AH31" i="8"/>
  <c r="G14" i="9"/>
  <c r="G16" i="9" s="1"/>
  <c r="AN91" i="6"/>
  <c r="AH32" i="8" l="1"/>
  <c r="AH33" i="8"/>
  <c r="G24" i="9"/>
  <c r="H32" i="10"/>
  <c r="AN24" i="7"/>
  <c r="AN55" i="6" s="1"/>
  <c r="AN56" i="6" s="1"/>
  <c r="AO51" i="6" s="1"/>
  <c r="AN20" i="6" l="1"/>
  <c r="AN21" i="6" s="1"/>
  <c r="AO16" i="6" s="1"/>
  <c r="AN83" i="6"/>
  <c r="AN84" i="6" s="1"/>
  <c r="AO79" i="6" s="1"/>
  <c r="AO82" i="6" s="1"/>
  <c r="AO53" i="6"/>
  <c r="AO54" i="6" s="1"/>
  <c r="AN34" i="6"/>
  <c r="AN35" i="6" s="1"/>
  <c r="AO30" i="6" s="1"/>
  <c r="AN69" i="6"/>
  <c r="AN70" i="6" s="1"/>
  <c r="AO65" i="6" s="1"/>
  <c r="AN13" i="6"/>
  <c r="AN14" i="6" s="1"/>
  <c r="AN41" i="6"/>
  <c r="AN42" i="6" s="1"/>
  <c r="AO37" i="6" s="1"/>
  <c r="AN48" i="6"/>
  <c r="AN49" i="6" s="1"/>
  <c r="AO44" i="6" s="1"/>
  <c r="AO18" i="6"/>
  <c r="AO19" i="6"/>
  <c r="AN38" i="7"/>
  <c r="G16" i="14" s="1"/>
  <c r="AN25" i="7"/>
  <c r="AN62" i="6"/>
  <c r="AN63" i="6" s="1"/>
  <c r="AO58" i="6" s="1"/>
  <c r="AH45" i="8"/>
  <c r="AI8" i="8"/>
  <c r="AH34" i="8"/>
  <c r="AN27" i="6"/>
  <c r="AN28" i="6" s="1"/>
  <c r="AO23" i="6" s="1"/>
  <c r="AN76" i="6"/>
  <c r="AN77" i="6" s="1"/>
  <c r="AO72" i="6" s="1"/>
  <c r="AI17" i="8"/>
  <c r="AH36" i="8"/>
  <c r="AH46" i="8" s="1"/>
  <c r="AH35" i="8"/>
  <c r="AH39" i="8" s="1"/>
  <c r="AH47" i="8" s="1"/>
  <c r="AO46" i="6" l="1"/>
  <c r="AO47" i="6" s="1"/>
  <c r="AO39" i="6"/>
  <c r="AO40" i="6" s="1"/>
  <c r="AO60" i="6"/>
  <c r="AO61" i="6" s="1"/>
  <c r="AN92" i="6"/>
  <c r="AO9" i="6"/>
  <c r="AI21" i="8"/>
  <c r="AI22" i="8" s="1"/>
  <c r="AI52" i="8" s="1"/>
  <c r="AN33" i="17"/>
  <c r="G15" i="4"/>
  <c r="AN23" i="17"/>
  <c r="AO67" i="6"/>
  <c r="AO68" i="6" s="1"/>
  <c r="AO74" i="6"/>
  <c r="AO75" i="6" s="1"/>
  <c r="AO32" i="6"/>
  <c r="AO33" i="6"/>
  <c r="AO26" i="6"/>
  <c r="AO25" i="6"/>
  <c r="G39" i="4" l="1"/>
  <c r="G19" i="14"/>
  <c r="AI54" i="8"/>
  <c r="AI10" i="8" s="1"/>
  <c r="AI15" i="8" s="1"/>
  <c r="AI28" i="8" s="1"/>
  <c r="AI55" i="8"/>
  <c r="AJ53" i="8" s="1"/>
  <c r="G11" i="9"/>
  <c r="G12" i="9" s="1"/>
  <c r="G16" i="4"/>
  <c r="AN25" i="17"/>
  <c r="AN27" i="17" s="1"/>
  <c r="G10" i="17"/>
  <c r="AN26" i="17"/>
  <c r="AO24" i="17" s="1"/>
  <c r="AO11" i="6"/>
  <c r="AO89" i="6" s="1"/>
  <c r="AO31" i="17" l="1"/>
  <c r="AN40" i="17"/>
  <c r="G11" i="17"/>
  <c r="AN30" i="17"/>
  <c r="AN28" i="17" s="1"/>
  <c r="AI40" i="8"/>
  <c r="AI42" i="8" s="1"/>
  <c r="AO12" i="6"/>
  <c r="H44" i="9"/>
  <c r="G10" i="14"/>
  <c r="AI29" i="8"/>
  <c r="AI30" i="8" s="1"/>
  <c r="AI32" i="8" s="1"/>
  <c r="AI31" i="8"/>
  <c r="G18" i="9"/>
  <c r="G22" i="9"/>
  <c r="G17" i="9"/>
  <c r="AN41" i="17" l="1"/>
  <c r="G15" i="17" s="1"/>
  <c r="AN42" i="17"/>
  <c r="G12" i="17"/>
  <c r="AI33" i="8"/>
  <c r="AJ17" i="8"/>
  <c r="AI36" i="8"/>
  <c r="AI46" i="8" s="1"/>
  <c r="AI35" i="8"/>
  <c r="G26" i="9"/>
  <c r="G30" i="9"/>
  <c r="G25" i="9"/>
  <c r="G14" i="1"/>
  <c r="AO91" i="6"/>
  <c r="G31" i="9" l="1"/>
  <c r="G33" i="9"/>
  <c r="G15" i="1"/>
  <c r="G32" i="9"/>
  <c r="H28" i="9" s="1"/>
  <c r="AO24" i="7"/>
  <c r="AO69" i="6" s="1"/>
  <c r="AO70" i="6" s="1"/>
  <c r="AP65" i="6" s="1"/>
  <c r="AJ21" i="8"/>
  <c r="AJ22" i="8" s="1"/>
  <c r="AJ52" i="8" s="1"/>
  <c r="AI45" i="8"/>
  <c r="AI39" i="8"/>
  <c r="AI47" i="8" s="1"/>
  <c r="AJ8" i="8"/>
  <c r="AI34" i="8"/>
  <c r="AN44" i="17"/>
  <c r="G14" i="17" s="1"/>
  <c r="G13" i="17"/>
  <c r="AP67" i="6" l="1"/>
  <c r="AP68" i="6" s="1"/>
  <c r="AO48" i="6"/>
  <c r="AO49" i="6" s="1"/>
  <c r="AP44" i="6" s="1"/>
  <c r="AO13" i="6"/>
  <c r="AO14" i="6" s="1"/>
  <c r="H29" i="9"/>
  <c r="AO38" i="7"/>
  <c r="AO25" i="7"/>
  <c r="AO55" i="6"/>
  <c r="AO56" i="6" s="1"/>
  <c r="AP51" i="6" s="1"/>
  <c r="AO20" i="6"/>
  <c r="AO21" i="6" s="1"/>
  <c r="AP16" i="6" s="1"/>
  <c r="AO83" i="6"/>
  <c r="AO84" i="6" s="1"/>
  <c r="AP79" i="6" s="1"/>
  <c r="AP82" i="6" s="1"/>
  <c r="AO62" i="6"/>
  <c r="AO63" i="6" s="1"/>
  <c r="AP58" i="6" s="1"/>
  <c r="AO27" i="6"/>
  <c r="AO28" i="6" s="1"/>
  <c r="AP23" i="6" s="1"/>
  <c r="AO34" i="6"/>
  <c r="AO35" i="6" s="1"/>
  <c r="AP30" i="6" s="1"/>
  <c r="AJ54" i="8"/>
  <c r="AJ10" i="8" s="1"/>
  <c r="AJ15" i="8" s="1"/>
  <c r="AJ28" i="8" s="1"/>
  <c r="AJ55" i="8"/>
  <c r="AK53" i="8" s="1"/>
  <c r="AO76" i="6"/>
  <c r="AO77" i="6" s="1"/>
  <c r="AP72" i="6" s="1"/>
  <c r="AO41" i="6"/>
  <c r="AO42" i="6" s="1"/>
  <c r="AP37" i="6" s="1"/>
  <c r="AJ40" i="8" l="1"/>
  <c r="AJ42" i="8" s="1"/>
  <c r="AJ29" i="8"/>
  <c r="AJ30" i="8" s="1"/>
  <c r="AJ31" i="8"/>
  <c r="AO33" i="17"/>
  <c r="AO23" i="17"/>
  <c r="AP60" i="6"/>
  <c r="AP61" i="6" s="1"/>
  <c r="AP39" i="6"/>
  <c r="AP40" i="6" s="1"/>
  <c r="AP18" i="6"/>
  <c r="AP19" i="6" s="1"/>
  <c r="AP32" i="6"/>
  <c r="AP33" i="6" s="1"/>
  <c r="AP25" i="6"/>
  <c r="AP26" i="6" s="1"/>
  <c r="AO92" i="6"/>
  <c r="AP9" i="6"/>
  <c r="AP74" i="6"/>
  <c r="AP75" i="6" s="1"/>
  <c r="AP46" i="6"/>
  <c r="AP47" i="6" s="1"/>
  <c r="AP53" i="6"/>
  <c r="AP54" i="6" s="1"/>
  <c r="AP11" i="6" l="1"/>
  <c r="AP89" i="6" s="1"/>
  <c r="AO25" i="17"/>
  <c r="AO27" i="17" s="1"/>
  <c r="AO26" i="17"/>
  <c r="AP24" i="17" s="1"/>
  <c r="AJ32" i="8"/>
  <c r="AJ33" i="8"/>
  <c r="AK17" i="8" l="1"/>
  <c r="AJ36" i="8"/>
  <c r="AJ46" i="8" s="1"/>
  <c r="AJ35" i="8"/>
  <c r="AO40" i="17"/>
  <c r="AO30" i="17"/>
  <c r="AO28" i="17" s="1"/>
  <c r="AP31" i="17"/>
  <c r="AP12" i="6"/>
  <c r="AJ39" i="8"/>
  <c r="AJ47" i="8" s="1"/>
  <c r="AJ45" i="8"/>
  <c r="AK8" i="8"/>
  <c r="AJ34" i="8"/>
  <c r="AO42" i="17" l="1"/>
  <c r="AO41" i="17"/>
  <c r="AP91" i="6"/>
  <c r="AK21" i="8"/>
  <c r="AK22" i="8" s="1"/>
  <c r="AK52" i="8" s="1"/>
  <c r="AP24" i="7" l="1"/>
  <c r="AP48" i="6" s="1"/>
  <c r="AP49" i="6" s="1"/>
  <c r="AQ44" i="6" s="1"/>
  <c r="AK54" i="8"/>
  <c r="AK10" i="8" s="1"/>
  <c r="AK15" i="8" s="1"/>
  <c r="AK28" i="8" s="1"/>
  <c r="AK55" i="8"/>
  <c r="AL53" i="8" s="1"/>
  <c r="AO44" i="17"/>
  <c r="AP34" i="6" l="1"/>
  <c r="AP35" i="6" s="1"/>
  <c r="AQ30" i="6" s="1"/>
  <c r="AQ46" i="6"/>
  <c r="AQ47" i="6" s="1"/>
  <c r="AQ32" i="6"/>
  <c r="AQ33" i="6"/>
  <c r="AK29" i="8"/>
  <c r="AK30" i="8" s="1"/>
  <c r="AK31" i="8"/>
  <c r="AP41" i="6"/>
  <c r="AP42" i="6" s="1"/>
  <c r="AQ37" i="6" s="1"/>
  <c r="AK40" i="8"/>
  <c r="AK42" i="8" s="1"/>
  <c r="AP83" i="6"/>
  <c r="AP84" i="6" s="1"/>
  <c r="AQ79" i="6" s="1"/>
  <c r="AQ82" i="6" s="1"/>
  <c r="AP38" i="7"/>
  <c r="AP25" i="7"/>
  <c r="AP55" i="6"/>
  <c r="AP56" i="6" s="1"/>
  <c r="AQ51" i="6" s="1"/>
  <c r="AP13" i="6"/>
  <c r="AP14" i="6" s="1"/>
  <c r="AP69" i="6"/>
  <c r="AP70" i="6" s="1"/>
  <c r="AQ65" i="6" s="1"/>
  <c r="AP20" i="6"/>
  <c r="AP21" i="6" s="1"/>
  <c r="AQ16" i="6" s="1"/>
  <c r="AP62" i="6"/>
  <c r="AP63" i="6" s="1"/>
  <c r="AQ58" i="6" s="1"/>
  <c r="AP27" i="6"/>
  <c r="AP28" i="6" s="1"/>
  <c r="AQ23" i="6" s="1"/>
  <c r="AP76" i="6"/>
  <c r="AP77" i="6" s="1"/>
  <c r="AQ72" i="6" s="1"/>
  <c r="AK33" i="8" l="1"/>
  <c r="AK45" i="8"/>
  <c r="AL8" i="8"/>
  <c r="AK34" i="8"/>
  <c r="AQ39" i="6"/>
  <c r="AQ40" i="6" s="1"/>
  <c r="AP92" i="6"/>
  <c r="AQ9" i="6"/>
  <c r="AQ53" i="6"/>
  <c r="AQ54" i="6" s="1"/>
  <c r="AQ74" i="6"/>
  <c r="AQ75" i="6" s="1"/>
  <c r="AQ25" i="6"/>
  <c r="AQ26" i="6"/>
  <c r="AQ60" i="6"/>
  <c r="AQ61" i="6" s="1"/>
  <c r="AQ67" i="6"/>
  <c r="AQ68" i="6" s="1"/>
  <c r="AK32" i="8"/>
  <c r="AP33" i="17"/>
  <c r="AP23" i="17"/>
  <c r="AQ18" i="6"/>
  <c r="AQ19" i="6" s="1"/>
  <c r="AL17" i="8" l="1"/>
  <c r="AK36" i="8"/>
  <c r="AK46" i="8" s="1"/>
  <c r="AK35" i="8"/>
  <c r="AK39" i="8" s="1"/>
  <c r="AK47" i="8" s="1"/>
  <c r="AP25" i="17"/>
  <c r="AP27" i="17" s="1"/>
  <c r="AP26" i="17"/>
  <c r="AQ24" i="17" s="1"/>
  <c r="AQ11" i="6"/>
  <c r="AQ89" i="6" s="1"/>
  <c r="AP40" i="17" l="1"/>
  <c r="AP30" i="17"/>
  <c r="AP28" i="17" s="1"/>
  <c r="AQ31" i="17"/>
  <c r="AQ12" i="6"/>
  <c r="AL21" i="8"/>
  <c r="AL22" i="8" s="1"/>
  <c r="AL52" i="8" s="1"/>
  <c r="AP42" i="17" l="1"/>
  <c r="AP41" i="17"/>
  <c r="AL54" i="8"/>
  <c r="AL10" i="8" s="1"/>
  <c r="AL15" i="8" s="1"/>
  <c r="AL28" i="8" s="1"/>
  <c r="AL55" i="8"/>
  <c r="AM53" i="8" s="1"/>
  <c r="AQ91" i="6"/>
  <c r="AL29" i="8" l="1"/>
  <c r="AL30" i="8" s="1"/>
  <c r="AL31" i="8"/>
  <c r="AL40" i="8"/>
  <c r="AL42" i="8" s="1"/>
  <c r="AQ24" i="7"/>
  <c r="AQ27" i="6" s="1"/>
  <c r="AQ28" i="6" s="1"/>
  <c r="AR23" i="6" s="1"/>
  <c r="AP44" i="17"/>
  <c r="AR25" i="6" l="1"/>
  <c r="AR26" i="6" s="1"/>
  <c r="AQ25" i="7"/>
  <c r="AQ38" i="7"/>
  <c r="AQ62" i="6"/>
  <c r="AQ63" i="6" s="1"/>
  <c r="AR58" i="6" s="1"/>
  <c r="AQ69" i="6"/>
  <c r="AQ70" i="6" s="1"/>
  <c r="AR65" i="6" s="1"/>
  <c r="AQ41" i="6"/>
  <c r="AQ42" i="6" s="1"/>
  <c r="AR37" i="6" s="1"/>
  <c r="AQ76" i="6"/>
  <c r="AQ77" i="6" s="1"/>
  <c r="AR72" i="6" s="1"/>
  <c r="AQ34" i="6"/>
  <c r="AQ35" i="6" s="1"/>
  <c r="AR30" i="6" s="1"/>
  <c r="AQ83" i="6"/>
  <c r="AQ84" i="6" s="1"/>
  <c r="AR79" i="6" s="1"/>
  <c r="AR82" i="6" s="1"/>
  <c r="AQ55" i="6"/>
  <c r="AQ56" i="6" s="1"/>
  <c r="AR51" i="6" s="1"/>
  <c r="AQ13" i="6"/>
  <c r="AQ14" i="6" s="1"/>
  <c r="AQ20" i="6"/>
  <c r="AQ21" i="6" s="1"/>
  <c r="AR16" i="6" s="1"/>
  <c r="AL32" i="8"/>
  <c r="AQ48" i="6"/>
  <c r="AQ49" i="6" s="1"/>
  <c r="AR44" i="6" s="1"/>
  <c r="AL33" i="8"/>
  <c r="AM17" i="8" l="1"/>
  <c r="AL36" i="8"/>
  <c r="AL46" i="8" s="1"/>
  <c r="AL35" i="8"/>
  <c r="AL39" i="8" s="1"/>
  <c r="AL47" i="8" s="1"/>
  <c r="AR18" i="6"/>
  <c r="AR19" i="6"/>
  <c r="AQ92" i="6"/>
  <c r="AR9" i="6"/>
  <c r="AR74" i="6"/>
  <c r="AR75" i="6" s="1"/>
  <c r="AR39" i="6"/>
  <c r="AR40" i="6" s="1"/>
  <c r="AR67" i="6"/>
  <c r="AR68" i="6" s="1"/>
  <c r="AR60" i="6"/>
  <c r="AR61" i="6" s="1"/>
  <c r="AR53" i="6"/>
  <c r="AR54" i="6" s="1"/>
  <c r="AQ33" i="17"/>
  <c r="AQ23" i="17"/>
  <c r="AL45" i="8"/>
  <c r="AM8" i="8"/>
  <c r="AL34" i="8"/>
  <c r="AR46" i="6"/>
  <c r="AR47" i="6" s="1"/>
  <c r="AR32" i="6"/>
  <c r="AR33" i="6" s="1"/>
  <c r="AQ25" i="17" l="1"/>
  <c r="AQ27" i="17" s="1"/>
  <c r="AQ26" i="17"/>
  <c r="AR24" i="17" s="1"/>
  <c r="AR11" i="6"/>
  <c r="AR89" i="6" s="1"/>
  <c r="AR12" i="6"/>
  <c r="AM21" i="8"/>
  <c r="AM22" i="8" s="1"/>
  <c r="AM52" i="8" s="1"/>
  <c r="AQ40" i="17" l="1"/>
  <c r="AR91" i="6"/>
  <c r="AR31" i="17"/>
  <c r="AM54" i="8"/>
  <c r="AM10" i="8" s="1"/>
  <c r="AM15" i="8" s="1"/>
  <c r="AM28" i="8" s="1"/>
  <c r="AM40" i="8"/>
  <c r="AM42" i="8" s="1"/>
  <c r="AM55" i="8"/>
  <c r="AN53" i="8" s="1"/>
  <c r="AQ30" i="17"/>
  <c r="AQ28" i="17" s="1"/>
  <c r="AQ41" i="17" l="1"/>
  <c r="AQ42" i="17"/>
  <c r="AR48" i="6"/>
  <c r="AR49" i="6" s="1"/>
  <c r="AS44" i="6" s="1"/>
  <c r="AR41" i="6"/>
  <c r="AR42" i="6" s="1"/>
  <c r="AS37" i="6" s="1"/>
  <c r="AR24" i="7"/>
  <c r="AR27" i="6" s="1"/>
  <c r="AR28" i="6" s="1"/>
  <c r="AS23" i="6" s="1"/>
  <c r="AM29" i="8"/>
  <c r="AM30" i="8" s="1"/>
  <c r="AM31" i="8"/>
  <c r="AR13" i="6" l="1"/>
  <c r="AR14" i="6" s="1"/>
  <c r="AR34" i="6"/>
  <c r="AR35" i="6" s="1"/>
  <c r="AS30" i="6" s="1"/>
  <c r="AR20" i="6"/>
  <c r="AR21" i="6" s="1"/>
  <c r="AS16" i="6" s="1"/>
  <c r="AR55" i="6"/>
  <c r="AR56" i="6" s="1"/>
  <c r="AS51" i="6" s="1"/>
  <c r="AR76" i="6"/>
  <c r="AR77" i="6" s="1"/>
  <c r="AS72" i="6" s="1"/>
  <c r="AR69" i="6"/>
  <c r="AR70" i="6" s="1"/>
  <c r="AS65" i="6" s="1"/>
  <c r="AR83" i="6"/>
  <c r="AR84" i="6" s="1"/>
  <c r="AS79" i="6" s="1"/>
  <c r="AS82" i="6" s="1"/>
  <c r="AS67" i="6"/>
  <c r="AS68" i="6" s="1"/>
  <c r="AS9" i="6"/>
  <c r="AS32" i="6"/>
  <c r="AS33" i="6" s="1"/>
  <c r="AM32" i="8"/>
  <c r="AM33" i="8"/>
  <c r="AS74" i="6"/>
  <c r="AS75" i="6" s="1"/>
  <c r="AS18" i="6"/>
  <c r="AS19" i="6"/>
  <c r="AS25" i="6"/>
  <c r="AS26" i="6"/>
  <c r="AS39" i="6"/>
  <c r="AS40" i="6" s="1"/>
  <c r="AS46" i="6"/>
  <c r="AS47" i="6" s="1"/>
  <c r="AS53" i="6"/>
  <c r="AS54" i="6" s="1"/>
  <c r="AQ44" i="17"/>
  <c r="AR38" i="7"/>
  <c r="AR25" i="7"/>
  <c r="AR62" i="6"/>
  <c r="AR63" i="6" s="1"/>
  <c r="AS58" i="6" s="1"/>
  <c r="AR92" i="6" l="1"/>
  <c r="AN17" i="8"/>
  <c r="AM36" i="8"/>
  <c r="AM46" i="8" s="1"/>
  <c r="AM35" i="8"/>
  <c r="AM39" i="8" s="1"/>
  <c r="AM47" i="8" s="1"/>
  <c r="AS11" i="6"/>
  <c r="AS12" i="6" s="1"/>
  <c r="AS60" i="6"/>
  <c r="AS61" i="6" s="1"/>
  <c r="AR33" i="17"/>
  <c r="AR23" i="17"/>
  <c r="AM45" i="8"/>
  <c r="AN8" i="8"/>
  <c r="AM34" i="8"/>
  <c r="AS91" i="6" l="1"/>
  <c r="AR25" i="17"/>
  <c r="AR27" i="17" s="1"/>
  <c r="AR30" i="17" s="1"/>
  <c r="AR28" i="17" s="1"/>
  <c r="AR26" i="17"/>
  <c r="AS24" i="17" s="1"/>
  <c r="AS89" i="6"/>
  <c r="AN21" i="8"/>
  <c r="AN22" i="8" s="1"/>
  <c r="AS24" i="7" l="1"/>
  <c r="AS69" i="6" s="1"/>
  <c r="AS70" i="6" s="1"/>
  <c r="AT65" i="6" s="1"/>
  <c r="AR42" i="17"/>
  <c r="AR40" i="17"/>
  <c r="AR41" i="17" s="1"/>
  <c r="G17" i="4"/>
  <c r="G21" i="4" s="1"/>
  <c r="AN52" i="8"/>
  <c r="AS31" i="17"/>
  <c r="AS34" i="6" l="1"/>
  <c r="AS35" i="6" s="1"/>
  <c r="AT30" i="6" s="1"/>
  <c r="AS55" i="6"/>
  <c r="AS56" i="6" s="1"/>
  <c r="AT51" i="6" s="1"/>
  <c r="AS13" i="6"/>
  <c r="AS14" i="6" s="1"/>
  <c r="AS48" i="6"/>
  <c r="AS49" i="6" s="1"/>
  <c r="AT44" i="6" s="1"/>
  <c r="AT67" i="6"/>
  <c r="AT68" i="6" s="1"/>
  <c r="AR44" i="17"/>
  <c r="AN54" i="8"/>
  <c r="AN10" i="8" s="1"/>
  <c r="AN55" i="8"/>
  <c r="AO53" i="8" s="1"/>
  <c r="AS27" i="6"/>
  <c r="AS28" i="6" s="1"/>
  <c r="AT23" i="6" s="1"/>
  <c r="H22" i="10"/>
  <c r="H24" i="10" s="1"/>
  <c r="H27" i="10" s="1"/>
  <c r="AT32" i="6"/>
  <c r="AT33" i="6"/>
  <c r="AT53" i="6"/>
  <c r="AT54" i="6" s="1"/>
  <c r="AT9" i="6"/>
  <c r="AT46" i="6"/>
  <c r="AT47" i="6" s="1"/>
  <c r="AS38" i="7"/>
  <c r="AS25" i="7"/>
  <c r="AS62" i="6"/>
  <c r="AS63" i="6" s="1"/>
  <c r="AT58" i="6" s="1"/>
  <c r="AS20" i="6"/>
  <c r="AS21" i="6" s="1"/>
  <c r="AT16" i="6" s="1"/>
  <c r="AS76" i="6"/>
  <c r="AS77" i="6" s="1"/>
  <c r="AT72" i="6" s="1"/>
  <c r="AS41" i="6"/>
  <c r="AS42" i="6" s="1"/>
  <c r="AT37" i="6" s="1"/>
  <c r="AS83" i="6"/>
  <c r="AS84" i="6" s="1"/>
  <c r="AT79" i="6" s="1"/>
  <c r="AT82" i="6" s="1"/>
  <c r="AN15" i="8" l="1"/>
  <c r="G22" i="4"/>
  <c r="AS33" i="17"/>
  <c r="AS23" i="17"/>
  <c r="AN40" i="8"/>
  <c r="H18" i="1"/>
  <c r="AT18" i="6"/>
  <c r="AT19" i="6" s="1"/>
  <c r="AT25" i="6"/>
  <c r="AT26" i="6" s="1"/>
  <c r="AT60" i="6"/>
  <c r="AT61" i="6" s="1"/>
  <c r="AT39" i="6"/>
  <c r="AT40" i="6" s="1"/>
  <c r="AT11" i="6"/>
  <c r="AT74" i="6"/>
  <c r="AT75" i="6" s="1"/>
  <c r="AS92" i="6"/>
  <c r="AT89" i="6" l="1"/>
  <c r="G27" i="4"/>
  <c r="G31" i="4" s="1"/>
  <c r="G13" i="14"/>
  <c r="F39" i="9"/>
  <c r="F42" i="9" s="1"/>
  <c r="AN28" i="8"/>
  <c r="G23" i="4"/>
  <c r="G10" i="1" s="1"/>
  <c r="AN42" i="8"/>
  <c r="AT12" i="6"/>
  <c r="AS25" i="17"/>
  <c r="AS27" i="17" s="1"/>
  <c r="AS30" i="17" s="1"/>
  <c r="AS28" i="17" s="1"/>
  <c r="AS26" i="17"/>
  <c r="AT24" i="17" s="1"/>
  <c r="AS40" i="17" l="1"/>
  <c r="AS41" i="17"/>
  <c r="AS42" i="17"/>
  <c r="G11" i="1"/>
  <c r="AT91" i="6"/>
  <c r="AT31" i="17"/>
  <c r="H11" i="10"/>
  <c r="H13" i="10" s="1"/>
  <c r="G49" i="4"/>
  <c r="AN29" i="8"/>
  <c r="AN30" i="8" s="1"/>
  <c r="AN31" i="8"/>
  <c r="G35" i="4" l="1"/>
  <c r="AN32" i="8"/>
  <c r="AN33" i="8"/>
  <c r="AS44" i="17"/>
  <c r="AT24" i="7"/>
  <c r="AT48" i="6" s="1"/>
  <c r="AT49" i="6" s="1"/>
  <c r="AU44" i="6" s="1"/>
  <c r="AT69" i="6" l="1"/>
  <c r="AT70" i="6" s="1"/>
  <c r="AU65" i="6" s="1"/>
  <c r="AT13" i="6"/>
  <c r="AT14" i="6" s="1"/>
  <c r="AT76" i="6"/>
  <c r="AT77" i="6" s="1"/>
  <c r="AU72" i="6" s="1"/>
  <c r="AT20" i="6"/>
  <c r="AT21" i="6" s="1"/>
  <c r="AU16" i="6" s="1"/>
  <c r="AU18" i="6" s="1"/>
  <c r="AU19" i="6" s="1"/>
  <c r="AT83" i="6"/>
  <c r="AT84" i="6" s="1"/>
  <c r="AU79" i="6" s="1"/>
  <c r="AU82" i="6" s="1"/>
  <c r="AT27" i="6"/>
  <c r="AT28" i="6" s="1"/>
  <c r="AU23" i="6" s="1"/>
  <c r="AU25" i="6" s="1"/>
  <c r="AU26" i="6" s="1"/>
  <c r="AT34" i="6"/>
  <c r="AT35" i="6" s="1"/>
  <c r="AU30" i="6" s="1"/>
  <c r="AT41" i="6"/>
  <c r="AT42" i="6" s="1"/>
  <c r="AU37" i="6" s="1"/>
  <c r="AU39" i="6" s="1"/>
  <c r="AT55" i="6"/>
  <c r="AT56" i="6" s="1"/>
  <c r="AU51" i="6" s="1"/>
  <c r="AU46" i="6"/>
  <c r="AU47" i="6" s="1"/>
  <c r="AU53" i="6"/>
  <c r="AU54" i="6" s="1"/>
  <c r="AN45" i="8"/>
  <c r="G42" i="4" s="1"/>
  <c r="AO8" i="8"/>
  <c r="G36" i="4"/>
  <c r="AN34" i="8"/>
  <c r="G53" i="4" s="1"/>
  <c r="G13" i="1" s="1"/>
  <c r="G29" i="10"/>
  <c r="G30" i="10"/>
  <c r="AT38" i="7"/>
  <c r="AT25" i="7"/>
  <c r="AT62" i="6"/>
  <c r="AT63" i="6" s="1"/>
  <c r="AU58" i="6" s="1"/>
  <c r="AO17" i="8"/>
  <c r="AN36" i="8"/>
  <c r="AN35" i="8"/>
  <c r="AN39" i="8" s="1"/>
  <c r="G52" i="4"/>
  <c r="G12" i="1" s="1"/>
  <c r="AU74" i="6"/>
  <c r="AU75" i="6" s="1"/>
  <c r="AU32" i="6"/>
  <c r="AU33" i="6" s="1"/>
  <c r="AT92" i="6"/>
  <c r="AU9" i="6"/>
  <c r="AU67" i="6"/>
  <c r="AU68" i="6" s="1"/>
  <c r="AU40" i="6" l="1"/>
  <c r="AN47" i="8"/>
  <c r="G36" i="9"/>
  <c r="G37" i="9" s="1"/>
  <c r="AU11" i="6"/>
  <c r="AU12" i="6"/>
  <c r="AO21" i="8"/>
  <c r="AO22" i="8" s="1"/>
  <c r="G9" i="14"/>
  <c r="AU60" i="6"/>
  <c r="AU61" i="6" s="1"/>
  <c r="AN46" i="8"/>
  <c r="G48" i="4" s="1"/>
  <c r="H46" i="9" s="1"/>
  <c r="G44" i="4"/>
  <c r="AT33" i="17"/>
  <c r="H14" i="10"/>
  <c r="AT23" i="17"/>
  <c r="H43" i="9"/>
  <c r="H45" i="9" s="1"/>
  <c r="H49" i="9" s="1"/>
  <c r="G8" i="14"/>
  <c r="H47" i="9" l="1"/>
  <c r="AO52" i="8"/>
  <c r="H15" i="10"/>
  <c r="H16" i="10" s="1"/>
  <c r="AU91" i="6"/>
  <c r="H16" i="1"/>
  <c r="AT25" i="17"/>
  <c r="AT27" i="17" s="1"/>
  <c r="AT40" i="17" s="1"/>
  <c r="AT26" i="17"/>
  <c r="AU24" i="17" s="1"/>
  <c r="AU89" i="6"/>
  <c r="AU31" i="17" l="1"/>
  <c r="AO54" i="8"/>
  <c r="AO10" i="8" s="1"/>
  <c r="AO40" i="8" s="1"/>
  <c r="AO55" i="8"/>
  <c r="AP53" i="8" s="1"/>
  <c r="AT30" i="17"/>
  <c r="AT28" i="17" s="1"/>
  <c r="AU55" i="6"/>
  <c r="AU56" i="6" s="1"/>
  <c r="AV51" i="6" s="1"/>
  <c r="AU48" i="6"/>
  <c r="AU49" i="6" s="1"/>
  <c r="AV44" i="6" s="1"/>
  <c r="AU41" i="6"/>
  <c r="AU42" i="6" s="1"/>
  <c r="AV37" i="6" s="1"/>
  <c r="AU24" i="7"/>
  <c r="H18" i="10"/>
  <c r="H17" i="10"/>
  <c r="AO42" i="8" l="1"/>
  <c r="AV53" i="6"/>
  <c r="AV54" i="6" s="1"/>
  <c r="AU25" i="7"/>
  <c r="AU38" i="7"/>
  <c r="AU27" i="6"/>
  <c r="AU28" i="6" s="1"/>
  <c r="AV23" i="6" s="1"/>
  <c r="AV39" i="6"/>
  <c r="AV40" i="6" s="1"/>
  <c r="AU34" i="6"/>
  <c r="AU35" i="6" s="1"/>
  <c r="AV30" i="6" s="1"/>
  <c r="AU83" i="6"/>
  <c r="AU84" i="6" s="1"/>
  <c r="AV79" i="6" s="1"/>
  <c r="AV82" i="6" s="1"/>
  <c r="AV46" i="6"/>
  <c r="AV47" i="6" s="1"/>
  <c r="H17" i="1"/>
  <c r="AO15" i="8"/>
  <c r="AU62" i="6"/>
  <c r="AU63" i="6" s="1"/>
  <c r="AV58" i="6" s="1"/>
  <c r="AU69" i="6"/>
  <c r="AU70" i="6" s="1"/>
  <c r="AV65" i="6" s="1"/>
  <c r="AU13" i="6"/>
  <c r="AU14" i="6" s="1"/>
  <c r="AU76" i="6"/>
  <c r="AU77" i="6" s="1"/>
  <c r="AV72" i="6" s="1"/>
  <c r="AU20" i="6"/>
  <c r="AU21" i="6" s="1"/>
  <c r="AV16" i="6" s="1"/>
  <c r="AT42" i="17"/>
  <c r="AT44" i="17" s="1"/>
  <c r="AT41" i="17"/>
  <c r="AV74" i="6" l="1"/>
  <c r="AV75" i="6" s="1"/>
  <c r="AV67" i="6"/>
  <c r="AV68" i="6" s="1"/>
  <c r="AV18" i="6"/>
  <c r="AV19" i="6"/>
  <c r="AV25" i="6"/>
  <c r="AV26" i="6" s="1"/>
  <c r="AU92" i="6"/>
  <c r="AV9" i="6"/>
  <c r="AU33" i="17"/>
  <c r="AU23" i="17"/>
  <c r="AV60" i="6"/>
  <c r="AV61" i="6" s="1"/>
  <c r="AO28" i="8"/>
  <c r="AV32" i="6"/>
  <c r="AV33" i="6"/>
  <c r="AO29" i="8" l="1"/>
  <c r="AO30" i="8" s="1"/>
  <c r="AO31" i="8"/>
  <c r="AV11" i="6"/>
  <c r="AV89" i="6" s="1"/>
  <c r="AU25" i="17"/>
  <c r="AU27" i="17" s="1"/>
  <c r="AU40" i="17" s="1"/>
  <c r="AU26" i="17"/>
  <c r="AV24" i="17" s="1"/>
  <c r="AO32" i="8" l="1"/>
  <c r="AO33" i="8"/>
  <c r="AU30" i="17"/>
  <c r="AU28" i="17" s="1"/>
  <c r="AV31" i="17"/>
  <c r="AV12" i="6"/>
  <c r="AO45" i="8" l="1"/>
  <c r="AP8" i="8"/>
  <c r="AO34" i="8"/>
  <c r="AV91" i="6"/>
  <c r="AP17" i="8"/>
  <c r="AO36" i="8"/>
  <c r="AO46" i="8" s="1"/>
  <c r="AO35" i="8"/>
  <c r="AO39" i="8" s="1"/>
  <c r="AU42" i="17"/>
  <c r="AU44" i="17" s="1"/>
  <c r="AU41" i="17"/>
  <c r="AO47" i="8" l="1"/>
  <c r="AV24" i="7"/>
  <c r="AP21" i="8"/>
  <c r="AP22" i="8" s="1"/>
  <c r="AV38" i="7" l="1"/>
  <c r="AV25" i="7"/>
  <c r="AV20" i="6"/>
  <c r="AV21" i="6" s="1"/>
  <c r="AW16" i="6" s="1"/>
  <c r="AV55" i="6"/>
  <c r="AV56" i="6" s="1"/>
  <c r="AW51" i="6" s="1"/>
  <c r="AV69" i="6"/>
  <c r="AV70" i="6" s="1"/>
  <c r="AW65" i="6" s="1"/>
  <c r="AV62" i="6"/>
  <c r="AV63" i="6" s="1"/>
  <c r="AW58" i="6" s="1"/>
  <c r="AV13" i="6"/>
  <c r="AV14" i="6" s="1"/>
  <c r="AV76" i="6"/>
  <c r="AV77" i="6" s="1"/>
  <c r="AW72" i="6" s="1"/>
  <c r="AV27" i="6"/>
  <c r="AV28" i="6" s="1"/>
  <c r="AW23" i="6" s="1"/>
  <c r="AV83" i="6"/>
  <c r="AV84" i="6" s="1"/>
  <c r="AW79" i="6" s="1"/>
  <c r="AW82" i="6" s="1"/>
  <c r="AV48" i="6"/>
  <c r="AV49" i="6" s="1"/>
  <c r="AW44" i="6" s="1"/>
  <c r="AP52" i="8"/>
  <c r="AV34" i="6"/>
  <c r="AV35" i="6" s="1"/>
  <c r="AW30" i="6" s="1"/>
  <c r="AV41" i="6"/>
  <c r="AV42" i="6" s="1"/>
  <c r="AW37" i="6" s="1"/>
  <c r="AW39" i="6" l="1"/>
  <c r="AW40" i="6"/>
  <c r="AV92" i="6"/>
  <c r="AW9" i="6"/>
  <c r="AW60" i="6"/>
  <c r="AW61" i="6" s="1"/>
  <c r="AW67" i="6"/>
  <c r="AW68" i="6" s="1"/>
  <c r="AP54" i="8"/>
  <c r="AP10" i="8" s="1"/>
  <c r="AP40" i="8"/>
  <c r="AP55" i="8"/>
  <c r="AQ53" i="8" s="1"/>
  <c r="AW53" i="6"/>
  <c r="AW54" i="6" s="1"/>
  <c r="AW46" i="6"/>
  <c r="AW47" i="6" s="1"/>
  <c r="AW18" i="6"/>
  <c r="AW19" i="6" s="1"/>
  <c r="AV33" i="17"/>
  <c r="AV23" i="17"/>
  <c r="AW74" i="6"/>
  <c r="AW75" i="6" s="1"/>
  <c r="AW32" i="6"/>
  <c r="AW33" i="6"/>
  <c r="AW25" i="6"/>
  <c r="AW26" i="6" s="1"/>
  <c r="AV25" i="17" l="1"/>
  <c r="AV27" i="17" s="1"/>
  <c r="AV40" i="17" s="1"/>
  <c r="AV30" i="17"/>
  <c r="AV28" i="17" s="1"/>
  <c r="AV26" i="17"/>
  <c r="AW24" i="17" s="1"/>
  <c r="AW11" i="6"/>
  <c r="AW89" i="6" s="1"/>
  <c r="AP42" i="8"/>
  <c r="AP15" i="8"/>
  <c r="AW31" i="17" l="1"/>
  <c r="AP28" i="8"/>
  <c r="AW12" i="6"/>
  <c r="AV42" i="17"/>
  <c r="AV44" i="17" s="1"/>
  <c r="AV41" i="17"/>
  <c r="AW91" i="6" l="1"/>
  <c r="AP29" i="8"/>
  <c r="AP30" i="8" s="1"/>
  <c r="AP31" i="8"/>
  <c r="AP32" i="8" l="1"/>
  <c r="AP33" i="8"/>
  <c r="AW24" i="7"/>
  <c r="AW27" i="6" s="1"/>
  <c r="AW28" i="6" s="1"/>
  <c r="AX23" i="6" s="1"/>
  <c r="AW48" i="6" l="1"/>
  <c r="AW49" i="6" s="1"/>
  <c r="AX44" i="6" s="1"/>
  <c r="AX25" i="6"/>
  <c r="AX26" i="6" s="1"/>
  <c r="AX46" i="6"/>
  <c r="AX47" i="6" s="1"/>
  <c r="AW38" i="7"/>
  <c r="AW25" i="7"/>
  <c r="AW55" i="6"/>
  <c r="AW56" i="6" s="1"/>
  <c r="AX51" i="6" s="1"/>
  <c r="AW62" i="6"/>
  <c r="AW63" i="6" s="1"/>
  <c r="AX58" i="6" s="1"/>
  <c r="AW20" i="6"/>
  <c r="AW21" i="6" s="1"/>
  <c r="AX16" i="6" s="1"/>
  <c r="AW83" i="6"/>
  <c r="AW84" i="6" s="1"/>
  <c r="AX79" i="6" s="1"/>
  <c r="AX82" i="6" s="1"/>
  <c r="AW69" i="6"/>
  <c r="AW70" i="6" s="1"/>
  <c r="AX65" i="6" s="1"/>
  <c r="AW76" i="6"/>
  <c r="AW77" i="6" s="1"/>
  <c r="AX72" i="6" s="1"/>
  <c r="AW34" i="6"/>
  <c r="AW35" i="6" s="1"/>
  <c r="AX30" i="6" s="1"/>
  <c r="AP45" i="8"/>
  <c r="AQ8" i="8"/>
  <c r="AP34" i="8"/>
  <c r="AW13" i="6"/>
  <c r="AW14" i="6" s="1"/>
  <c r="AQ17" i="8"/>
  <c r="AP36" i="8"/>
  <c r="AP46" i="8" s="1"/>
  <c r="AP35" i="8"/>
  <c r="AP39" i="8" s="1"/>
  <c r="AW41" i="6"/>
  <c r="AW42" i="6" s="1"/>
  <c r="AX37" i="6" s="1"/>
  <c r="AP47" i="8" l="1"/>
  <c r="AX60" i="6"/>
  <c r="AX61" i="6" s="1"/>
  <c r="AX53" i="6"/>
  <c r="AX54" i="6" s="1"/>
  <c r="AW92" i="6"/>
  <c r="AX9" i="6"/>
  <c r="AW33" i="17"/>
  <c r="AW23" i="17"/>
  <c r="AQ21" i="8"/>
  <c r="AQ22" i="8" s="1"/>
  <c r="AX33" i="6"/>
  <c r="AX32" i="6"/>
  <c r="AX74" i="6"/>
  <c r="AX75" i="6" s="1"/>
  <c r="AX67" i="6"/>
  <c r="AX68" i="6" s="1"/>
  <c r="AX39" i="6"/>
  <c r="AX40" i="6" s="1"/>
  <c r="AX18" i="6"/>
  <c r="AX19" i="6" s="1"/>
  <c r="AW25" i="17" l="1"/>
  <c r="AW27" i="17" s="1"/>
  <c r="AW40" i="17" s="1"/>
  <c r="AW26" i="17"/>
  <c r="AX24" i="17" s="1"/>
  <c r="AQ52" i="8"/>
  <c r="AX11" i="6"/>
  <c r="AX89" i="6" s="1"/>
  <c r="AX31" i="17" l="1"/>
  <c r="AW30" i="17"/>
  <c r="AW28" i="17" s="1"/>
  <c r="AX12" i="6"/>
  <c r="AQ54" i="8"/>
  <c r="AQ10" i="8" s="1"/>
  <c r="AQ40" i="8" s="1"/>
  <c r="AQ55" i="8"/>
  <c r="AR53" i="8" s="1"/>
  <c r="AQ42" i="8" l="1"/>
  <c r="AX91" i="6"/>
  <c r="AW41" i="17"/>
  <c r="AW42" i="17"/>
  <c r="AW44" i="17" s="1"/>
  <c r="AQ15" i="8"/>
  <c r="AQ28" i="8" l="1"/>
  <c r="AX24" i="7"/>
  <c r="AX69" i="6" s="1"/>
  <c r="AX70" i="6" s="1"/>
  <c r="AY65" i="6" s="1"/>
  <c r="AX83" i="6" l="1"/>
  <c r="AX84" i="6" s="1"/>
  <c r="AY79" i="6" s="1"/>
  <c r="AY82" i="6" s="1"/>
  <c r="AY67" i="6"/>
  <c r="AY68" i="6" s="1"/>
  <c r="AX48" i="6"/>
  <c r="AX49" i="6" s="1"/>
  <c r="AY44" i="6" s="1"/>
  <c r="AX55" i="6"/>
  <c r="AX56" i="6" s="1"/>
  <c r="AY51" i="6" s="1"/>
  <c r="AX76" i="6"/>
  <c r="AX77" i="6" s="1"/>
  <c r="AY72" i="6" s="1"/>
  <c r="AX62" i="6"/>
  <c r="AX63" i="6" s="1"/>
  <c r="AY58" i="6" s="1"/>
  <c r="AX25" i="7"/>
  <c r="AX38" i="7"/>
  <c r="AX13" i="6"/>
  <c r="AX14" i="6" s="1"/>
  <c r="AX20" i="6"/>
  <c r="AX21" i="6" s="1"/>
  <c r="AY16" i="6" s="1"/>
  <c r="AX41" i="6"/>
  <c r="AX42" i="6" s="1"/>
  <c r="AY37" i="6" s="1"/>
  <c r="AX27" i="6"/>
  <c r="AX28" i="6" s="1"/>
  <c r="AY23" i="6" s="1"/>
  <c r="AQ29" i="8"/>
  <c r="AQ30" i="8" s="1"/>
  <c r="AQ31" i="8"/>
  <c r="AX34" i="6"/>
  <c r="AX35" i="6" s="1"/>
  <c r="AY30" i="6" s="1"/>
  <c r="AX33" i="17" l="1"/>
  <c r="AX23" i="17"/>
  <c r="AY25" i="6"/>
  <c r="AY26" i="6"/>
  <c r="AQ32" i="8"/>
  <c r="AQ33" i="8"/>
  <c r="AY60" i="6"/>
  <c r="AY61" i="6" s="1"/>
  <c r="AY74" i="6"/>
  <c r="AY75" i="6" s="1"/>
  <c r="AY39" i="6"/>
  <c r="AY40" i="6"/>
  <c r="AY53" i="6"/>
  <c r="AY54" i="6" s="1"/>
  <c r="AY18" i="6"/>
  <c r="AY19" i="6"/>
  <c r="AY46" i="6"/>
  <c r="AY47" i="6" s="1"/>
  <c r="AX92" i="6"/>
  <c r="AY9" i="6"/>
  <c r="AY32" i="6"/>
  <c r="AY33" i="6" s="1"/>
  <c r="AY11" i="6" l="1"/>
  <c r="AY89" i="6" s="1"/>
  <c r="AX25" i="17"/>
  <c r="AX27" i="17" s="1"/>
  <c r="AX40" i="17" s="1"/>
  <c r="AX26" i="17"/>
  <c r="AY24" i="17" s="1"/>
  <c r="AQ45" i="8"/>
  <c r="AR8" i="8"/>
  <c r="AQ34" i="8"/>
  <c r="AR17" i="8"/>
  <c r="AQ36" i="8"/>
  <c r="AQ46" i="8" s="1"/>
  <c r="AQ35" i="8"/>
  <c r="AQ39" i="8" s="1"/>
  <c r="AQ47" i="8" l="1"/>
  <c r="AY31" i="17"/>
  <c r="AY12" i="6"/>
  <c r="AR21" i="8"/>
  <c r="AR22" i="8" s="1"/>
  <c r="AX30" i="17"/>
  <c r="AX28" i="17" s="1"/>
  <c r="AX42" i="17" l="1"/>
  <c r="AX44" i="17" s="1"/>
  <c r="AX41" i="17"/>
  <c r="AY91" i="6"/>
  <c r="AR52" i="8"/>
  <c r="AR54" i="8" l="1"/>
  <c r="AR10" i="8" s="1"/>
  <c r="AR40" i="8"/>
  <c r="AR55" i="8"/>
  <c r="AS53" i="8" s="1"/>
  <c r="AY24" i="7"/>
  <c r="AY25" i="7" l="1"/>
  <c r="AY38" i="7"/>
  <c r="AY20" i="6"/>
  <c r="AY21" i="6" s="1"/>
  <c r="AZ16" i="6" s="1"/>
  <c r="AY13" i="6"/>
  <c r="AY14" i="6" s="1"/>
  <c r="AY83" i="6"/>
  <c r="AY84" i="6" s="1"/>
  <c r="AZ79" i="6" s="1"/>
  <c r="AZ82" i="6" s="1"/>
  <c r="AY55" i="6"/>
  <c r="AY56" i="6" s="1"/>
  <c r="AZ51" i="6" s="1"/>
  <c r="AY34" i="6"/>
  <c r="AY35" i="6" s="1"/>
  <c r="AZ30" i="6" s="1"/>
  <c r="AY76" i="6"/>
  <c r="AY77" i="6" s="1"/>
  <c r="AZ72" i="6" s="1"/>
  <c r="AY62" i="6"/>
  <c r="AY63" i="6" s="1"/>
  <c r="AZ58" i="6" s="1"/>
  <c r="AY69" i="6"/>
  <c r="AY70" i="6" s="1"/>
  <c r="AZ65" i="6" s="1"/>
  <c r="AY48" i="6"/>
  <c r="AY49" i="6" s="1"/>
  <c r="AZ44" i="6" s="1"/>
  <c r="AY41" i="6"/>
  <c r="AY42" i="6" s="1"/>
  <c r="AZ37" i="6" s="1"/>
  <c r="AR42" i="8"/>
  <c r="AY27" i="6"/>
  <c r="AY28" i="6" s="1"/>
  <c r="AZ23" i="6" s="1"/>
  <c r="AR15" i="8"/>
  <c r="AZ25" i="6" l="1"/>
  <c r="AZ26" i="6"/>
  <c r="AZ32" i="6"/>
  <c r="AZ33" i="6" s="1"/>
  <c r="AY92" i="6"/>
  <c r="AZ9" i="6"/>
  <c r="AZ46" i="6"/>
  <c r="AZ47" i="6" s="1"/>
  <c r="AZ74" i="6"/>
  <c r="AZ75" i="6" s="1"/>
  <c r="AZ53" i="6"/>
  <c r="AZ54" i="6" s="1"/>
  <c r="AZ39" i="6"/>
  <c r="AZ40" i="6" s="1"/>
  <c r="AZ18" i="6"/>
  <c r="AZ19" i="6" s="1"/>
  <c r="AZ67" i="6"/>
  <c r="AZ68" i="6" s="1"/>
  <c r="AR28" i="8"/>
  <c r="AZ60" i="6"/>
  <c r="AZ61" i="6" s="1"/>
  <c r="AY33" i="17"/>
  <c r="AY23" i="17"/>
  <c r="AY25" i="17" l="1"/>
  <c r="AY27" i="17" s="1"/>
  <c r="AY40" i="17" s="1"/>
  <c r="AY26" i="17"/>
  <c r="AZ24" i="17" s="1"/>
  <c r="AR29" i="8"/>
  <c r="AR30" i="8" s="1"/>
  <c r="AR31" i="8"/>
  <c r="AZ11" i="6"/>
  <c r="AZ89" i="6" s="1"/>
  <c r="AY30" i="17" l="1"/>
  <c r="AY28" i="17" s="1"/>
  <c r="AY41" i="17" s="1"/>
  <c r="AZ31" i="17"/>
  <c r="H12" i="4"/>
  <c r="AZ12" i="6"/>
  <c r="AR32" i="8"/>
  <c r="AR33" i="8"/>
  <c r="AY42" i="17" l="1"/>
  <c r="AY44" i="17" s="1"/>
  <c r="AS8" i="8"/>
  <c r="AR45" i="8"/>
  <c r="AR34" i="8"/>
  <c r="AZ91" i="6"/>
  <c r="H14" i="9"/>
  <c r="H16" i="9" s="1"/>
  <c r="AS17" i="8"/>
  <c r="AR36" i="8"/>
  <c r="AR46" i="8" s="1"/>
  <c r="AR35" i="8"/>
  <c r="AR39" i="8" s="1"/>
  <c r="AR47" i="8" l="1"/>
  <c r="AZ24" i="7"/>
  <c r="AZ83" i="6" s="1"/>
  <c r="AZ84" i="6" s="1"/>
  <c r="BA79" i="6" s="1"/>
  <c r="AS21" i="8"/>
  <c r="AS22" i="8" s="1"/>
  <c r="H24" i="9"/>
  <c r="BA81" i="6" l="1"/>
  <c r="BA82" i="6" s="1"/>
  <c r="AZ48" i="6"/>
  <c r="AZ49" i="6" s="1"/>
  <c r="BA44" i="6" s="1"/>
  <c r="AZ27" i="6"/>
  <c r="AZ28" i="6" s="1"/>
  <c r="BA23" i="6" s="1"/>
  <c r="AZ13" i="6"/>
  <c r="AZ14" i="6" s="1"/>
  <c r="AZ25" i="7"/>
  <c r="AZ38" i="7"/>
  <c r="H16" i="14" s="1"/>
  <c r="AZ34" i="6"/>
  <c r="AZ35" i="6" s="1"/>
  <c r="BA30" i="6" s="1"/>
  <c r="AZ69" i="6"/>
  <c r="AZ70" i="6" s="1"/>
  <c r="BA65" i="6" s="1"/>
  <c r="AZ76" i="6"/>
  <c r="AZ77" i="6" s="1"/>
  <c r="BA72" i="6" s="1"/>
  <c r="AZ20" i="6"/>
  <c r="AZ21" i="6" s="1"/>
  <c r="BA16" i="6" s="1"/>
  <c r="AZ41" i="6"/>
  <c r="AZ42" i="6" s="1"/>
  <c r="BA37" i="6" s="1"/>
  <c r="AZ55" i="6"/>
  <c r="AZ56" i="6" s="1"/>
  <c r="BA51" i="6" s="1"/>
  <c r="AS52" i="8"/>
  <c r="AZ62" i="6"/>
  <c r="AZ63" i="6" s="1"/>
  <c r="BA58" i="6" s="1"/>
  <c r="AS54" i="8" l="1"/>
  <c r="AS10" i="8" s="1"/>
  <c r="AS55" i="8"/>
  <c r="AT53" i="8" s="1"/>
  <c r="AZ92" i="6"/>
  <c r="BA9" i="6"/>
  <c r="BA74" i="6"/>
  <c r="BA75" i="6" s="1"/>
  <c r="AZ33" i="17"/>
  <c r="H15" i="4"/>
  <c r="AZ23" i="17"/>
  <c r="BA53" i="6"/>
  <c r="BA54" i="6" s="1"/>
  <c r="BA39" i="6"/>
  <c r="BA40" i="6" s="1"/>
  <c r="BA18" i="6"/>
  <c r="BA19" i="6" s="1"/>
  <c r="BA25" i="6"/>
  <c r="BA26" i="6" s="1"/>
  <c r="BA46" i="6"/>
  <c r="BA47" i="6" s="1"/>
  <c r="BA67" i="6"/>
  <c r="BA68" i="6" s="1"/>
  <c r="BA60" i="6"/>
  <c r="BA61" i="6" s="1"/>
  <c r="BA32" i="6"/>
  <c r="BA33" i="6" s="1"/>
  <c r="BA11" i="6" l="1"/>
  <c r="BA89" i="6" s="1"/>
  <c r="BA12" i="6"/>
  <c r="AS15" i="8"/>
  <c r="AZ25" i="17"/>
  <c r="AZ27" i="17" s="1"/>
  <c r="H10" i="17"/>
  <c r="AZ26" i="17"/>
  <c r="BA24" i="17" s="1"/>
  <c r="H11" i="9"/>
  <c r="H12" i="9" s="1"/>
  <c r="H16" i="4"/>
  <c r="AS40" i="8"/>
  <c r="H39" i="4"/>
  <c r="H19" i="14"/>
  <c r="AS42" i="8" l="1"/>
  <c r="I44" i="9"/>
  <c r="H10" i="14"/>
  <c r="AZ40" i="17"/>
  <c r="H11" i="17"/>
  <c r="AZ30" i="17"/>
  <c r="AZ28" i="17" s="1"/>
  <c r="AS28" i="8"/>
  <c r="H22" i="9"/>
  <c r="H18" i="9"/>
  <c r="H17" i="9"/>
  <c r="BA91" i="6"/>
  <c r="BA31" i="17"/>
  <c r="BA24" i="7" l="1"/>
  <c r="BA69" i="6" s="1"/>
  <c r="BA70" i="6" s="1"/>
  <c r="BB65" i="6" s="1"/>
  <c r="H14" i="1"/>
  <c r="AS29" i="8"/>
  <c r="AS30" i="8" s="1"/>
  <c r="AS31" i="8"/>
  <c r="H26" i="9"/>
  <c r="H30" i="9"/>
  <c r="H25" i="9"/>
  <c r="AZ42" i="17"/>
  <c r="AZ41" i="17"/>
  <c r="H15" i="17" s="1"/>
  <c r="H12" i="17"/>
  <c r="BA55" i="6" l="1"/>
  <c r="BA56" i="6" s="1"/>
  <c r="BB51" i="6" s="1"/>
  <c r="BA20" i="6"/>
  <c r="BA21" i="6" s="1"/>
  <c r="BB16" i="6" s="1"/>
  <c r="BA41" i="6"/>
  <c r="BA42" i="6" s="1"/>
  <c r="BB37" i="6" s="1"/>
  <c r="BA27" i="6"/>
  <c r="BA28" i="6" s="1"/>
  <c r="BB23" i="6" s="1"/>
  <c r="BB26" i="6" s="1"/>
  <c r="AS32" i="8"/>
  <c r="BB39" i="6"/>
  <c r="BB40" i="6"/>
  <c r="BB25" i="6"/>
  <c r="BA38" i="7"/>
  <c r="BA25" i="7"/>
  <c r="BA13" i="6"/>
  <c r="BA14" i="6" s="1"/>
  <c r="AS33" i="8"/>
  <c r="BB53" i="6"/>
  <c r="BB54" i="6" s="1"/>
  <c r="AZ44" i="17"/>
  <c r="H14" i="17" s="1"/>
  <c r="H13" i="17"/>
  <c r="BA62" i="6"/>
  <c r="BA63" i="6" s="1"/>
  <c r="BB58" i="6" s="1"/>
  <c r="BB18" i="6"/>
  <c r="BB19" i="6" s="1"/>
  <c r="BB67" i="6"/>
  <c r="BB68" i="6" s="1"/>
  <c r="H31" i="9"/>
  <c r="H33" i="9"/>
  <c r="H15" i="1"/>
  <c r="H32" i="9"/>
  <c r="I28" i="9" s="1"/>
  <c r="BA34" i="6"/>
  <c r="BA35" i="6" s="1"/>
  <c r="BB30" i="6" s="1"/>
  <c r="BA76" i="6"/>
  <c r="BA77" i="6" s="1"/>
  <c r="BB72" i="6" s="1"/>
  <c r="BA48" i="6"/>
  <c r="BA49" i="6" s="1"/>
  <c r="BB44" i="6" s="1"/>
  <c r="BA83" i="6"/>
  <c r="BA84" i="6" s="1"/>
  <c r="BB79" i="6" s="1"/>
  <c r="BA33" i="17" l="1"/>
  <c r="BA23" i="17"/>
  <c r="BB60" i="6"/>
  <c r="BB61" i="6" s="1"/>
  <c r="BB81" i="6"/>
  <c r="BB82" i="6" s="1"/>
  <c r="I29" i="9"/>
  <c r="BB46" i="6"/>
  <c r="BB47" i="6" s="1"/>
  <c r="AT8" i="8"/>
  <c r="AS45" i="8"/>
  <c r="AS34" i="8"/>
  <c r="AT17" i="8"/>
  <c r="AS36" i="8"/>
  <c r="AS46" i="8" s="1"/>
  <c r="AS35" i="8"/>
  <c r="AS39" i="8" s="1"/>
  <c r="BB32" i="6"/>
  <c r="BB33" i="6"/>
  <c r="BB74" i="6"/>
  <c r="BB75" i="6" s="1"/>
  <c r="BA92" i="6"/>
  <c r="BB9" i="6"/>
  <c r="AS47" i="8" l="1"/>
  <c r="BA25" i="17"/>
  <c r="BA27" i="17" s="1"/>
  <c r="BA26" i="17"/>
  <c r="BB24" i="17" s="1"/>
  <c r="AT21" i="8"/>
  <c r="AT22" i="8" s="1"/>
  <c r="AT52" i="8" s="1"/>
  <c r="AT25" i="8"/>
  <c r="BB11" i="6"/>
  <c r="BB89" i="6" s="1"/>
  <c r="AT26" i="8" l="1"/>
  <c r="H33" i="4"/>
  <c r="BA40" i="17"/>
  <c r="BB12" i="6"/>
  <c r="AT54" i="8"/>
  <c r="AT10" i="8" s="1"/>
  <c r="AT15" i="8" s="1"/>
  <c r="AT28" i="8" s="1"/>
  <c r="AT55" i="8"/>
  <c r="AU53" i="8" s="1"/>
  <c r="BB31" i="17"/>
  <c r="BA30" i="17"/>
  <c r="BA28" i="17" s="1"/>
  <c r="AT29" i="8" l="1"/>
  <c r="BA42" i="17"/>
  <c r="BA41" i="17"/>
  <c r="AT40" i="8"/>
  <c r="AT42" i="8" s="1"/>
  <c r="AT31" i="8"/>
  <c r="BB91" i="6"/>
  <c r="H34" i="4"/>
  <c r="AT30" i="8"/>
  <c r="BB24" i="7" l="1"/>
  <c r="BB76" i="6" s="1"/>
  <c r="BB77" i="6" s="1"/>
  <c r="BC72" i="6" s="1"/>
  <c r="I31" i="10"/>
  <c r="I33" i="10" s="1"/>
  <c r="AT32" i="8"/>
  <c r="BA44" i="17"/>
  <c r="AT33" i="8"/>
  <c r="BB27" i="6" l="1"/>
  <c r="BB28" i="6" s="1"/>
  <c r="BC23" i="6" s="1"/>
  <c r="BB34" i="6"/>
  <c r="BB35" i="6" s="1"/>
  <c r="BC30" i="6" s="1"/>
  <c r="BC74" i="6"/>
  <c r="BC75" i="6" s="1"/>
  <c r="AU17" i="8"/>
  <c r="AT36" i="8"/>
  <c r="AT46" i="8" s="1"/>
  <c r="AT35" i="8"/>
  <c r="AT39" i="8" s="1"/>
  <c r="AT47" i="8" s="1"/>
  <c r="BC32" i="6"/>
  <c r="BC33" i="6" s="1"/>
  <c r="BB41" i="6"/>
  <c r="BB42" i="6" s="1"/>
  <c r="BC37" i="6" s="1"/>
  <c r="BB55" i="6"/>
  <c r="BB56" i="6" s="1"/>
  <c r="BC51" i="6" s="1"/>
  <c r="I32" i="10"/>
  <c r="E30" i="1"/>
  <c r="BB48" i="6"/>
  <c r="BB49" i="6" s="1"/>
  <c r="BC44" i="6" s="1"/>
  <c r="BB69" i="6"/>
  <c r="BB70" i="6" s="1"/>
  <c r="BC65" i="6" s="1"/>
  <c r="BB13" i="6"/>
  <c r="BB14" i="6" s="1"/>
  <c r="BC25" i="6"/>
  <c r="BC26" i="6"/>
  <c r="BB38" i="7"/>
  <c r="BB25" i="7"/>
  <c r="AT45" i="8"/>
  <c r="AU8" i="8"/>
  <c r="AT34" i="8"/>
  <c r="BB62" i="6"/>
  <c r="BB63" i="6" s="1"/>
  <c r="BC58" i="6" s="1"/>
  <c r="BB20" i="6"/>
  <c r="BB21" i="6" s="1"/>
  <c r="BC16" i="6" s="1"/>
  <c r="BB83" i="6"/>
  <c r="BB84" i="6" s="1"/>
  <c r="BC79" i="6" s="1"/>
  <c r="BC60" i="6" l="1"/>
  <c r="BC61" i="6" s="1"/>
  <c r="BC18" i="6"/>
  <c r="BC19" i="6" s="1"/>
  <c r="BB92" i="6"/>
  <c r="BC9" i="6"/>
  <c r="BC67" i="6"/>
  <c r="BC68" i="6" s="1"/>
  <c r="BC39" i="6"/>
  <c r="BC40" i="6" s="1"/>
  <c r="BC46" i="6"/>
  <c r="BC47" i="6" s="1"/>
  <c r="AU21" i="8"/>
  <c r="AU22" i="8" s="1"/>
  <c r="AU52" i="8" s="1"/>
  <c r="BC81" i="6"/>
  <c r="BC82" i="6" s="1"/>
  <c r="BB33" i="17"/>
  <c r="BB23" i="17"/>
  <c r="BC53" i="6"/>
  <c r="BC54" i="6" s="1"/>
  <c r="BB25" i="17" l="1"/>
  <c r="BB27" i="17" s="1"/>
  <c r="BB26" i="17"/>
  <c r="BC24" i="17" s="1"/>
  <c r="AU54" i="8"/>
  <c r="AU10" i="8" s="1"/>
  <c r="AU15" i="8" s="1"/>
  <c r="AU28" i="8" s="1"/>
  <c r="AU40" i="8"/>
  <c r="AU42" i="8" s="1"/>
  <c r="AU55" i="8"/>
  <c r="AV53" i="8" s="1"/>
  <c r="BC11" i="6"/>
  <c r="BC89" i="6" s="1"/>
  <c r="BC31" i="17" l="1"/>
  <c r="AU29" i="8"/>
  <c r="AU30" i="8" s="1"/>
  <c r="AU32" i="8" s="1"/>
  <c r="AU31" i="8"/>
  <c r="BB40" i="17"/>
  <c r="BC12" i="6"/>
  <c r="BB30" i="17"/>
  <c r="BB28" i="17" s="1"/>
  <c r="AV17" i="8" l="1"/>
  <c r="AU36" i="8"/>
  <c r="AU46" i="8" s="1"/>
  <c r="AU35" i="8"/>
  <c r="BB42" i="17"/>
  <c r="BB41" i="17"/>
  <c r="AU33" i="8"/>
  <c r="BC91" i="6"/>
  <c r="BC24" i="7" l="1"/>
  <c r="BC48" i="6" s="1"/>
  <c r="BC49" i="6" s="1"/>
  <c r="BD44" i="6" s="1"/>
  <c r="AU45" i="8"/>
  <c r="AU39" i="8"/>
  <c r="AU47" i="8" s="1"/>
  <c r="AV8" i="8"/>
  <c r="AU34" i="8"/>
  <c r="BB44" i="17"/>
  <c r="AV21" i="8"/>
  <c r="AV22" i="8" s="1"/>
  <c r="AV52" i="8" s="1"/>
  <c r="BC62" i="6" l="1"/>
  <c r="BC63" i="6" s="1"/>
  <c r="BD58" i="6" s="1"/>
  <c r="BC41" i="6"/>
  <c r="BC42" i="6" s="1"/>
  <c r="BD37" i="6" s="1"/>
  <c r="BC13" i="6"/>
  <c r="BC14" i="6" s="1"/>
  <c r="BD9" i="6"/>
  <c r="BD60" i="6"/>
  <c r="BD61" i="6" s="1"/>
  <c r="BD39" i="6"/>
  <c r="BD40" i="6"/>
  <c r="BC25" i="7"/>
  <c r="BC38" i="7"/>
  <c r="BC55" i="6"/>
  <c r="BC56" i="6" s="1"/>
  <c r="BD51" i="6" s="1"/>
  <c r="BC20" i="6"/>
  <c r="BC21" i="6" s="1"/>
  <c r="BD16" i="6" s="1"/>
  <c r="BC69" i="6"/>
  <c r="BC70" i="6" s="1"/>
  <c r="BD65" i="6" s="1"/>
  <c r="AV54" i="8"/>
  <c r="AV10" i="8" s="1"/>
  <c r="AV15" i="8" s="1"/>
  <c r="AV28" i="8" s="1"/>
  <c r="AV40" i="8"/>
  <c r="AV42" i="8" s="1"/>
  <c r="AV55" i="8"/>
  <c r="AW53" i="8" s="1"/>
  <c r="BD47" i="6"/>
  <c r="BD46" i="6"/>
  <c r="BC27" i="6"/>
  <c r="BC28" i="6" s="1"/>
  <c r="BD23" i="6" s="1"/>
  <c r="BC76" i="6"/>
  <c r="BC77" i="6" s="1"/>
  <c r="BD72" i="6" s="1"/>
  <c r="BC34" i="6"/>
  <c r="BC35" i="6" s="1"/>
  <c r="BD30" i="6" s="1"/>
  <c r="BC83" i="6"/>
  <c r="BC84" i="6" s="1"/>
  <c r="BD79" i="6" s="1"/>
  <c r="AV29" i="8" l="1"/>
  <c r="AV30" i="8" s="1"/>
  <c r="AV31" i="8"/>
  <c r="BD32" i="6"/>
  <c r="BD33" i="6" s="1"/>
  <c r="BD81" i="6"/>
  <c r="BD82" i="6" s="1"/>
  <c r="BD74" i="6"/>
  <c r="BD75" i="6" s="1"/>
  <c r="BD25" i="6"/>
  <c r="BD26" i="6" s="1"/>
  <c r="BD68" i="6"/>
  <c r="BD67" i="6"/>
  <c r="BD18" i="6"/>
  <c r="BD19" i="6"/>
  <c r="BD11" i="6"/>
  <c r="BD12" i="6"/>
  <c r="BC33" i="17"/>
  <c r="BC23" i="17"/>
  <c r="BD53" i="6"/>
  <c r="BD54" i="6" s="1"/>
  <c r="BC92" i="6"/>
  <c r="BD91" i="6" l="1"/>
  <c r="BD89" i="6"/>
  <c r="BC25" i="17"/>
  <c r="BC27" i="17" s="1"/>
  <c r="BC26" i="17"/>
  <c r="BD24" i="17" s="1"/>
  <c r="AV32" i="8"/>
  <c r="AV33" i="8"/>
  <c r="AW17" i="8" l="1"/>
  <c r="AV36" i="8"/>
  <c r="AV46" i="8" s="1"/>
  <c r="AV35" i="8"/>
  <c r="AV39" i="8" s="1"/>
  <c r="AV47" i="8" s="1"/>
  <c r="BD31" i="17"/>
  <c r="BD69" i="6"/>
  <c r="BD70" i="6" s="1"/>
  <c r="BE65" i="6" s="1"/>
  <c r="BD48" i="6"/>
  <c r="BD49" i="6" s="1"/>
  <c r="BE44" i="6" s="1"/>
  <c r="BD41" i="6"/>
  <c r="BD42" i="6" s="1"/>
  <c r="BE37" i="6" s="1"/>
  <c r="BD83" i="6"/>
  <c r="BD84" i="6" s="1"/>
  <c r="BE79" i="6" s="1"/>
  <c r="BD24" i="7"/>
  <c r="BD20" i="6" s="1"/>
  <c r="BD21" i="6" s="1"/>
  <c r="BE16" i="6" s="1"/>
  <c r="BC40" i="17"/>
  <c r="BC30" i="17"/>
  <c r="BC28" i="17" s="1"/>
  <c r="AV45" i="8"/>
  <c r="AW8" i="8"/>
  <c r="AV34" i="8"/>
  <c r="BD13" i="6" l="1"/>
  <c r="BD14" i="6" s="1"/>
  <c r="BE46" i="6"/>
  <c r="BE47" i="6" s="1"/>
  <c r="BD38" i="7"/>
  <c r="BD25" i="7"/>
  <c r="BE9" i="6"/>
  <c r="BC42" i="17"/>
  <c r="BC41" i="17"/>
  <c r="BE81" i="6"/>
  <c r="BE82" i="6" s="1"/>
  <c r="BE39" i="6"/>
  <c r="BE40" i="6"/>
  <c r="BE67" i="6"/>
  <c r="BE68" i="6" s="1"/>
  <c r="BE18" i="6"/>
  <c r="BE19" i="6" s="1"/>
  <c r="BD55" i="6"/>
  <c r="BD56" i="6" s="1"/>
  <c r="BE51" i="6" s="1"/>
  <c r="BD27" i="6"/>
  <c r="BD28" i="6" s="1"/>
  <c r="BE23" i="6" s="1"/>
  <c r="BD76" i="6"/>
  <c r="BD77" i="6" s="1"/>
  <c r="BE72" i="6" s="1"/>
  <c r="BD34" i="6"/>
  <c r="BD35" i="6" s="1"/>
  <c r="BE30" i="6" s="1"/>
  <c r="BD62" i="6"/>
  <c r="BD63" i="6" s="1"/>
  <c r="BE58" i="6" s="1"/>
  <c r="AW21" i="8"/>
  <c r="AW22" i="8" s="1"/>
  <c r="AW52" i="8" s="1"/>
  <c r="BE60" i="6" l="1"/>
  <c r="BE61" i="6" s="1"/>
  <c r="BC44" i="17"/>
  <c r="BE11" i="6"/>
  <c r="BE32" i="6"/>
  <c r="BE33" i="6"/>
  <c r="BE74" i="6"/>
  <c r="BE75" i="6" s="1"/>
  <c r="BD92" i="6"/>
  <c r="BE25" i="6"/>
  <c r="BE26" i="6" s="1"/>
  <c r="BD33" i="17"/>
  <c r="BD23" i="17"/>
  <c r="BE53" i="6"/>
  <c r="BE54" i="6" s="1"/>
  <c r="AW54" i="8"/>
  <c r="AW10" i="8" s="1"/>
  <c r="AW15" i="8" s="1"/>
  <c r="AW28" i="8" s="1"/>
  <c r="AW55" i="8"/>
  <c r="AX53" i="8" s="1"/>
  <c r="BD25" i="17" l="1"/>
  <c r="BD27" i="17" s="1"/>
  <c r="BD26" i="17"/>
  <c r="BE24" i="17" s="1"/>
  <c r="AW29" i="8"/>
  <c r="AW30" i="8" s="1"/>
  <c r="AW31" i="8"/>
  <c r="AW40" i="8"/>
  <c r="AW42" i="8" s="1"/>
  <c r="BE89" i="6"/>
  <c r="BE12" i="6"/>
  <c r="AW32" i="8" l="1"/>
  <c r="BE31" i="17"/>
  <c r="BD40" i="17"/>
  <c r="BD30" i="17"/>
  <c r="BD28" i="17" s="1"/>
  <c r="BE91" i="6"/>
  <c r="AW33" i="8"/>
  <c r="AW45" i="8" l="1"/>
  <c r="AX8" i="8"/>
  <c r="AW34" i="8"/>
  <c r="BE24" i="7"/>
  <c r="BE62" i="6" s="1"/>
  <c r="BE63" i="6" s="1"/>
  <c r="BF58" i="6" s="1"/>
  <c r="BD41" i="17"/>
  <c r="BD42" i="17"/>
  <c r="AX17" i="8"/>
  <c r="AW36" i="8"/>
  <c r="AW46" i="8" s="1"/>
  <c r="AW35" i="8"/>
  <c r="AW39" i="8" s="1"/>
  <c r="AW47" i="8" s="1"/>
  <c r="BF60" i="6" l="1"/>
  <c r="BF61" i="6" s="1"/>
  <c r="BE76" i="6"/>
  <c r="BE77" i="6" s="1"/>
  <c r="BF72" i="6" s="1"/>
  <c r="BE55" i="6"/>
  <c r="BE56" i="6" s="1"/>
  <c r="BF51" i="6" s="1"/>
  <c r="BE13" i="6"/>
  <c r="BE14" i="6" s="1"/>
  <c r="AX21" i="8"/>
  <c r="AX22" i="8" s="1"/>
  <c r="AX52" i="8" s="1"/>
  <c r="BE25" i="7"/>
  <c r="BE38" i="7"/>
  <c r="BE20" i="6"/>
  <c r="BE21" i="6" s="1"/>
  <c r="BF16" i="6" s="1"/>
  <c r="BE69" i="6"/>
  <c r="BE70" i="6" s="1"/>
  <c r="BF65" i="6" s="1"/>
  <c r="BE27" i="6"/>
  <c r="BE28" i="6" s="1"/>
  <c r="BF23" i="6" s="1"/>
  <c r="BE83" i="6"/>
  <c r="BE84" i="6" s="1"/>
  <c r="BF79" i="6" s="1"/>
  <c r="BE34" i="6"/>
  <c r="BE35" i="6" s="1"/>
  <c r="BF30" i="6" s="1"/>
  <c r="BD44" i="17"/>
  <c r="BE41" i="6"/>
  <c r="BE42" i="6" s="1"/>
  <c r="BF37" i="6" s="1"/>
  <c r="BE48" i="6"/>
  <c r="BE49" i="6" s="1"/>
  <c r="BF44" i="6" s="1"/>
  <c r="BF81" i="6" l="1"/>
  <c r="BF82" i="6" s="1"/>
  <c r="BE92" i="6"/>
  <c r="BF9" i="6"/>
  <c r="BF25" i="6"/>
  <c r="BF26" i="6" s="1"/>
  <c r="BF46" i="6"/>
  <c r="BF47" i="6" s="1"/>
  <c r="BF67" i="6"/>
  <c r="BF68" i="6" s="1"/>
  <c r="BF39" i="6"/>
  <c r="BF40" i="6" s="1"/>
  <c r="BF18" i="6"/>
  <c r="BF19" i="6" s="1"/>
  <c r="BF53" i="6"/>
  <c r="BF54" i="6" s="1"/>
  <c r="BF32" i="6"/>
  <c r="BF33" i="6" s="1"/>
  <c r="AX54" i="8"/>
  <c r="AX10" i="8" s="1"/>
  <c r="AX15" i="8" s="1"/>
  <c r="AX28" i="8" s="1"/>
  <c r="AX55" i="8"/>
  <c r="AY53" i="8" s="1"/>
  <c r="BF74" i="6"/>
  <c r="BF75" i="6" s="1"/>
  <c r="BE33" i="17"/>
  <c r="BE23" i="17"/>
  <c r="BE25" i="17" l="1"/>
  <c r="BE27" i="17" s="1"/>
  <c r="BE26" i="17"/>
  <c r="BF24" i="17" s="1"/>
  <c r="AX29" i="8"/>
  <c r="AX30" i="8" s="1"/>
  <c r="AX31" i="8"/>
  <c r="AX40" i="8"/>
  <c r="AX42" i="8" s="1"/>
  <c r="BF11" i="6"/>
  <c r="BF89" i="6" s="1"/>
  <c r="AX32" i="8" l="1"/>
  <c r="BF31" i="17"/>
  <c r="I11" i="10"/>
  <c r="I13" i="10" s="1"/>
  <c r="BE40" i="17"/>
  <c r="BE30" i="17"/>
  <c r="BE28" i="17" s="1"/>
  <c r="AY17" i="8"/>
  <c r="AX36" i="8"/>
  <c r="AX46" i="8" s="1"/>
  <c r="AX35" i="8"/>
  <c r="AX33" i="8"/>
  <c r="BF12" i="6"/>
  <c r="BF91" i="6" l="1"/>
  <c r="AX39" i="8"/>
  <c r="AX47" i="8" s="1"/>
  <c r="AX45" i="8"/>
  <c r="AY8" i="8"/>
  <c r="AX34" i="8"/>
  <c r="AY21" i="8"/>
  <c r="AY22" i="8" s="1"/>
  <c r="AY52" i="8" s="1"/>
  <c r="BE42" i="17"/>
  <c r="BE41" i="17"/>
  <c r="BE44" i="17" l="1"/>
  <c r="BF24" i="7"/>
  <c r="AY54" i="8"/>
  <c r="AY10" i="8" s="1"/>
  <c r="AY15" i="8" s="1"/>
  <c r="AY28" i="8" s="1"/>
  <c r="AY55" i="8"/>
  <c r="AZ53" i="8" s="1"/>
  <c r="AY40" i="8" l="1"/>
  <c r="AY42" i="8" s="1"/>
  <c r="AY29" i="8"/>
  <c r="AY30" i="8" s="1"/>
  <c r="AY31" i="8"/>
  <c r="BF25" i="7"/>
  <c r="BF38" i="7"/>
  <c r="BF55" i="6"/>
  <c r="BF56" i="6" s="1"/>
  <c r="BG51" i="6" s="1"/>
  <c r="BF62" i="6"/>
  <c r="BF63" i="6" s="1"/>
  <c r="BG58" i="6" s="1"/>
  <c r="BF20" i="6"/>
  <c r="BF21" i="6" s="1"/>
  <c r="BG16" i="6" s="1"/>
  <c r="BF76" i="6"/>
  <c r="BF77" i="6" s="1"/>
  <c r="BG72" i="6" s="1"/>
  <c r="BF34" i="6"/>
  <c r="BF35" i="6" s="1"/>
  <c r="BG30" i="6" s="1"/>
  <c r="BF83" i="6"/>
  <c r="BF84" i="6" s="1"/>
  <c r="BG79" i="6" s="1"/>
  <c r="BF41" i="6"/>
  <c r="BF42" i="6" s="1"/>
  <c r="BG37" i="6" s="1"/>
  <c r="BF13" i="6"/>
  <c r="BF14" i="6" s="1"/>
  <c r="BF48" i="6"/>
  <c r="BF49" i="6" s="1"/>
  <c r="BG44" i="6" s="1"/>
  <c r="BF27" i="6"/>
  <c r="BF28" i="6" s="1"/>
  <c r="BG23" i="6" s="1"/>
  <c r="BF69" i="6"/>
  <c r="BF70" i="6" s="1"/>
  <c r="BG65" i="6" s="1"/>
  <c r="BG18" i="6" l="1"/>
  <c r="BG19" i="6" s="1"/>
  <c r="BF92" i="6"/>
  <c r="BG9" i="6"/>
  <c r="BG46" i="6"/>
  <c r="BG47" i="6" s="1"/>
  <c r="BG60" i="6"/>
  <c r="BG61" i="6" s="1"/>
  <c r="BG53" i="6"/>
  <c r="BG54" i="6" s="1"/>
  <c r="BG39" i="6"/>
  <c r="BG40" i="6"/>
  <c r="BF33" i="17"/>
  <c r="I14" i="10"/>
  <c r="I15" i="10" s="1"/>
  <c r="I16" i="10" s="1"/>
  <c r="BF23" i="17"/>
  <c r="BG81" i="6"/>
  <c r="BG82" i="6" s="1"/>
  <c r="BG67" i="6"/>
  <c r="BG68" i="6" s="1"/>
  <c r="BG32" i="6"/>
  <c r="BG33" i="6"/>
  <c r="AY32" i="8"/>
  <c r="BG25" i="6"/>
  <c r="BG26" i="6" s="1"/>
  <c r="BG74" i="6"/>
  <c r="BG75" i="6" s="1"/>
  <c r="AY33" i="8"/>
  <c r="BF25" i="17" l="1"/>
  <c r="BF27" i="17" s="1"/>
  <c r="BF40" i="17" s="1"/>
  <c r="BF26" i="17"/>
  <c r="BG24" i="17" s="1"/>
  <c r="AZ17" i="8"/>
  <c r="AY36" i="8"/>
  <c r="AY46" i="8" s="1"/>
  <c r="AY35" i="8"/>
  <c r="I18" i="10"/>
  <c r="I17" i="10"/>
  <c r="AY39" i="8"/>
  <c r="AY47" i="8" s="1"/>
  <c r="AY45" i="8"/>
  <c r="AZ8" i="8"/>
  <c r="AY34" i="8"/>
  <c r="BG11" i="6"/>
  <c r="BG89" i="6" s="1"/>
  <c r="BG12" i="6"/>
  <c r="BG31" i="17" l="1"/>
  <c r="BF30" i="17"/>
  <c r="BF28" i="17" s="1"/>
  <c r="BG91" i="6"/>
  <c r="I17" i="1"/>
  <c r="AZ21" i="8"/>
  <c r="AZ22" i="8" s="1"/>
  <c r="BG41" i="6" l="1"/>
  <c r="BG42" i="6" s="1"/>
  <c r="BH37" i="6" s="1"/>
  <c r="BG24" i="7"/>
  <c r="BG62" i="6" s="1"/>
  <c r="BG63" i="6" s="1"/>
  <c r="BH58" i="6" s="1"/>
  <c r="BF41" i="17"/>
  <c r="BF42" i="17"/>
  <c r="BF44" i="17" s="1"/>
  <c r="H17" i="4"/>
  <c r="H21" i="4" s="1"/>
  <c r="AZ52" i="8"/>
  <c r="BG27" i="6" l="1"/>
  <c r="BG28" i="6" s="1"/>
  <c r="BH23" i="6" s="1"/>
  <c r="BG55" i="6"/>
  <c r="BG56" i="6" s="1"/>
  <c r="BH51" i="6" s="1"/>
  <c r="BG34" i="6"/>
  <c r="BG35" i="6" s="1"/>
  <c r="BH30" i="6" s="1"/>
  <c r="BH53" i="6"/>
  <c r="BH54" i="6" s="1"/>
  <c r="I22" i="10"/>
  <c r="I24" i="10" s="1"/>
  <c r="I27" i="10" s="1"/>
  <c r="BH32" i="6"/>
  <c r="BH33" i="6"/>
  <c r="BH39" i="6"/>
  <c r="BH40" i="6" s="1"/>
  <c r="BG25" i="7"/>
  <c r="BG38" i="7"/>
  <c r="BG69" i="6"/>
  <c r="BG70" i="6" s="1"/>
  <c r="BH65" i="6" s="1"/>
  <c r="BG13" i="6"/>
  <c r="BG14" i="6" s="1"/>
  <c r="AZ54" i="8"/>
  <c r="AZ10" i="8" s="1"/>
  <c r="AZ55" i="8"/>
  <c r="BA53" i="8" s="1"/>
  <c r="BH25" i="6"/>
  <c r="BH26" i="6" s="1"/>
  <c r="BH60" i="6"/>
  <c r="BH61" i="6" s="1"/>
  <c r="BG20" i="6"/>
  <c r="BG21" i="6" s="1"/>
  <c r="BH16" i="6" s="1"/>
  <c r="BG76" i="6"/>
  <c r="BG77" i="6" s="1"/>
  <c r="BH72" i="6" s="1"/>
  <c r="BG48" i="6"/>
  <c r="BG49" i="6" s="1"/>
  <c r="BH44" i="6" s="1"/>
  <c r="BG83" i="6"/>
  <c r="BG84" i="6" s="1"/>
  <c r="BH79" i="6" s="1"/>
  <c r="BH81" i="6" l="1"/>
  <c r="BH82" i="6" s="1"/>
  <c r="AZ15" i="8"/>
  <c r="H22" i="4"/>
  <c r="BH18" i="6"/>
  <c r="BH19" i="6" s="1"/>
  <c r="BG92" i="6"/>
  <c r="BH9" i="6"/>
  <c r="I18" i="1"/>
  <c r="BG33" i="17"/>
  <c r="BG23" i="17"/>
  <c r="BH46" i="6"/>
  <c r="BH47" i="6" s="1"/>
  <c r="AZ40" i="8"/>
  <c r="BH74" i="6"/>
  <c r="BH75" i="6" s="1"/>
  <c r="BH67" i="6"/>
  <c r="BH68" i="6" s="1"/>
  <c r="BG25" i="17" l="1"/>
  <c r="BG27" i="17" s="1"/>
  <c r="BG40" i="17" s="1"/>
  <c r="BG26" i="17"/>
  <c r="BH24" i="17" s="1"/>
  <c r="H27" i="4"/>
  <c r="H31" i="4" s="1"/>
  <c r="H23" i="4"/>
  <c r="H10" i="1" s="1"/>
  <c r="AZ42" i="8"/>
  <c r="BH11" i="6"/>
  <c r="BH89" i="6" s="1"/>
  <c r="G39" i="9"/>
  <c r="G42" i="9" s="1"/>
  <c r="AZ28" i="8"/>
  <c r="AZ29" i="8" l="1"/>
  <c r="AZ30" i="8" s="1"/>
  <c r="AZ31" i="8"/>
  <c r="H11" i="1"/>
  <c r="BH31" i="17"/>
  <c r="BH12" i="6"/>
  <c r="H49" i="4"/>
  <c r="BG30" i="17"/>
  <c r="BG28" i="17" s="1"/>
  <c r="H13" i="14"/>
  <c r="BG41" i="17" l="1"/>
  <c r="BG42" i="17"/>
  <c r="BG44" i="17" s="1"/>
  <c r="BH91" i="6"/>
  <c r="H35" i="4"/>
  <c r="AZ32" i="8"/>
  <c r="AZ33" i="8"/>
  <c r="BH24" i="7" l="1"/>
  <c r="BH55" i="6" s="1"/>
  <c r="BH56" i="6" s="1"/>
  <c r="BI51" i="6" s="1"/>
  <c r="BA8" i="8"/>
  <c r="AZ45" i="8"/>
  <c r="H42" i="4" s="1"/>
  <c r="H36" i="4"/>
  <c r="AZ34" i="8"/>
  <c r="H53" i="4" s="1"/>
  <c r="H13" i="1" s="1"/>
  <c r="H29" i="10"/>
  <c r="H30" i="10"/>
  <c r="BA17" i="8"/>
  <c r="AZ36" i="8"/>
  <c r="AZ35" i="8"/>
  <c r="AZ39" i="8" s="1"/>
  <c r="H52" i="4"/>
  <c r="H12" i="1" s="1"/>
  <c r="BH41" i="6" l="1"/>
  <c r="BH42" i="6" s="1"/>
  <c r="BI37" i="6" s="1"/>
  <c r="BH48" i="6"/>
  <c r="BH49" i="6" s="1"/>
  <c r="BI44" i="6" s="1"/>
  <c r="AZ47" i="8"/>
  <c r="H36" i="9"/>
  <c r="H37" i="9" s="1"/>
  <c r="BI39" i="6"/>
  <c r="BI40" i="6" s="1"/>
  <c r="AZ46" i="8"/>
  <c r="H48" i="4" s="1"/>
  <c r="I46" i="9" s="1"/>
  <c r="I47" i="9" s="1"/>
  <c r="H44" i="4"/>
  <c r="BH38" i="7"/>
  <c r="BH25" i="7"/>
  <c r="BH62" i="6"/>
  <c r="BH63" i="6" s="1"/>
  <c r="BI58" i="6" s="1"/>
  <c r="BH20" i="6"/>
  <c r="BH21" i="6" s="1"/>
  <c r="BI16" i="6" s="1"/>
  <c r="BI53" i="6"/>
  <c r="BI54" i="6" s="1"/>
  <c r="BA21" i="8"/>
  <c r="BA22" i="8" s="1"/>
  <c r="BH76" i="6"/>
  <c r="BH77" i="6" s="1"/>
  <c r="BI72" i="6" s="1"/>
  <c r="BH13" i="6"/>
  <c r="BH14" i="6" s="1"/>
  <c r="BH69" i="6"/>
  <c r="BH70" i="6" s="1"/>
  <c r="BI65" i="6" s="1"/>
  <c r="I43" i="9"/>
  <c r="I45" i="9" s="1"/>
  <c r="BI46" i="6"/>
  <c r="BI47" i="6" s="1"/>
  <c r="BH27" i="6"/>
  <c r="BH28" i="6" s="1"/>
  <c r="BI23" i="6" s="1"/>
  <c r="BH83" i="6"/>
  <c r="BH84" i="6" s="1"/>
  <c r="BI79" i="6" s="1"/>
  <c r="BH34" i="6"/>
  <c r="BH35" i="6" s="1"/>
  <c r="BI30" i="6" s="1"/>
  <c r="H9" i="14"/>
  <c r="BA52" i="8" l="1"/>
  <c r="I49" i="9"/>
  <c r="BI32" i="6"/>
  <c r="BI33" i="6"/>
  <c r="H8" i="14"/>
  <c r="BH92" i="6"/>
  <c r="BI9" i="6"/>
  <c r="BI82" i="6"/>
  <c r="BI81" i="6"/>
  <c r="BI60" i="6"/>
  <c r="BI61" i="6" s="1"/>
  <c r="BI67" i="6"/>
  <c r="BI68" i="6" s="1"/>
  <c r="BI18" i="6"/>
  <c r="BI19" i="6" s="1"/>
  <c r="BI74" i="6"/>
  <c r="BI75" i="6" s="1"/>
  <c r="BI25" i="6"/>
  <c r="BI26" i="6"/>
  <c r="BH33" i="17"/>
  <c r="BH23" i="17"/>
  <c r="BI11" i="6" l="1"/>
  <c r="BI89" i="6" s="1"/>
  <c r="I16" i="1"/>
  <c r="E27" i="1"/>
  <c r="BA54" i="8"/>
  <c r="BA10" i="8" s="1"/>
  <c r="BA40" i="8"/>
  <c r="BA55" i="8"/>
  <c r="BB53" i="8" s="1"/>
  <c r="BH25" i="17"/>
  <c r="BH27" i="17" s="1"/>
  <c r="BH40" i="17" s="1"/>
  <c r="BH26" i="17"/>
  <c r="BI24" i="17" s="1"/>
  <c r="BI12" i="6" l="1"/>
  <c r="BA42" i="8"/>
  <c r="BA15" i="8"/>
  <c r="BH30" i="17"/>
  <c r="BH28" i="17" s="1"/>
  <c r="BI91" i="6"/>
  <c r="BI31" i="17"/>
  <c r="BI24" i="7" l="1"/>
  <c r="BI69" i="6" s="1"/>
  <c r="BI70" i="6" s="1"/>
  <c r="BJ65" i="6" s="1"/>
  <c r="BH41" i="17"/>
  <c r="BH42" i="17"/>
  <c r="BH44" i="17" s="1"/>
  <c r="BA28" i="8"/>
  <c r="BI76" i="6" l="1"/>
  <c r="BI77" i="6" s="1"/>
  <c r="BJ72" i="6" s="1"/>
  <c r="BI13" i="6"/>
  <c r="BI14" i="6" s="1"/>
  <c r="BI48" i="6"/>
  <c r="BI49" i="6" s="1"/>
  <c r="BJ44" i="6" s="1"/>
  <c r="BI20" i="6"/>
  <c r="BI21" i="6" s="1"/>
  <c r="BJ16" i="6" s="1"/>
  <c r="BJ19" i="6" s="1"/>
  <c r="BI55" i="6"/>
  <c r="BI56" i="6" s="1"/>
  <c r="BJ51" i="6" s="1"/>
  <c r="BJ53" i="6" s="1"/>
  <c r="BJ54" i="6" s="1"/>
  <c r="BJ9" i="6"/>
  <c r="BJ46" i="6"/>
  <c r="BJ47" i="6" s="1"/>
  <c r="BJ18" i="6"/>
  <c r="BI25" i="7"/>
  <c r="BI38" i="7"/>
  <c r="BI41" i="6"/>
  <c r="BI42" i="6" s="1"/>
  <c r="BJ37" i="6" s="1"/>
  <c r="BI27" i="6"/>
  <c r="BI28" i="6" s="1"/>
  <c r="BJ23" i="6" s="1"/>
  <c r="BI62" i="6"/>
  <c r="BI63" i="6" s="1"/>
  <c r="BJ58" i="6" s="1"/>
  <c r="BI34" i="6"/>
  <c r="BI35" i="6" s="1"/>
  <c r="BJ30" i="6" s="1"/>
  <c r="BI83" i="6"/>
  <c r="BI84" i="6" s="1"/>
  <c r="BJ79" i="6" s="1"/>
  <c r="BA29" i="8"/>
  <c r="BA30" i="8" s="1"/>
  <c r="BA33" i="8" s="1"/>
  <c r="BA31" i="8"/>
  <c r="BJ74" i="6"/>
  <c r="BJ75" i="6" s="1"/>
  <c r="BJ67" i="6"/>
  <c r="BJ68" i="6" s="1"/>
  <c r="BJ60" i="6" l="1"/>
  <c r="BJ61" i="6" s="1"/>
  <c r="BJ25" i="6"/>
  <c r="BJ26" i="6" s="1"/>
  <c r="BJ39" i="6"/>
  <c r="BJ40" i="6"/>
  <c r="BJ11" i="6"/>
  <c r="BJ12" i="6"/>
  <c r="BA45" i="8"/>
  <c r="BB8" i="8"/>
  <c r="BA34" i="8"/>
  <c r="BJ81" i="6"/>
  <c r="BJ82" i="6" s="1"/>
  <c r="BJ32" i="6"/>
  <c r="BJ33" i="6"/>
  <c r="BA32" i="8"/>
  <c r="BI33" i="17"/>
  <c r="BI23" i="17"/>
  <c r="BI92" i="6"/>
  <c r="BJ91" i="6" l="1"/>
  <c r="BJ89" i="6"/>
  <c r="BI25" i="17"/>
  <c r="BI27" i="17" s="1"/>
  <c r="BI40" i="17" s="1"/>
  <c r="BI26" i="17"/>
  <c r="BJ24" i="17" s="1"/>
  <c r="BB17" i="8"/>
  <c r="BA36" i="8"/>
  <c r="BA46" i="8" s="1"/>
  <c r="BA35" i="8"/>
  <c r="BA39" i="8" s="1"/>
  <c r="BJ24" i="7" l="1"/>
  <c r="BJ55" i="6" s="1"/>
  <c r="BJ56" i="6" s="1"/>
  <c r="BK51" i="6" s="1"/>
  <c r="BA47" i="8"/>
  <c r="BJ31" i="17"/>
  <c r="BB21" i="8"/>
  <c r="BB22" i="8" s="1"/>
  <c r="BI30" i="17"/>
  <c r="BI28" i="17" s="1"/>
  <c r="BK53" i="6" l="1"/>
  <c r="BK54" i="6" s="1"/>
  <c r="BI42" i="17"/>
  <c r="BI44" i="17" s="1"/>
  <c r="BI41" i="17"/>
  <c r="BJ27" i="6"/>
  <c r="BJ28" i="6" s="1"/>
  <c r="BK23" i="6" s="1"/>
  <c r="BJ41" i="6"/>
  <c r="BJ42" i="6" s="1"/>
  <c r="BK37" i="6" s="1"/>
  <c r="BJ34" i="6"/>
  <c r="BJ35" i="6" s="1"/>
  <c r="BK30" i="6" s="1"/>
  <c r="BB52" i="8"/>
  <c r="BJ38" i="7"/>
  <c r="BJ25" i="7"/>
  <c r="BJ62" i="6"/>
  <c r="BJ63" i="6" s="1"/>
  <c r="BK58" i="6" s="1"/>
  <c r="BJ69" i="6"/>
  <c r="BJ70" i="6" s="1"/>
  <c r="BK65" i="6" s="1"/>
  <c r="BJ13" i="6"/>
  <c r="BJ14" i="6" s="1"/>
  <c r="BJ76" i="6"/>
  <c r="BJ77" i="6" s="1"/>
  <c r="BK72" i="6" s="1"/>
  <c r="BJ48" i="6"/>
  <c r="BJ49" i="6" s="1"/>
  <c r="BK44" i="6" s="1"/>
  <c r="BJ20" i="6"/>
  <c r="BJ21" i="6" s="1"/>
  <c r="BK16" i="6" s="1"/>
  <c r="BJ83" i="6"/>
  <c r="BJ84" i="6" s="1"/>
  <c r="BK79" i="6" s="1"/>
  <c r="BB54" i="8" l="1"/>
  <c r="BB10" i="8" s="1"/>
  <c r="BB55" i="8"/>
  <c r="BC53" i="8" s="1"/>
  <c r="BJ92" i="6"/>
  <c r="BK9" i="6"/>
  <c r="BK67" i="6"/>
  <c r="BK68" i="6" s="1"/>
  <c r="BK46" i="6"/>
  <c r="BK47" i="6" s="1"/>
  <c r="BK32" i="6"/>
  <c r="BK33" i="6" s="1"/>
  <c r="BK25" i="6"/>
  <c r="BK26" i="6" s="1"/>
  <c r="BK81" i="6"/>
  <c r="BK82" i="6" s="1"/>
  <c r="BK74" i="6"/>
  <c r="BK75" i="6" s="1"/>
  <c r="BK39" i="6"/>
  <c r="BK40" i="6" s="1"/>
  <c r="BK60" i="6"/>
  <c r="BK61" i="6" s="1"/>
  <c r="BJ33" i="17"/>
  <c r="BJ23" i="17"/>
  <c r="BK18" i="6"/>
  <c r="BK19" i="6" s="1"/>
  <c r="BJ25" i="17" l="1"/>
  <c r="BJ27" i="17" s="1"/>
  <c r="BJ40" i="17" s="1"/>
  <c r="BJ26" i="17"/>
  <c r="BK24" i="17" s="1"/>
  <c r="BK11" i="6"/>
  <c r="BK89" i="6" s="1"/>
  <c r="BB15" i="8"/>
  <c r="BB40" i="8"/>
  <c r="BJ30" i="17" l="1"/>
  <c r="BJ28" i="17" s="1"/>
  <c r="BB28" i="8"/>
  <c r="BB42" i="8"/>
  <c r="BJ41" i="17"/>
  <c r="BJ42" i="17"/>
  <c r="BJ44" i="17" s="1"/>
  <c r="BK31" i="17"/>
  <c r="BK12" i="6"/>
  <c r="BK91" i="6" l="1"/>
  <c r="BB29" i="8"/>
  <c r="BB30" i="8" s="1"/>
  <c r="BB31" i="8"/>
  <c r="BB32" i="8" l="1"/>
  <c r="BB33" i="8"/>
  <c r="BK24" i="7"/>
  <c r="BK38" i="7" l="1"/>
  <c r="BK25" i="7"/>
  <c r="BK13" i="6"/>
  <c r="BK14" i="6" s="1"/>
  <c r="BK34" i="6"/>
  <c r="BK35" i="6" s="1"/>
  <c r="BL30" i="6" s="1"/>
  <c r="BK20" i="6"/>
  <c r="BK21" i="6" s="1"/>
  <c r="BL16" i="6" s="1"/>
  <c r="BK83" i="6"/>
  <c r="BK84" i="6" s="1"/>
  <c r="BL79" i="6" s="1"/>
  <c r="BK62" i="6"/>
  <c r="BK63" i="6" s="1"/>
  <c r="BL58" i="6" s="1"/>
  <c r="BK48" i="6"/>
  <c r="BK49" i="6" s="1"/>
  <c r="BL44" i="6" s="1"/>
  <c r="BK55" i="6"/>
  <c r="BK56" i="6" s="1"/>
  <c r="BL51" i="6" s="1"/>
  <c r="BK69" i="6"/>
  <c r="BK70" i="6" s="1"/>
  <c r="BL65" i="6" s="1"/>
  <c r="BK76" i="6"/>
  <c r="BK77" i="6" s="1"/>
  <c r="BL72" i="6" s="1"/>
  <c r="BK27" i="6"/>
  <c r="BK28" i="6" s="1"/>
  <c r="BL23" i="6" s="1"/>
  <c r="BB45" i="8"/>
  <c r="BC8" i="8"/>
  <c r="BB34" i="8"/>
  <c r="BC17" i="8"/>
  <c r="BB36" i="8"/>
  <c r="BB46" i="8" s="1"/>
  <c r="BB35" i="8"/>
  <c r="BB39" i="8" s="1"/>
  <c r="BK41" i="6"/>
  <c r="BK42" i="6" s="1"/>
  <c r="BL37" i="6" s="1"/>
  <c r="BB47" i="8" l="1"/>
  <c r="BL39" i="6"/>
  <c r="BL40" i="6" s="1"/>
  <c r="BL60" i="6"/>
  <c r="BL61" i="6" s="1"/>
  <c r="BL18" i="6"/>
  <c r="BL19" i="6"/>
  <c r="BL46" i="6"/>
  <c r="BL47" i="6" s="1"/>
  <c r="BL32" i="6"/>
  <c r="BL33" i="6" s="1"/>
  <c r="BL75" i="6"/>
  <c r="BL74" i="6"/>
  <c r="BL67" i="6"/>
  <c r="BL68" i="6" s="1"/>
  <c r="BK33" i="17"/>
  <c r="BK23" i="17"/>
  <c r="BL81" i="6"/>
  <c r="BL82" i="6" s="1"/>
  <c r="BL25" i="6"/>
  <c r="BL26" i="6" s="1"/>
  <c r="BC21" i="8"/>
  <c r="BC22" i="8" s="1"/>
  <c r="BK92" i="6"/>
  <c r="BL9" i="6"/>
  <c r="BL53" i="6"/>
  <c r="BL54" i="6" s="1"/>
  <c r="BC52" i="8" l="1"/>
  <c r="BK25" i="17"/>
  <c r="BK27" i="17" s="1"/>
  <c r="BK40" i="17" s="1"/>
  <c r="BK26" i="17"/>
  <c r="BL24" i="17" s="1"/>
  <c r="BL11" i="6"/>
  <c r="BL89" i="6" s="1"/>
  <c r="BK30" i="17" l="1"/>
  <c r="BK28" i="17" s="1"/>
  <c r="BL31" i="17"/>
  <c r="I12" i="4"/>
  <c r="BL12" i="6"/>
  <c r="BC54" i="8"/>
  <c r="BC10" i="8" s="1"/>
  <c r="BC55" i="8"/>
  <c r="BD53" i="8" s="1"/>
  <c r="BC15" i="8" l="1"/>
  <c r="BL91" i="6"/>
  <c r="I14" i="9"/>
  <c r="I16" i="9" s="1"/>
  <c r="E112" i="18"/>
  <c r="BK42" i="17"/>
  <c r="BK44" i="17" s="1"/>
  <c r="BK41" i="17"/>
  <c r="BC40" i="8"/>
  <c r="I24" i="9" l="1"/>
  <c r="BC42" i="8"/>
  <c r="BL24" i="7"/>
  <c r="BL83" i="6" s="1"/>
  <c r="BL84" i="6" s="1"/>
  <c r="BC28" i="8"/>
  <c r="BL55" i="6" l="1"/>
  <c r="BL56" i="6" s="1"/>
  <c r="BL62" i="6"/>
  <c r="BL63" i="6" s="1"/>
  <c r="BL20" i="6"/>
  <c r="BL21" i="6" s="1"/>
  <c r="BL69" i="6"/>
  <c r="BL70" i="6" s="1"/>
  <c r="BL76" i="6"/>
  <c r="BL77" i="6" s="1"/>
  <c r="BL13" i="6"/>
  <c r="BL14" i="6" s="1"/>
  <c r="BL38" i="7"/>
  <c r="I16" i="14" s="1"/>
  <c r="BL25" i="7"/>
  <c r="BL27" i="6"/>
  <c r="BL28" i="6" s="1"/>
  <c r="BL34" i="6"/>
  <c r="BL35" i="6" s="1"/>
  <c r="BC29" i="8"/>
  <c r="BC30" i="8" s="1"/>
  <c r="BC31" i="8"/>
  <c r="BL41" i="6"/>
  <c r="BL42" i="6" s="1"/>
  <c r="BL48" i="6"/>
  <c r="BL49" i="6" s="1"/>
  <c r="BL92" i="6" l="1"/>
  <c r="BC32" i="8"/>
  <c r="BC33" i="8"/>
  <c r="BL33" i="17"/>
  <c r="I15" i="4"/>
  <c r="BL23" i="17"/>
  <c r="BL25" i="17" l="1"/>
  <c r="BL27" i="17" s="1"/>
  <c r="BL30" i="17" s="1"/>
  <c r="BL28" i="17" s="1"/>
  <c r="I10" i="17"/>
  <c r="BL26" i="17"/>
  <c r="I11" i="9"/>
  <c r="I12" i="9" s="1"/>
  <c r="E38" i="10"/>
  <c r="E28" i="1" s="1"/>
  <c r="I16" i="4"/>
  <c r="BC45" i="8"/>
  <c r="BD8" i="8"/>
  <c r="BC34" i="8"/>
  <c r="BD17" i="8"/>
  <c r="BC36" i="8"/>
  <c r="BC46" i="8" s="1"/>
  <c r="BC35" i="8"/>
  <c r="BC39" i="8" s="1"/>
  <c r="I39" i="4"/>
  <c r="I19" i="14"/>
  <c r="BC47" i="8" l="1"/>
  <c r="BL42" i="17"/>
  <c r="I12" i="17"/>
  <c r="E43" i="14" s="1"/>
  <c r="E29" i="18"/>
  <c r="E44" i="18" s="1"/>
  <c r="E45" i="18" s="1"/>
  <c r="E46" i="18" s="1"/>
  <c r="I10" i="14"/>
  <c r="BD21" i="8"/>
  <c r="BD22" i="8" s="1"/>
  <c r="I22" i="9"/>
  <c r="I18" i="9"/>
  <c r="I17" i="9"/>
  <c r="BL40" i="17"/>
  <c r="BL41" i="17" s="1"/>
  <c r="I11" i="17"/>
  <c r="I14" i="1" l="1"/>
  <c r="I26" i="9"/>
  <c r="I30" i="9"/>
  <c r="I25" i="9"/>
  <c r="E113" i="18"/>
  <c r="E57" i="18"/>
  <c r="BD52" i="8"/>
  <c r="E42" i="14"/>
  <c r="I15" i="17"/>
  <c r="BL44" i="17"/>
  <c r="I13" i="17"/>
  <c r="E55" i="1" l="1"/>
  <c r="E58" i="18"/>
  <c r="BD54" i="8"/>
  <c r="BD10" i="8" s="1"/>
  <c r="BD55" i="8"/>
  <c r="BE53" i="8" s="1"/>
  <c r="E39" i="18"/>
  <c r="I14" i="17"/>
  <c r="I33" i="9"/>
  <c r="I31" i="9"/>
  <c r="I15" i="1"/>
  <c r="I32" i="9"/>
  <c r="E24" i="1"/>
  <c r="E60" i="18" l="1"/>
  <c r="E62" i="18" s="1"/>
  <c r="E63" i="18" s="1"/>
  <c r="BD15" i="8"/>
  <c r="BD40" i="8"/>
  <c r="E76" i="18" l="1"/>
  <c r="E70" i="18"/>
  <c r="E46" i="14"/>
  <c r="E50" i="1"/>
  <c r="BD28" i="8"/>
  <c r="BD42" i="8"/>
  <c r="E49" i="14"/>
  <c r="BD29" i="8" l="1"/>
  <c r="BD30" i="8" s="1"/>
  <c r="BD31" i="8"/>
  <c r="E71" i="18"/>
  <c r="E77" i="18"/>
  <c r="E56" i="1" s="1"/>
  <c r="E72" i="18" l="1"/>
  <c r="E51" i="1"/>
  <c r="BD32" i="8"/>
  <c r="BD33" i="8"/>
  <c r="BD45" i="8" l="1"/>
  <c r="BE8" i="8"/>
  <c r="BD34" i="8"/>
  <c r="BE17" i="8"/>
  <c r="BD36" i="8"/>
  <c r="BD46" i="8" s="1"/>
  <c r="BD35" i="8"/>
  <c r="BD39" i="8" s="1"/>
  <c r="E101" i="18"/>
  <c r="E75" i="18"/>
  <c r="E91" i="18"/>
  <c r="E52" i="1"/>
  <c r="BE21" i="8" l="1"/>
  <c r="BE22" i="8" s="1"/>
  <c r="BD47" i="8"/>
  <c r="BE52" i="8" l="1"/>
  <c r="BE54" i="8" l="1"/>
  <c r="BE10" i="8" s="1"/>
  <c r="BE40" i="8"/>
  <c r="BE55" i="8"/>
  <c r="BF53" i="8" s="1"/>
  <c r="BE42" i="8" l="1"/>
  <c r="BE15" i="8"/>
  <c r="BE28" i="8" l="1"/>
  <c r="BE29" i="8" l="1"/>
  <c r="BE30" i="8" s="1"/>
  <c r="BE31" i="8"/>
  <c r="BE32" i="8" l="1"/>
  <c r="BE33" i="8"/>
  <c r="BE45" i="8" l="1"/>
  <c r="BF8" i="8"/>
  <c r="BE34" i="8"/>
  <c r="BF17" i="8"/>
  <c r="BE36" i="8"/>
  <c r="BE46" i="8" s="1"/>
  <c r="BE35" i="8"/>
  <c r="BE39" i="8" s="1"/>
  <c r="BE47" i="8" l="1"/>
  <c r="BF21" i="8"/>
  <c r="BF22" i="8" s="1"/>
  <c r="BF52" i="8" s="1"/>
  <c r="BF54" i="8" l="1"/>
  <c r="BF10" i="8" s="1"/>
  <c r="BF15" i="8" s="1"/>
  <c r="BF28" i="8" s="1"/>
  <c r="BF55" i="8"/>
  <c r="BG53" i="8" s="1"/>
  <c r="BF29" i="8" l="1"/>
  <c r="BF30" i="8" s="1"/>
  <c r="BF31" i="8"/>
  <c r="BF40" i="8"/>
  <c r="BF42" i="8" s="1"/>
  <c r="BF32" i="8" l="1"/>
  <c r="BF33" i="8"/>
  <c r="BF45" i="8" l="1"/>
  <c r="BG8" i="8"/>
  <c r="BF34" i="8"/>
  <c r="BG17" i="8"/>
  <c r="BF36" i="8"/>
  <c r="BF46" i="8" s="1"/>
  <c r="BF35" i="8"/>
  <c r="BF39" i="8" s="1"/>
  <c r="BF47" i="8" s="1"/>
  <c r="BG21" i="8" l="1"/>
  <c r="BG22" i="8" s="1"/>
  <c r="BG52" i="8" s="1"/>
  <c r="BG54" i="8" l="1"/>
  <c r="BG10" i="8" s="1"/>
  <c r="BG15" i="8" s="1"/>
  <c r="BG28" i="8" s="1"/>
  <c r="BG55" i="8"/>
  <c r="BH53" i="8" s="1"/>
  <c r="BG29" i="8" l="1"/>
  <c r="BG30" i="8" s="1"/>
  <c r="BG31" i="8"/>
  <c r="BG40" i="8"/>
  <c r="BG42" i="8" s="1"/>
  <c r="BG32" i="8" l="1"/>
  <c r="BG33" i="8"/>
  <c r="BG45" i="8" l="1"/>
  <c r="BH8" i="8"/>
  <c r="BG34" i="8"/>
  <c r="BH17" i="8"/>
  <c r="BG36" i="8"/>
  <c r="BG46" i="8" s="1"/>
  <c r="BG35" i="8"/>
  <c r="BG39" i="8" s="1"/>
  <c r="BG47" i="8" s="1"/>
  <c r="BH21" i="8" l="1"/>
  <c r="BH22" i="8" s="1"/>
  <c r="BH52" i="8" s="1"/>
  <c r="BH54" i="8" l="1"/>
  <c r="BH10" i="8" s="1"/>
  <c r="BH15" i="8" s="1"/>
  <c r="BH28" i="8" s="1"/>
  <c r="BH40" i="8"/>
  <c r="BH42" i="8" s="1"/>
  <c r="BH55" i="8"/>
  <c r="BI53" i="8" s="1"/>
  <c r="BH29" i="8" l="1"/>
  <c r="BH30" i="8" s="1"/>
  <c r="BH31" i="8"/>
  <c r="BH32" i="8" l="1"/>
  <c r="BH33" i="8"/>
  <c r="BI17" i="8" l="1"/>
  <c r="BH36" i="8"/>
  <c r="BH46" i="8" s="1"/>
  <c r="BH35" i="8"/>
  <c r="BH39" i="8"/>
  <c r="BH47" i="8" s="1"/>
  <c r="BH45" i="8"/>
  <c r="BI8" i="8"/>
  <c r="BH34" i="8"/>
  <c r="BI21" i="8" l="1"/>
  <c r="BI22" i="8" s="1"/>
  <c r="BI52" i="8" s="1"/>
  <c r="BI54" i="8" l="1"/>
  <c r="BI10" i="8" s="1"/>
  <c r="BI15" i="8" s="1"/>
  <c r="BI28" i="8" s="1"/>
  <c r="BI40" i="8"/>
  <c r="BI42" i="8" s="1"/>
  <c r="BI55" i="8"/>
  <c r="BJ53" i="8" s="1"/>
  <c r="BI29" i="8" l="1"/>
  <c r="BI30" i="8" s="1"/>
  <c r="BI31" i="8"/>
  <c r="BI32" i="8" l="1"/>
  <c r="BI33" i="8"/>
  <c r="BJ17" i="8" l="1"/>
  <c r="BI36" i="8"/>
  <c r="BI46" i="8" s="1"/>
  <c r="BI35" i="8"/>
  <c r="BI39" i="8"/>
  <c r="BI47" i="8" s="1"/>
  <c r="BI45" i="8"/>
  <c r="BJ8" i="8"/>
  <c r="BI34" i="8"/>
  <c r="BJ21" i="8" l="1"/>
  <c r="BJ22" i="8" s="1"/>
  <c r="BJ52" i="8" s="1"/>
  <c r="BJ54" i="8" l="1"/>
  <c r="BJ10" i="8" s="1"/>
  <c r="BJ15" i="8" s="1"/>
  <c r="BJ28" i="8" s="1"/>
  <c r="BJ55" i="8"/>
  <c r="BK53" i="8" s="1"/>
  <c r="BJ40" i="8" l="1"/>
  <c r="BJ42" i="8" s="1"/>
  <c r="BJ29" i="8"/>
  <c r="BJ30" i="8" s="1"/>
  <c r="BJ31" i="8"/>
  <c r="BJ32" i="8" l="1"/>
  <c r="BK17" i="8"/>
  <c r="BJ36" i="8"/>
  <c r="BJ46" i="8" s="1"/>
  <c r="BJ35" i="8"/>
  <c r="BJ33" i="8"/>
  <c r="BJ45" i="8" l="1"/>
  <c r="BJ39" i="8"/>
  <c r="BJ47" i="8" s="1"/>
  <c r="BK8" i="8"/>
  <c r="BJ34" i="8"/>
  <c r="BK21" i="8"/>
  <c r="BK22" i="8" s="1"/>
  <c r="BK52" i="8" s="1"/>
  <c r="BK54" i="8" l="1"/>
  <c r="BK10" i="8" s="1"/>
  <c r="BK15" i="8" s="1"/>
  <c r="BK40" i="8"/>
  <c r="BK42" i="8" s="1"/>
  <c r="BK55" i="8"/>
  <c r="BL53" i="8" s="1"/>
  <c r="BK28" i="8"/>
  <c r="BK29" i="8" l="1"/>
  <c r="BK30" i="8" s="1"/>
  <c r="BK31" i="8"/>
  <c r="BK32" i="8" l="1"/>
  <c r="BK33" i="8"/>
  <c r="BK45" i="8" l="1"/>
  <c r="BL8" i="8"/>
  <c r="BK34" i="8"/>
  <c r="BL17" i="8"/>
  <c r="BK36" i="8"/>
  <c r="BK46" i="8" s="1"/>
  <c r="BK35" i="8"/>
  <c r="BK39" i="8" s="1"/>
  <c r="BK47" i="8" s="1"/>
  <c r="BL21" i="8" l="1"/>
  <c r="BL22" i="8" s="1"/>
  <c r="BL52" i="8" l="1"/>
  <c r="I17" i="4"/>
  <c r="I21" i="4" s="1"/>
  <c r="E37" i="10" l="1"/>
  <c r="E29" i="1" s="1"/>
  <c r="BL54" i="8"/>
  <c r="BL10" i="8" s="1"/>
  <c r="BL55" i="8"/>
  <c r="BL15" i="8" l="1"/>
  <c r="I22" i="4"/>
  <c r="BL40" i="8"/>
  <c r="I23" i="4" l="1"/>
  <c r="I10" i="1" s="1"/>
  <c r="BL42" i="8"/>
  <c r="I49" i="4" s="1"/>
  <c r="I27" i="4"/>
  <c r="I31" i="4" s="1"/>
  <c r="I13" i="14"/>
  <c r="H39" i="9"/>
  <c r="H42" i="9" s="1"/>
  <c r="E26" i="1" s="1"/>
  <c r="I39" i="9"/>
  <c r="I42" i="9" s="1"/>
  <c r="BL28" i="8"/>
  <c r="BL29" i="8" l="1"/>
  <c r="BL30" i="8" s="1"/>
  <c r="BL31" i="8"/>
  <c r="I11" i="1"/>
  <c r="I35" i="4" l="1"/>
  <c r="BL32" i="8"/>
  <c r="BL33" i="8"/>
  <c r="BL45" i="8" l="1"/>
  <c r="I42" i="4" s="1"/>
  <c r="I36" i="4"/>
  <c r="I9" i="14" s="1"/>
  <c r="BL34" i="8"/>
  <c r="I53" i="4" s="1"/>
  <c r="I13" i="1" s="1"/>
  <c r="I29" i="10"/>
  <c r="I30" i="10"/>
  <c r="BL36" i="8"/>
  <c r="BL35" i="8"/>
  <c r="BL39" i="8" s="1"/>
  <c r="I52" i="4"/>
  <c r="I12" i="1" s="1"/>
  <c r="BL47" i="8" l="1"/>
  <c r="E22" i="1" s="1"/>
  <c r="I36" i="9"/>
  <c r="I37" i="9" s="1"/>
  <c r="E25" i="1" s="1"/>
  <c r="BL46" i="8"/>
  <c r="I48" i="4" s="1"/>
  <c r="I44" i="4"/>
  <c r="I8" i="14"/>
  <c r="E78" i="18" l="1"/>
  <c r="E57" i="1" s="1"/>
  <c r="E32" i="1"/>
  <c r="E42" i="1"/>
  <c r="E17" i="2" l="1"/>
  <c r="E34" i="1"/>
  <c r="E33" i="1"/>
</calcChain>
</file>

<file path=xl/sharedStrings.xml><?xml version="1.0" encoding="utf-8"?>
<sst xmlns="http://schemas.openxmlformats.org/spreadsheetml/2006/main" count="1582" uniqueCount="1075">
  <si>
    <t>Manchester United | Corporate finance &amp; valuation</t>
  </si>
  <si>
    <t>FY2024–26 reported • FY2027–31 scenarios • valuation at 30 September 2026</t>
  </si>
  <si>
    <t>Case selected</t>
  </si>
  <si>
    <t>Financial result</t>
  </si>
  <si>
    <t>Revenue</t>
  </si>
  <si>
    <t>EBITDA before disposal gains</t>
  </si>
  <si>
    <t>Net income</t>
  </si>
  <si>
    <t>Cash after operations / investment</t>
  </si>
  <si>
    <t>Peak revolver usage</t>
  </si>
  <si>
    <t>Maximum cash reserve shortfall</t>
  </si>
  <si>
    <t>PL actual green headroom</t>
  </si>
  <si>
    <t>PL in-season green headroom</t>
  </si>
  <si>
    <t>PL adjusted-equity headroom</t>
  </si>
  <si>
    <t>UEFA SCR headroom (CY2026–30)</t>
  </si>
  <si>
    <t>UEFA earnings (licences 2026/27–30/31)</t>
  </si>
  <si>
    <t>Minimum modelled headroom across the horizon</t>
  </si>
  <si>
    <t>Cash reserve / funding</t>
  </si>
  <si>
    <t>EBITDA covenant</t>
  </si>
  <si>
    <t>PL green cost limit</t>
  </si>
  <si>
    <t>PL working capital</t>
  </si>
  <si>
    <t>PL stressed liquidity</t>
  </si>
  <si>
    <t>PL adjusted equity</t>
  </si>
  <si>
    <t>UEFA squad-cost limit</t>
  </si>
  <si>
    <t>UEFA football earnings</t>
  </si>
  <si>
    <t>UEFA December equity proxy</t>
  </si>
  <si>
    <t>Tightest headroom screen</t>
  </si>
  <si>
    <t>Most restrictive screen</t>
  </si>
  <si>
    <t>Proxy feasibility</t>
  </si>
  <si>
    <t>Refinancing assumption</t>
  </si>
  <si>
    <t>Results are public-data scenario proxies, not an internal budget or certified compliance.</t>
  </si>
  <si>
    <t>FY2032 SSR and full CY2031 UEFA require forecasts beyond this five-year model.</t>
  </si>
  <si>
    <t>Negative cash denotes unmet funding; the model does not assume payments can still settle.</t>
  </si>
  <si>
    <t>Prospective headroom excluding inherited FE</t>
  </si>
  <si>
    <t>Historical FE extra eligible adjustments needed</t>
  </si>
  <si>
    <t>Required historical average adjustment (£m/year)</t>
  </si>
  <si>
    <t>Prospective screen assumes the historical football-earnings return is reconciled separately.</t>
  </si>
  <si>
    <t>Valuation and cash generation • active operating case</t>
  </si>
  <si>
    <t>DCF enterprise value</t>
  </si>
  <si>
    <t>DCF equity value (limited liability)</t>
  </si>
  <si>
    <t>Implied price / diluted economic share, USD</t>
  </si>
  <si>
    <t>Observed Class A price, USD (30 Sep 2026)</t>
  </si>
  <si>
    <t>Applied WACC</t>
  </si>
  <si>
    <t>Terminal FCFF</t>
  </si>
  <si>
    <t>Valuation diagnostic</t>
  </si>
  <si>
    <t>Funding condition</t>
  </si>
  <si>
    <t>Start: Financial review → Assumptions → Statements → FCFF → Valuation → Comps. Monthly accounting and regulatory schedules remain supporting analysis.</t>
  </si>
  <si>
    <t>DCF values are scenario outputs, not a price target or proof of financeability. Reinvestment has no assumed automatic revenue benefit. See Case comparison for contractual repayment and rollover outcomes.</t>
  </si>
  <si>
    <t>Forensic review: source facts checked and selected formulas corrected. Terminal economics and private regulatory inputs remain material exceptions. Read the assurance report.</t>
  </si>
  <si>
    <t>Capacity</t>
  </si>
  <si>
    <t>£m unless stated. Evidence cut-off: 8 October 2026.</t>
  </si>
  <si>
    <t>FY2027 incremental transfer face cost</t>
  </si>
  <si>
    <t>FY2027 incremental annual all-in wages</t>
  </si>
  <si>
    <t>Refinance maturities: 0 no / 1 assumed rollover</t>
  </si>
  <si>
    <t>Squad payroll share override (−1 = scenario)</t>
  </si>
  <si>
    <t>Squad market value override (−1 = scenario)</t>
  </si>
  <si>
    <t>Sale proceeds multiplier</t>
  </si>
  <si>
    <t>Floating-rate shift</t>
  </si>
  <si>
    <t>Live matrix: minimum headroom (£m), all modelled screens</t>
  </si>
  <si>
    <t>Columns = incremental face fees; rows = annual employer cost. FY2027 January start.</t>
  </si>
  <si>
    <t>A non-negative cell passes the modelled proxy screens only. It is not certification.</t>
  </si>
  <si>
    <t>If the zero/zero cell is negative, no incremental package is feasible under these inputs.</t>
  </si>
  <si>
    <t>Base conditional frontier - saved snapshot</t>
  </si>
  <si>
    <t>Conditional: assumed rollover; unresolved historical UEFA earnings screen excluded.</t>
  </si>
  <si>
    <t>Downside conditional frontier - saved snapshot</t>
  </si>
  <si>
    <t>Upside conditional frontier - saved snapshot</t>
  </si>
  <si>
    <t>Assumptions</t>
  </si>
  <si>
    <t>Case number: 1 Base / 2 Downside / 3 Upside</t>
  </si>
  <si>
    <t>Driver / case</t>
  </si>
  <si>
    <t>F/E/A</t>
  </si>
  <si>
    <t>Basis and rationale</t>
  </si>
  <si>
    <t>Ordinary commercial revenue — active</t>
  </si>
  <si>
    <t>A</t>
  </si>
  <si>
    <t>A. Analyst scenario, 8 Oct 2026. Low confidence.</t>
  </si>
  <si>
    <t>Base</t>
  </si>
  <si>
    <t>Downside</t>
  </si>
  <si>
    <t>Upside</t>
  </si>
  <si>
    <t>Domestic and other broadcast — active</t>
  </si>
  <si>
    <t>European broadcast — active</t>
  </si>
  <si>
    <t>Matchday — active</t>
  </si>
  <si>
    <t>Additional CL misses versus opening contract estimate — active</t>
  </si>
  <si>
    <t>A. Changes versus undisclosed opening adidas estimate. £0.8m annual recognition per additional miss. Not the full contractual £10m deduction.</t>
  </si>
  <si>
    <t>Adidas incremental cash deduction — active</t>
  </si>
  <si>
    <t>A. Assumed same-year cash settlement of incremental missed seasons only. Difference from recognised revenue rolls through contract asset.</t>
  </si>
  <si>
    <t>Inherited group payroll before leavers — active</t>
  </si>
  <si>
    <t>A. FY2027 envelope includes known summer transactions. Future retained payroll separately inflates and removes leavers.</t>
  </si>
  <si>
    <t>Retained payroll inflation — active</t>
  </si>
  <si>
    <t>Relevant squad share — active</t>
  </si>
  <si>
    <t>A. Identification range 70–85%; broader sensitivity 65–90%. Includes relevant professionals and coach.</t>
  </si>
  <si>
    <t>Annual inherited payroll savings — active</t>
  </si>
  <si>
    <t>A. Contract exits/replacements independent of new fees. Savings already include sale-related wage exits; never deducted again.</t>
  </si>
  <si>
    <t>Other operating costs — active</t>
  </si>
  <si>
    <t>Annual discretionary transfer face cost — active</t>
  </si>
  <si>
    <t>A decision. FY2027 incremental package controlled on Capacity. No implied actual budget.</t>
  </si>
  <si>
    <t>Recurring wages for each new annual cohort — active</t>
  </si>
  <si>
    <t>A decision. All-in employer cost, incremental to retained payroll. FY2027 package controlled on Capacity.</t>
  </si>
  <si>
    <t>Future net sale face consideration — active</t>
  </si>
  <si>
    <t>Disposed NBV / sale present value — active</t>
  </si>
  <si>
    <t>A. Zero-NBV academy case and loss-on-sale cases supported. NBV capped at available pre-sale assets; cap reported as audit exception.</t>
  </si>
  <si>
    <t>New cohort contract life — active</t>
  </si>
  <si>
    <t>Known mixed acquisition/extension life — active</t>
  </si>
  <si>
    <t>A. £191.731m face consideration discounted using the separate known-event payment vector with 4–5 year life; no unverified rescheduling of opening contracts. Extension-reset sensitivity remains separate.</t>
  </si>
  <si>
    <t>Transfer discount rate — active</t>
  </si>
  <si>
    <t>Acquisition cash at recognition — active</t>
  </si>
  <si>
    <t>Acquisition cash +12 months — active</t>
  </si>
  <si>
    <t>Acquisition cash +24 months — active</t>
  </si>
  <si>
    <t>Acquisition cash +36 months — active</t>
  </si>
  <si>
    <t>Known summer cash at recognition — active</t>
  </si>
  <si>
    <t>Known summer cash +12 months — active</t>
  </si>
  <si>
    <t>Known summer cash +24 months — active</t>
  </si>
  <si>
    <t>Known summer cash +36 months — active</t>
  </si>
  <si>
    <t>Known summer cash +48 months — active</t>
  </si>
  <si>
    <t>Opening annual amortisation before sales — active</t>
  </si>
  <si>
    <t>A except disclosed central FY2027 expectation. Sum must equal opening NBV; annual charges must decline for nonnegative life cohorts. Earlier/later scenarios preserve total NBV.</t>
  </si>
  <si>
    <t>Historical eligible adjustment FY2024–26 — active</t>
  </si>
  <si>
    <t>A. First three columns map FY2024–26; only these columns enter historical football earnings. Not certified deductions.</t>
  </si>
  <si>
    <t>Sale receipt at recognition — active</t>
  </si>
  <si>
    <t>Sale receipt +12 months — active</t>
  </si>
  <si>
    <t>Sale receipt +24 months — active</t>
  </si>
  <si>
    <t>Opening payable bucket settlement month — active</t>
  </si>
  <si>
    <t>A. First bucket month; later buckets +12/24/36/48. Dates remain inside disclosed maturity buckets.</t>
  </si>
  <si>
    <t>Opening receivable bucket settlement month — active</t>
  </si>
  <si>
    <t>A. Non-current receipts allocated equally to years 2–3. Contractual dates unavailable.</t>
  </si>
  <si>
    <t>Ordinary tangible capex — active</t>
  </si>
  <si>
    <t>Tangible depreciation — active</t>
  </si>
  <si>
    <t>Other intangible amortisation — active</t>
  </si>
  <si>
    <t>Other intangible additions/cash — active</t>
  </si>
  <si>
    <t>Contingent acquisition cost/cash — active</t>
  </si>
  <si>
    <t>A. Capitalised on trigger and immediately paid. Downside £121.683m plus known £1.160m exhausts the £122.843m opening maximum; not an expected payment.</t>
  </si>
  <si>
    <t>Management minimum cash — active</t>
  </si>
  <si>
    <t>USD per GBP — active</t>
  </si>
  <si>
    <t>A. Flat FX scenario, not current spot or a forward curve. Opening face translation uses 1.33.</t>
  </si>
  <si>
    <t>SOFR / SONIA flat proxy — active</t>
  </si>
  <si>
    <t>A. Flat reference rates, not observed market curves. Separate ±100bp sensitivity.</t>
  </si>
  <si>
    <t>Term margin — active</t>
  </si>
  <si>
    <t>A. Conservative disclosed margin range 1.25–1.75%.</t>
  </si>
  <si>
    <t>Revolver margin — active</t>
  </si>
  <si>
    <t>A. Unverified borrowing spread; explicit pricing proxy.</t>
  </si>
  <si>
    <t>Minimum tax charge / cash tax — active</t>
  </si>
  <si>
    <t>A. Floor only; Debt cash also applies 25% to positive taxable profit after the modelled loss pool. No cash refunds or deferred-tax recognition.</t>
  </si>
  <si>
    <t>Other operating WC investment — active</t>
  </si>
  <si>
    <t>A. Excludes transfer receivables/payables; positive uses cash and increases other net operating assets.</t>
  </si>
  <si>
    <t>PL/UEFA revenue deductions — active</t>
  </si>
  <si>
    <t>A. Merchandise and other regulatory adjustments; test 0–60. Not a certified return.</t>
  </si>
  <si>
    <t>PL prescribed bonus uplift — active</t>
  </si>
  <si>
    <t>A. Additional prescribed bonus adjustment above actual relevant payroll. Private three-year bonus data unavailable.</t>
  </si>
  <si>
    <t>PL in-season revenue adjustment — active</t>
  </si>
  <si>
    <t>A. Prescribed distribution/gate/commercial conventions represented as explicit delta to adjusted IFRS revenue.</t>
  </si>
  <si>
    <t>PL seven-window gain adjustment — active</t>
  </si>
  <si>
    <t>A. Delta to three-FY annualised transfer result. Exact transaction-window history unavailable.</t>
  </si>
  <si>
    <t>Uncapitalised relevant agent/loan cost — active</t>
  </si>
  <si>
    <t>A. Included within other opex, separately mapped to regulatory numerator; never added to cash twice.</t>
  </si>
  <si>
    <t>Opening regulatory amortisation delta — active</t>
  </si>
  <si>
    <t>A. Contract-vintage/regulatory perimeter delta; zero assumes IFRS runoff is eligible.</t>
  </si>
  <si>
    <t>PL prescribed squad-value proxy — active</t>
  </si>
  <si>
    <t>A. Not a provider valuation. Independent sensitivity 300–1,100.</t>
  </si>
  <si>
    <t>Accessible undrawn RCF eligible fraction — active</t>
  </si>
  <si>
    <t>A. Covenant and 28-day eligibility proxy. Drawn cash excluded from undrawn facility.</t>
  </si>
  <si>
    <t>SSR prescribed T/T+1 cash-flow uplift — active</t>
  </si>
  <si>
    <t>A. Delta to business cash-flow forecast for prescribed revenue assumptions. Not a football prediction.</t>
  </si>
  <si>
    <t>SSR monetary threshold index growth — active</t>
  </si>
  <si>
    <t>A. Central-distribution index proxy. Negative growth must not reduce indexed limits.</t>
  </si>
  <si>
    <t>UEFA eligible football-earnings deductions — active</t>
  </si>
  <si>
    <t>A. Cost/perimeter adjustment proxy, including applicable long-term football costs and noncash/FX adjustments. No certified eligibility.</t>
  </si>
  <si>
    <t>GBP per EUR — active</t>
  </si>
  <si>
    <t>A. Flat conversion assumption.</t>
  </si>
  <si>
    <t>Qualifying contribution in monitored year — active</t>
  </si>
  <si>
    <t>A. No future owner contributions. Historical contribution qualification separately assumed, capped at €55m uplift.</t>
  </si>
  <si>
    <t>UEFA cost-control applicability — active</t>
  </si>
  <si>
    <t>A policy. Downside no European participation from FY2028. Show shadow ratios even when test switched off; licensing/solvency still shown.</t>
  </si>
  <si>
    <t>Corporate cash-tax rate</t>
  </si>
  <si>
    <t>UK statutory rate is F (25%). Applying it to consolidated monthly profits is A; jurisdictional tax return unavailable.</t>
  </si>
  <si>
    <t>Opening available tax losses</t>
  </si>
  <si>
    <t>No assumed use of pre-model tax losses or automatic monetisation of deferred tax assets. Monthly carry-forward only; no carry-back.</t>
  </si>
  <si>
    <t>Legacy tax provision cash settlement</t>
  </si>
  <si>
    <t>A timing: FY2026 current uncertain-tax provision £7.562m is F, A26 note26. Assumed June2027 settlement, no new expense.</t>
  </si>
  <si>
    <t>Statements</t>
  </si>
  <si>
    <t>Fiscal year</t>
  </si>
  <si>
    <t>Employee costs</t>
  </si>
  <si>
    <t>Other operating costs</t>
  </si>
  <si>
    <t>Registration amortisation</t>
  </si>
  <si>
    <t>Tangible depreciation</t>
  </si>
  <si>
    <t>Other intangible amortisation</t>
  </si>
  <si>
    <t>Disposal gain / loss</t>
  </si>
  <si>
    <t>Operating profit</t>
  </si>
  <si>
    <t>Accrued financial interest expense</t>
  </si>
  <si>
    <t>Transfer net discount unwind</t>
  </si>
  <si>
    <t>Debt FX loss / gain</t>
  </si>
  <si>
    <t>Debt cost amortisation</t>
  </si>
  <si>
    <t>Profit before tax</t>
  </si>
  <si>
    <t>Tax</t>
  </si>
  <si>
    <t>Cash from operations before interest/tax</t>
  </si>
  <si>
    <t>Operating cash after interest/tax</t>
  </si>
  <si>
    <t>Acquisition cash</t>
  </si>
  <si>
    <t>Disposal receipts</t>
  </si>
  <si>
    <t>Tangible and other intangible capex</t>
  </si>
  <si>
    <t>Cash after operating and investing</t>
  </si>
  <si>
    <t>Lease principal</t>
  </si>
  <si>
    <t>Mandatory debt repayment</t>
  </si>
  <si>
    <t>Assumed refinancing</t>
  </si>
  <si>
    <t>Net revolver draw / (repayment)</t>
  </si>
  <si>
    <t>Closing cash</t>
  </si>
  <si>
    <t>Registration NBV</t>
  </si>
  <si>
    <t>Transfer receivables</t>
  </si>
  <si>
    <t>Other assets</t>
  </si>
  <si>
    <t>Total assets</t>
  </si>
  <si>
    <t>Borrowings</t>
  </si>
  <si>
    <t>Transfer payables</t>
  </si>
  <si>
    <t>Lease liabilities</t>
  </si>
  <si>
    <t>Other liabilities</t>
  </si>
  <si>
    <t>Total liabilities</t>
  </si>
  <si>
    <t>Equity</t>
  </si>
  <si>
    <t>Peak RCF</t>
  </si>
  <si>
    <t>Minimum covenant headroom</t>
  </si>
  <si>
    <t>Revenue costs</t>
  </si>
  <si>
    <t>Month</t>
  </si>
  <si>
    <t>Ordinary commercial revenue</t>
  </si>
  <si>
    <t>Adidas recognition reduction</t>
  </si>
  <si>
    <t>Commercial revenue</t>
  </si>
  <si>
    <t>Domestic/other broadcasting</t>
  </si>
  <si>
    <t>European broadcasting</t>
  </si>
  <si>
    <t>Matchday</t>
  </si>
  <si>
    <t>Total revenue</t>
  </si>
  <si>
    <t>Inherited group payroll</t>
  </si>
  <si>
    <t>Relevant retained squad payroll</t>
  </si>
  <si>
    <t>New cohort all-in payroll</t>
  </si>
  <si>
    <t>Total employee cost</t>
  </si>
  <si>
    <t>Relevant actual squad payroll</t>
  </si>
  <si>
    <t>Other amortisation</t>
  </si>
  <si>
    <t>Ordinary tangible capex</t>
  </si>
  <si>
    <t>Other intangible cash capex</t>
  </si>
  <si>
    <t>Minimum tax charge / cash tax</t>
  </si>
  <si>
    <t>Other operating WC investment</t>
  </si>
  <si>
    <t>Adidas cash versus revenue adjustment</t>
  </si>
  <si>
    <t>Registrations</t>
  </si>
  <si>
    <t>Opening remaining life 1 years</t>
  </si>
  <si>
    <t>Opening NBV</t>
  </si>
  <si>
    <t>Additions</t>
  </si>
  <si>
    <t>Amortisation</t>
  </si>
  <si>
    <t>Pre-sale NBV</t>
  </si>
  <si>
    <t>Allocated disposal NBV</t>
  </si>
  <si>
    <t>Closing NBV</t>
  </si>
  <si>
    <t>Opening remaining life 2 years</t>
  </si>
  <si>
    <t>Opening remaining life 3 years</t>
  </si>
  <si>
    <t>Opening remaining life 4 years</t>
  </si>
  <si>
    <t>Opening remaining life 5 years</t>
  </si>
  <si>
    <t>Known summer additions / extensions</t>
  </si>
  <si>
    <t>FY2027 new investment</t>
  </si>
  <si>
    <t>FY2028 new investment</t>
  </si>
  <si>
    <t>FY2029 new investment</t>
  </si>
  <si>
    <t>FY2030 new investment</t>
  </si>
  <si>
    <t>FY2031 new investment</t>
  </si>
  <si>
    <t>Total registration amortisation</t>
  </si>
  <si>
    <t>Total registration additions</t>
  </si>
  <si>
    <t>Total pre-sale NBV</t>
  </si>
  <si>
    <t>Total closing registration NBV</t>
  </si>
  <si>
    <t>Transfers</t>
  </si>
  <si>
    <t>Discretionary acquisition face consideration</t>
  </si>
  <si>
    <t>Acquisition PV factor</t>
  </si>
  <si>
    <t>Discretionary capitalised cost</t>
  </si>
  <si>
    <t>Known subsequent event capitalised cost</t>
  </si>
  <si>
    <t>Contingent triggered additions</t>
  </si>
  <si>
    <t>New acquisition cash</t>
  </si>
  <si>
    <t>Opening payable settlement cash</t>
  </si>
  <si>
    <t>Total registration cash paid</t>
  </si>
  <si>
    <t>Future sale face consideration</t>
  </si>
  <si>
    <t>Sale PV factor</t>
  </si>
  <si>
    <t>Future sale PV</t>
  </si>
  <si>
    <t>Known sales / prior sale proceeds PV</t>
  </si>
  <si>
    <t>Total sale consideration recognised</t>
  </si>
  <si>
    <t>Requested disposed NBV</t>
  </si>
  <si>
    <t>Recognised disposed NBV</t>
  </si>
  <si>
    <t>New sale cash receipts</t>
  </si>
  <si>
    <t>Opening receivable cash receipts</t>
  </si>
  <si>
    <t>Total sale cash receipts</t>
  </si>
  <si>
    <t>Opening transfer payables</t>
  </si>
  <si>
    <t>Payable discount unwind</t>
  </si>
  <si>
    <t>Closing transfer payables</t>
  </si>
  <si>
    <t>Opening transfer receivables</t>
  </si>
  <si>
    <t>Receivable discount unwind</t>
  </si>
  <si>
    <t>Closing transfer receivables</t>
  </si>
  <si>
    <t>Unfulfilled requested sale NBV</t>
  </si>
  <si>
    <t>Debt cash</t>
  </si>
  <si>
    <t>Opening cash</t>
  </si>
  <si>
    <t>Operating cash before interest/tax</t>
  </si>
  <si>
    <t>Cash tax</t>
  </si>
  <si>
    <t>Transfer acquisition payments</t>
  </si>
  <si>
    <t>Transfer disposal receipts</t>
  </si>
  <si>
    <t>Tangible / other intangible cash capex</t>
  </si>
  <si>
    <t>Cash flow before financing interest</t>
  </si>
  <si>
    <t>Opening RCF</t>
  </si>
  <si>
    <t>Notes + term principal in GBP</t>
  </si>
  <si>
    <t>Debt FX loss / (gain)</t>
  </si>
  <si>
    <t>Term and notes cash interest</t>
  </si>
  <si>
    <t>RCF interest on opening drawn balance</t>
  </si>
  <si>
    <t>Total cash interest</t>
  </si>
  <si>
    <t>Borrowing cost amortisation</t>
  </si>
  <si>
    <t>Carrying debt adjustment</t>
  </si>
  <si>
    <t>Mandatory principal repayments</t>
  </si>
  <si>
    <t>Assumed refinancing proceeds</t>
  </si>
  <si>
    <t>RCF facility limit</t>
  </si>
  <si>
    <t>Pre-discretionary-funding cash</t>
  </si>
  <si>
    <t>Required additional RCF draw</t>
  </si>
  <si>
    <t>RCF draw funded</t>
  </si>
  <si>
    <t>RCF repayment from surplus</t>
  </si>
  <si>
    <t>Closing RCF</t>
  </si>
  <si>
    <t>Cash reserve shortfall</t>
  </si>
  <si>
    <t>Undrawn accessible RCF</t>
  </si>
  <si>
    <t>Total debt carrying amount</t>
  </si>
  <si>
    <t>Annual rolling EBITDA proxy</t>
  </si>
  <si>
    <t>Covenant headroom versus £125m</t>
  </si>
  <si>
    <t>Cash + available funds</t>
  </si>
  <si>
    <t>Net profit / loss</t>
  </si>
  <si>
    <t>Closing lease liability</t>
  </si>
  <si>
    <t>Closing equity</t>
  </si>
  <si>
    <t>Closing other assets</t>
  </si>
  <si>
    <t>Other liabilities excluding debt/transfers/leases</t>
  </si>
  <si>
    <t>Cash available after management reserve</t>
  </si>
  <si>
    <t>Notes interest expense accrued monthly</t>
  </si>
  <si>
    <t>Notes cash coupon June / December</t>
  </si>
  <si>
    <t>Incremental notes interest accrual liability</t>
  </si>
  <si>
    <t>Disclosed net revolver funding movements</t>
  </si>
  <si>
    <t>Opening model tax-loss pool</t>
  </si>
  <si>
    <t>Taxable positive profit</t>
  </si>
  <si>
    <t>Closing model tax-loss pool</t>
  </si>
  <si>
    <t>Legacy tax-provision settlement</t>
  </si>
  <si>
    <t>Opening interest paid (A: July)</t>
  </si>
  <si>
    <t>PL bridge</t>
  </si>
  <si>
    <t>Season ending June</t>
  </si>
  <si>
    <t>IFRS revenue</t>
  </si>
  <si>
    <t>Regulatory revenue deductions (A)</t>
  </si>
  <si>
    <t>Eligible revenue proxy</t>
  </si>
  <si>
    <t>Three-year average disposal result</t>
  </si>
  <si>
    <t>Year-end denominator proxy</t>
  </si>
  <si>
    <t>Relevant payroll proxy (A)</t>
  </si>
  <si>
    <t>Registration amortisation + regulatory delta</t>
  </si>
  <si>
    <t>Other relevant agents / loans</t>
  </si>
  <si>
    <t>Year-end numerator proxy</t>
  </si>
  <si>
    <t>Year-end SCR proxy</t>
  </si>
  <si>
    <t>85% green headroom</t>
  </si>
  <si>
    <t>Prescribed revenue adjustment (A)</t>
  </si>
  <si>
    <t>Seven-window annual gain adjustment (A)</t>
  </si>
  <si>
    <t>In-season denominator proxy</t>
  </si>
  <si>
    <t>Prescribed bonus uplift (A)</t>
  </si>
  <si>
    <t>In-season numerator proxy</t>
  </si>
  <si>
    <t>In-season SCR</t>
  </si>
  <si>
    <t>85% in-season headroom</t>
  </si>
  <si>
    <t>Opening overspend allowance (pp)</t>
  </si>
  <si>
    <t>Red threshold</t>
  </si>
  <si>
    <t>In-season red threshold headroom</t>
  </si>
  <si>
    <t>Allowance used (pp)</t>
  </si>
  <si>
    <t>Closing allowance (pp)</t>
  </si>
  <si>
    <t>Levy exposure before relief (screen only)</t>
  </si>
  <si>
    <t>SSR indexed monthly minimum</t>
  </si>
  <si>
    <t>Minimum monthly eligible liquidity</t>
  </si>
  <si>
    <t>Working-capital headroom</t>
  </si>
  <si>
    <t>SSR prescribed squad-value proxy</t>
  </si>
  <si>
    <t>T/T+1 business cash flow before borrowing</t>
  </si>
  <si>
    <t>Prescribed cash-flow adjustment (A)</t>
  </si>
  <si>
    <t>Indexed liquidity stress</t>
  </si>
  <si>
    <t>SSR liquidity proxy headroom</t>
  </si>
  <si>
    <t>Assets: preceding reference period</t>
  </si>
  <si>
    <t>Excess prescribed value over registration NBV</t>
  </si>
  <si>
    <t>Adjusted assets</t>
  </si>
  <si>
    <t>Liabilities: preceding reference period</t>
  </si>
  <si>
    <t>Liabilities / adjusted assets</t>
  </si>
  <si>
    <t>Adjusted-equity ceiling</t>
  </si>
  <si>
    <t>Adjusted-equity headroom</t>
  </si>
  <si>
    <t>Post-horizon liquidity coverage</t>
  </si>
  <si>
    <t>T and T+1</t>
  </si>
  <si>
    <t>FY2032 not modelled</t>
  </si>
  <si>
    <t>UEFA bridge</t>
  </si>
  <si>
    <t>Calendar-year SCR / licensing season</t>
  </si>
  <si>
    <t>Calendar IFRS revenue</t>
  </si>
  <si>
    <t>Regulatory revenue deduction proxy</t>
  </si>
  <si>
    <t>Relevant calendar employment</t>
  </si>
  <si>
    <t>Calendar registration amortisation</t>
  </si>
  <si>
    <t>Other relevant numerator cost</t>
  </si>
  <si>
    <t>Calendar numerator proxy</t>
  </si>
  <si>
    <t>Calendar disposal result</t>
  </si>
  <si>
    <t>Three-calendar-year annualised disposal result</t>
  </si>
  <si>
    <t>Calendar denominator proxy</t>
  </si>
  <si>
    <t>UEFA squad-cost ratio</t>
  </si>
  <si>
    <t>70% headroom (shadow if inactive)</t>
  </si>
  <si>
    <t>Cost-control applicability 1/0</t>
  </si>
  <si>
    <t>FY ending before licensing season</t>
  </si>
  <si>
    <t>Three-year accounting PBT</t>
  </si>
  <si>
    <t>Football-earnings deductions / adjustments</t>
  </si>
  <si>
    <t>Three-year football earnings proxy</t>
  </si>
  <si>
    <t>Qualifying contributions proxy</t>
  </si>
  <si>
    <t>Acceptable deviation in GBP</t>
  </si>
  <si>
    <t>Football-earnings headroom</t>
  </si>
  <si>
    <t>Minimum monthly cash reserve headroom</t>
  </si>
  <si>
    <t>Solvency exposure / potential missed payments</t>
  </si>
  <si>
    <t>Equity: preceding 31 December</t>
  </si>
  <si>
    <t>Net-equity proxy shortfall</t>
  </si>
  <si>
    <t>Equity headroom: 10% alternative</t>
  </si>
  <si>
    <t>Final half-year SCR coverage</t>
  </si>
  <si>
    <t>Covered</t>
  </si>
  <si>
    <t>CY2031 needs Jul–Dec 2031</t>
  </si>
  <si>
    <t>FY2029–31 football-earnings headroom (next licence)</t>
  </si>
  <si>
    <t>Jan–Jun 2031 annualised SCR headroom (A tail)</t>
  </si>
  <si>
    <t>Case comparison</t>
  </si>
  <si>
    <t>Forensic recalculation 12 October2026; zero incremental package</t>
  </si>
  <si>
    <t>Minimum headroom (£m)</t>
  </si>
  <si>
    <t>Base / repayment</t>
  </si>
  <si>
    <t>Base / rollover A</t>
  </si>
  <si>
    <t>Downside / repayment</t>
  </si>
  <si>
    <t>Downside / rollover A</t>
  </si>
  <si>
    <t>Upside / repayment</t>
  </si>
  <si>
    <t>Upside / rollover A</t>
  </si>
  <si>
    <t>UEFA net equity proxy</t>
  </si>
  <si>
    <t>Saved snapshots. Inputs changed after build do not refresh these cells. See ReadMe.</t>
  </si>
  <si>
    <t>Prospective headroom; inherited FE excluded</t>
  </si>
  <si>
    <t>Base with assumed refinancing: independent sensitivities</t>
  </si>
  <si>
    <t>Sensitivity</t>
  </si>
  <si>
    <t>Prospective minimum</t>
  </si>
  <si>
    <t>Cash / funding</t>
  </si>
  <si>
    <t>PL equity</t>
  </si>
  <si>
    <t>UEFA SCR</t>
  </si>
  <si>
    <t>UEFA FE</t>
  </si>
  <si>
    <t>Payroll share 65%</t>
  </si>
  <si>
    <t>Payroll share 90%</t>
  </si>
  <si>
    <t>Squad value 300</t>
  </si>
  <si>
    <t>Squad value 1100</t>
  </si>
  <si>
    <t>No future sales</t>
  </si>
  <si>
    <t>Sales 1.5x</t>
  </si>
  <si>
    <t>Rates +100bp</t>
  </si>
  <si>
    <t>Rates -100bp</t>
  </si>
  <si>
    <t>FY2031 revenue</t>
  </si>
  <si>
    <t>FY2031 EBITDA</t>
  </si>
  <si>
    <t>Cumulative full-year FCFF</t>
  </si>
  <si>
    <t>DCF equity floor</t>
  </si>
  <si>
    <t>DCF USD per diluted share</t>
  </si>
  <si>
    <t>Valuation condition</t>
  </si>
  <si>
    <t>No positive DCF residual equity</t>
  </si>
  <si>
    <t>Unsustainable terminal cash flow</t>
  </si>
  <si>
    <t>Positive DCF residual equity</t>
  </si>
  <si>
    <t>Historical</t>
  </si>
  <si>
    <t>Reported item</t>
  </si>
  <si>
    <t>Commercial</t>
  </si>
  <si>
    <t>F • A26 n4</t>
  </si>
  <si>
    <t>— sponsorship</t>
  </si>
  <si>
    <t>— retail, merchandising, apparel and licensing</t>
  </si>
  <si>
    <t>Broadcasting</t>
  </si>
  <si>
    <t>— domestic</t>
  </si>
  <si>
    <t>— European</t>
  </si>
  <si>
    <t>— other</t>
  </si>
  <si>
    <t>F • A26 F6</t>
  </si>
  <si>
    <t>Ordinary employee costs</t>
  </si>
  <si>
    <t>F • A26 n5/7</t>
  </si>
  <si>
    <t>Other operating expenses</t>
  </si>
  <si>
    <t>F • A26 n5</t>
  </si>
  <si>
    <t>Depreciation</t>
  </si>
  <si>
    <t>D(F): component sums/differences; see independent verification register</t>
  </si>
  <si>
    <t>Total intangible amortisation</t>
  </si>
  <si>
    <t>Exceptional expenses</t>
  </si>
  <si>
    <t>Total operating expenses</t>
  </si>
  <si>
    <t>Intangible disposal / loan income</t>
  </si>
  <si>
    <t>F • A26 n8</t>
  </si>
  <si>
    <t>Operating profit / (loss)</t>
  </si>
  <si>
    <t>Adjusted EBITDA</t>
  </si>
  <si>
    <t>F reported adjusted EBITDA; D(F) reconciliation: revenue minus ordinary employee costs and other opex</t>
  </si>
  <si>
    <t>Finance costs</t>
  </si>
  <si>
    <t>Finance income</t>
  </si>
  <si>
    <t>Net finance expense</t>
  </si>
  <si>
    <t>D(F): finance costs less finance income</t>
  </si>
  <si>
    <t>Profit / (loss) before tax</t>
  </si>
  <si>
    <t>Tax credit</t>
  </si>
  <si>
    <t>Net profit / (loss)</t>
  </si>
  <si>
    <t>Wages, salaries and bonuses</t>
  </si>
  <si>
    <t>F • A26 n7</t>
  </si>
  <si>
    <t>Social security</t>
  </si>
  <si>
    <t>Share-based compensation</t>
  </si>
  <si>
    <t>Pensions</t>
  </si>
  <si>
    <t>Termination costs classified exceptional</t>
  </si>
  <si>
    <t>Total employment cost including termination</t>
  </si>
  <si>
    <t>Cash generated from operations</t>
  </si>
  <si>
    <t>F • A26 F11</t>
  </si>
  <si>
    <t>Cash interest paid</t>
  </si>
  <si>
    <t>Cash interest received</t>
  </si>
  <si>
    <t>Tax cash flow: receipt / (payment)</t>
  </si>
  <si>
    <t>Operating cash flow</t>
  </si>
  <si>
    <t>PPE cash expenditure</t>
  </si>
  <si>
    <t>Intangible cash expenditure</t>
  </si>
  <si>
    <t>Intangible cash receipts</t>
  </si>
  <si>
    <t>Net intangible cash expenditure</t>
  </si>
  <si>
    <t>Investing cash flow</t>
  </si>
  <si>
    <t>Operating plus investing cash flow</t>
  </si>
  <si>
    <t>RCF drawdowns</t>
  </si>
  <si>
    <t>RCF repayments</t>
  </si>
  <si>
    <t>New notes proceeds</t>
  </si>
  <si>
    <t>Old notes redemption</t>
  </si>
  <si>
    <t>Equity proceeds</t>
  </si>
  <si>
    <t>Lease principal payments</t>
  </si>
  <si>
    <t>Debt issuance costs</t>
  </si>
  <si>
    <t>Financing cash flow</t>
  </si>
  <si>
    <t>Currency effect on cash</t>
  </si>
  <si>
    <t>Opening registration NBV</t>
  </si>
  <si>
    <t>F • A25/A26 n16</t>
  </si>
  <si>
    <t>Registration additions</t>
  </si>
  <si>
    <t>NBV of registrations disposed</t>
  </si>
  <si>
    <t>Closing registration NBV</t>
  </si>
  <si>
    <t>Other intangible additions</t>
  </si>
  <si>
    <t>Pure registration disposal gain</t>
  </si>
  <si>
    <t>Loan income in disposal line</t>
  </si>
  <si>
    <t>Transfer payables total</t>
  </si>
  <si>
    <t>F • A25/A26 n24</t>
  </si>
  <si>
    <t>Transfer payables due within one year</t>
  </si>
  <si>
    <t>Transfer payables due in years 1–2</t>
  </si>
  <si>
    <t>Transfer payables due in years 2–5</t>
  </si>
  <si>
    <t>Transfer receivables total, net</t>
  </si>
  <si>
    <t>F • A25/A26 n19</t>
  </si>
  <si>
    <t>Transfer receivables within one year</t>
  </si>
  <si>
    <t>Transfer receivables beyond one year</t>
  </si>
  <si>
    <t>Net transfer payable</t>
  </si>
  <si>
    <t>Borrowings carrying amount</t>
  </si>
  <si>
    <t>F • A25/A26 n25</t>
  </si>
  <si>
    <t>Cash</t>
  </si>
  <si>
    <t>F</t>
  </si>
  <si>
    <t>Borrowings less cash</t>
  </si>
  <si>
    <t>F • balance sheets</t>
  </si>
  <si>
    <t>Total equity</t>
  </si>
  <si>
    <t>Current assets</t>
  </si>
  <si>
    <t>Current liabilities</t>
  </si>
  <si>
    <t>F / FY2024 derived</t>
  </si>
  <si>
    <t>Deferred revenue</t>
  </si>
  <si>
    <t>F: A26 note4.2 contract liabilities; FY2024 A25 note4.2</t>
  </si>
  <si>
    <t>Subsequent events and model reference facts</t>
  </si>
  <si>
    <t>Known acquisition / extension face consideration</t>
  </si>
  <si>
    <t>F. A26 note 33. Effective-date and contract allocation remain A.</t>
  </si>
  <si>
    <t>Additional consideration on prior acquisitions</t>
  </si>
  <si>
    <t>F. A26 note 33. Assumed capitalised and paid immediately in September (A).</t>
  </si>
  <si>
    <t>Known subsequent disposal proceeds</t>
  </si>
  <si>
    <t>F. A26 note 33. Net consideration.</t>
  </si>
  <si>
    <t>Known subsequent disposed NBV</t>
  </si>
  <si>
    <t>F. A26 note 33.</t>
  </si>
  <si>
    <t>Further proceeds associated with prior disposals</t>
  </si>
  <si>
    <t>F amount. A: additional recognised gain and immediate receipt in September.</t>
  </si>
  <si>
    <t>Senior secured notes principal, USD m</t>
  </si>
  <si>
    <t>F. A26 debt disclosures.</t>
  </si>
  <si>
    <t>Term loan principal, USD m</t>
  </si>
  <si>
    <t>Notes coupon</t>
  </si>
  <si>
    <t>F. A26 debt disclosures. June / December cash coupons.</t>
  </si>
  <si>
    <t>RCF drawn at June 2026</t>
  </si>
  <si>
    <t>Additional RCF draws in July 2026</t>
  </si>
  <si>
    <t>F. A26 subsequent events.</t>
  </si>
  <si>
    <t>Net August / September RCF funding</t>
  </si>
  <si>
    <t>F. August draw 20; September repayment 30.</t>
  </si>
  <si>
    <t>Opening registration expected FY2027 charge</t>
  </si>
  <si>
    <t>F: disclosed approximate expectation before subsequent events.</t>
  </si>
  <si>
    <t>Gross USD notes and term debt, GBP</t>
  </si>
  <si>
    <t>D(F): A26 n25: 408.942+5.454+168.612+.918</t>
  </si>
  <si>
    <t>Unamortised notes and term issue costs</t>
  </si>
  <si>
    <t>D(F): A26 n25: 5.454+.918</t>
  </si>
  <si>
    <t>Opening accrued borrowing interest</t>
  </si>
  <si>
    <t>F: A26 n25, F44</t>
  </si>
  <si>
    <t>Net equity at 31 December 2025</t>
  </si>
  <si>
    <t>F: Q26 financial position, printed p14</t>
  </si>
  <si>
    <t>Net equity at 31 December 2024</t>
  </si>
  <si>
    <t>F: Q26 financial position, comparative p14</t>
  </si>
  <si>
    <t>Jan–Jun 2026 revenue</t>
  </si>
  <si>
    <t>D(F): A26 n4 less Q26 six months330.652</t>
  </si>
  <si>
    <t>Jan–Jun 2026 ordinary employee costs</t>
  </si>
  <si>
    <t>D(F): A26 n5 less Q26 n7 six months148.727; excludes termination</t>
  </si>
  <si>
    <t>Jan–Jun 2026 registration amortisation</t>
  </si>
  <si>
    <t>D(F): A26 n16 less Q26 n17 six months107.013</t>
  </si>
  <si>
    <t>Jan–Jun 2026 disposal gain</t>
  </si>
  <si>
    <t>D(F): A26 n8 46.881 less Q26 n9 48.220</t>
  </si>
  <si>
    <t>Calendar 2024 disposal gain</t>
  </si>
  <si>
    <t>D(F): 36.516-29.880+36.391; A24/Q25 n9</t>
  </si>
  <si>
    <t>Calendar 2025 disposal gain</t>
  </si>
  <si>
    <t>D(F): 48.742-36.391+48.220; A25/Q25/Q26</t>
  </si>
  <si>
    <t>Rules sources</t>
  </si>
  <si>
    <t>Rule / source ID</t>
  </si>
  <si>
    <t>Definition</t>
  </si>
  <si>
    <t>Treatment</t>
  </si>
  <si>
    <t>A26</t>
  </si>
  <si>
    <t>[FY2026 Form 20-F](https://ir.manutd.com/~/media/Files/M/Manutd-IR/documents/2026-mu-plc-form-20-f.pdf)</t>
  </si>
  <si>
    <t>Statements F6–F11; notes 4–8, 16, 19, 24–27, 31 and 33; FY2024–FY2026 comparatives</t>
  </si>
  <si>
    <t>A24</t>
  </si>
  <si>
    <t>[FY2024 Form 20-F](https://ir.manutd.com/~/media/Files/M/Manutd-IR/documents/manchester-united-form-20f.pdf)</t>
  </si>
  <si>
    <t>FY2023 opening transfer balances, notes 19 and 24</t>
  </si>
  <si>
    <t>Q25</t>
  </si>
  <si>
    <t>[FY2025 second-quarter interim](https://ir.manutd.com/~/media/Files/M/Manutd-IR/Governance%20Document/manchester-united-plc-2q25-interim-report.pdf)</t>
  </si>
  <si>
    <t>July–December 2023 boundary for calendar 2024</t>
  </si>
  <si>
    <t>A25</t>
  </si>
  <si>
    <t>[FY2025 Form 20-F](https://ir.manutd.com/~/media/Files/M/Manutd-IR/documents/2025-mu-plc-form-20-f.pdf)</t>
  </si>
  <si>
    <t>FY2024 registration roll and opening comparative transfer balances; notes 16, 19 and 24</t>
  </si>
  <si>
    <t>Q26</t>
  </si>
  <si>
    <t>[FY2026 second-quarter interim report](https://ir.manutd.com/~/media/Files/M/Manutd-IR/Governance%20Document/2q-2026-interim-report.pdf)</t>
  </si>
  <si>
    <t>Six-month data through December 2025; unaudited calendar-year bridge</t>
  </si>
  <si>
    <t>R26</t>
  </si>
  <si>
    <t>[FY2026 results release, 23 September 2026](https://www.sec.gov/Archives/edgar/data/1549107/000110465926109806/tm2625945d1_ex99-1.htm)</t>
  </si>
  <si>
    <t>FY2027 guidance and cash-flow commentary</t>
  </si>
  <si>
    <t>PL26</t>
  </si>
  <si>
    <t>[Premier League 2026/27 Handbook, SEC-filed exhibit](https://www.sec.gov/Archives/edgar/data/1549107/000110465926110384/manu-20260630xex4d14.htm)</t>
  </si>
  <si>
    <t>Appendix 2 SCR and Appendix 3 SSR; operative definitions, rather than announcement shorthand</t>
  </si>
  <si>
    <t>PLX</t>
  </si>
  <si>
    <t>[Premier League explanation, 21 July 2026](https://www.premierleague.com/en/news/4467022/)</t>
  </si>
  <si>
    <t>Implementation overview; handbook controls where detail differs</t>
  </si>
  <si>
    <t>U26</t>
  </si>
  <si>
    <t>[UEFA Club Licensing and Financial Sustainability Regulations, 2026](https://documents.uefa.com/r/UEFA-Club-Licensing-and-Financial-Sustainability-Regulations-2026/Article-93-Calculation-of-squad-cost-ratio-Online)</t>
  </si>
  <si>
    <t>Article-specific links appear in the UEFA register</t>
  </si>
  <si>
    <t>PL-01 • Appendix 2, definitions and operation</t>
  </si>
  <si>
    <t>SCR applies from 2026/27; legacy PSR remains relevant through 2025/26</t>
  </si>
  <si>
    <t>Keep a closed historical PSR schedule if analysing legacy exposure; do not apply £105m as the new annual budget</t>
  </si>
  <si>
    <t>PL-02 • App 2 A.1.22; A.1.9</t>
  </si>
  <si>
    <t>In-season costs include relevant contracted men's players/Manager remuneration, registration amortisation, impairment, agents and loan costs; actual test substitutes actual inputs</t>
  </si>
  <si>
    <t>Map payroll components individually; do not substitute all group payroll or assume youth professionals excluded</t>
  </si>
  <si>
    <t>PL-03 • A.1.22 and accompanying guidance</t>
  </si>
  <si>
    <t>New-contract regulatory amortisation maximum five years; contracts executed before 12 December 2023 may retain initial longer period</t>
  </si>
  <si>
    <t>Maintain accounting-versus-regulatory and contract-vintage bridge; do not reduce new-contract regulatory cost with a six-to-eight-year contract</t>
  </si>
  <si>
    <t>PL-04 • A.1.22 bonus provisions</t>
  </si>
  <si>
    <t>In-season bonuses use prescribed historical bonus-to-base-pay calculation</t>
  </si>
  <si>
    <t>Need prior three-year bonus and base-pay data; unavailable publicly. A flat guessed percentage cannot be called verified compliance</t>
  </si>
  <si>
    <t>PL-05 • A.1.19; A.1.29</t>
  </si>
  <si>
    <t>Relevant revenue differs from reported revenue; merchandise adjustment and prescribed in-season revenue assumptions apply</t>
  </si>
  <si>
    <t>Separate IFRS revenue forecast, estimated regulatory revenue and actual regulatory revenue</t>
  </si>
  <si>
    <t>PL-06 • A.1.29</t>
  </si>
  <si>
    <t>Domestic distributions, facilities, commercial and matchday inputs use specified prior-year/average/minimum conventions</t>
  </si>
  <si>
    <t>For example domestic finish input uses highest of prior finish, three-year mean and 15th; facility input uses highest of prior, mean and 15 games. Board estimates and competition-specific inputs remain required</t>
  </si>
  <si>
    <t>PL-07 • A.1.13, A.1.53</t>
  </si>
  <si>
    <t>In-season annualised transfer amount uses a defined seven-window boundary and division by three</t>
  </si>
  <si>
    <t>It is not simply the latest June-year disposal profit. Summer 2025's two windows count as one; retain transaction dates</t>
  </si>
  <si>
    <t>PL-08 • A.1.6(e)</t>
  </si>
  <si>
    <t>Actual year-end transfer result averages T, T−1 and T−2</t>
  </si>
  <si>
    <t>Sale gain cannot all be spent again as annual recurring headroom. FY2024 loan income is separately identifiable</t>
  </si>
  <si>
    <t>PL-09 • A.1.29(g)</t>
  </si>
  <si>
    <t>Loan receipts offset specified wages, then amortisation, then agent costs before surplus treatment</t>
  </si>
  <si>
    <t>Prevent double counting receipt as both revenue and cost reduction</t>
  </si>
  <si>
    <t>PL-10 • Threshold / allowance provisions</t>
  </si>
  <si>
    <t>Green threshold 85%; initial allowance 30 percentage points gives initial red threshold 115%</t>
  </si>
  <si>
    <t>Red is 85% + 30pp, not 85% × 1.30. Treat 85% as the sustainable operating target; allowance is not recurring funding</t>
  </si>
  <si>
    <t>PL-11 • Allowance and transition provisions</t>
  </si>
  <si>
    <t>Overspending reduces allowance; compliant operation can restore 10pp up to 30pp; no FY2025/26 feedback</t>
  </si>
  <si>
    <t>Corrected: lower of in-season overspend/actual revenue and rounded accounts overspend; nearest whole percentage point. Compliant test restores10pp up to30pp.</t>
  </si>
  <si>
    <t>PL-12 • Monitoring / enforcement</t>
  </si>
  <si>
    <t>October monitoring; 1 March test; actual June-year results subsequently reconciled in October</t>
  </si>
  <si>
    <t>Run in-season and final tests, not one annual ratio</t>
  </si>
  <si>
    <t>PL-13 • Levy provisions E.7–9 and transition</t>
  </si>
  <si>
    <t>Levies begin 2027/28; red-threshold breach has sporting consequences; conditional historical offsets exist</t>
  </si>
  <si>
    <t>No levy does not mean no constraint in 2026/27. Code detailed rounded levy and offset mechanics before deliberately testing green-threshold excess</t>
  </si>
  <si>
    <t>PL-14 • A.1.55</t>
  </si>
  <si>
    <t>Regulatory reporting group can encompass football-service and financing entities</t>
  </si>
  <si>
    <t>Map legal entities; plc consolidated accounts are a proxy until reconciled</t>
  </si>
  <si>
    <t>SSR-01 • Appendix 3 working-capital rules</t>
  </si>
  <si>
    <t>Monthly working-capital assessment with £12.5m initial floor, subject to indexation</t>
  </si>
  <si>
    <t>Forecast monthly cash; annual closing cash alone cannot prove compliance</t>
  </si>
  <si>
    <t>SSR-02 • A.1.30</t>
  </si>
  <si>
    <t>Qualifying funds include eligible sources accessible within 28 days, subject to conditions</t>
  </si>
  <si>
    <t>Undrawn facilities, eligible unsold receivables and committed funding require evidence; no assumed shareholder rescue</t>
  </si>
  <si>
    <t>SSR-03 • A.1.19 and liquidity rules</t>
  </si>
  <si>
    <t>Liquid assets incorporate qualifying funds, 40% of prescribed squad market value, contractual adjustments and positive assessed cash flow</t>
  </si>
  <si>
    <t>Market value is regulatory collateral-like capacity, not immediate sale cash or IFRS asset value</t>
  </si>
  <si>
    <t>SSR-04 • Cash-flow definitions</t>
  </si>
  <si>
    <t>Negative assessed cash flow enters liquid liabilities; liabilities are not simply total current balance-sheet liabilities</t>
  </si>
  <si>
    <t>Apply regulatory forecast/revenue assumptions and timing; do not compute this from a generic current ratio</t>
  </si>
  <si>
    <t>SSR-05 • Stress provisions</t>
  </si>
  <si>
    <t>Initial stress deductions include £25m and £60m amounts, subject to indexation</t>
  </si>
  <si>
    <t>Maintain indexed parameters and correct horizon; no fixed FY2031 values assumed</t>
  </si>
  <si>
    <t>SSR-06 • Positive-equity test H.1.1–3</t>
  </si>
  <si>
    <t>Liability/adjusted-asset maximum: 90% in 2026/27, 85% in 2027/28, 80% from 2028/29</t>
  </si>
  <si>
    <t>Adjusted assets add only excess of prescribed squad market value over registration NBV; avoid counting the full squad twice</t>
  </si>
  <si>
    <t>SSR-07 • Valuation provisions</t>
  </si>
  <si>
    <t>Squad value comes from prescribed provider methodology and dated valuations</t>
  </si>
  <si>
    <t>A public transfer-value website is not automatically the accepted value; genuine company test unavailable</t>
  </si>
  <si>
    <t>SSR-08 • Assessment and call-in</t>
  </si>
  <si>
    <t>July submission/assessment process and event-triggered updates; horizons differ by test</t>
  </si>
  <si>
    <t>Track monthly working capital, T/T+1 liquidity, and latest-year equity separately</t>
  </si>
  <si>
    <t>SSR-09 • A.1.32</t>
  </si>
  <si>
    <t>SSR cash-flow revenue assumptions have their own definitions</t>
  </si>
  <si>
    <t>Do not reuse SCR estimated revenue or management guidance without a bridge</t>
  </si>
  <si>
    <t>U-01 • [Art 80](https://documents.uefa.com/r/UEFA-Club-Licensing-and-Financial-Sustainability-Regulations-2026/Article-80-Scope-of-application-and-exemption-Online)</t>
  </si>
  <si>
    <t>Applicability differs across solvency, stability and cost-control pillars; small-club exemptions are not relevant at United's scale</t>
  </si>
  <si>
    <t>Qualification activates relevant obligations; do not erase licensing obligations merely because a scenario lacks Champions League football</t>
  </si>
  <si>
    <t>U-02 • [Art 93](https://documents.uefa.com/r/UEFA-Club-Licensing-and-Financial-Sustainability-Regulations-2026/Article-93-Calculation-of-squad-cost-ratio-Online), Art 94</t>
  </si>
  <si>
    <t>Squad-cost limit 70%; wages, amortisation, loan and agent costs versus adjusted income</t>
  </si>
  <si>
    <t>Separate UEFA numerator/denominator from PL; 70% of IFRS revenue is not the correct shortcut</t>
  </si>
  <si>
    <t>U-03 • Art 93</t>
  </si>
  <si>
    <t>Costs and operating income use 12 months to December; transfer-result components use 36 months divided by three</t>
  </si>
  <si>
    <t>June-year annual data need half-year bridges; do not treat FY2027 as calendar 2026</t>
  </si>
  <si>
    <t>U-04 • [K.1](https://documents.uefa.com/r/UEFA-Club-Licensing-and-Financial-Sustainability-Regulations-2026/K.1-Squad-cost-ratio-numerator-Online)</t>
  </si>
  <si>
    <t>Relevant persons include male professionals, out-on-loan players and relevant head-coach costs; broad benefits definition</t>
  </si>
  <si>
    <t>Retain professional youth and relevant former-coach costs; reconcile employer charges and exceptional termination</t>
  </si>
  <si>
    <t>U-05 • [K.2](https://documents.uefa.com/r/UEFA-Club-Licensing-and-Financial-Sustainability-Regulations-2026/K.2-Squad-cost-ratio-denominator-Online)</t>
  </si>
  <si>
    <t>Revenue adjustments include fair value, exceptional/non-football items and direct merchandise-related costs</t>
  </si>
  <si>
    <t>Reported commercial revenue is not all eligible denominator</t>
  </si>
  <si>
    <t>U-06 • Art 93</t>
  </si>
  <si>
    <t>Disposal result, impairment and other transfer results enter defined denominator calculation and averaging</t>
  </si>
  <si>
    <t>Impairment is adverse, not a positive uplift. Do not automatically copy PL numerator treatment; verify source sign convention in implementation</t>
  </si>
  <si>
    <t>U-07 • [G.3](https://documents.uefa.com/r/UEFA-Club-Licensing-and-Financial-Sustainability-Regulations-2026/G.3-Accounting-requirements-for-the-permanent-transfer-of-a-player-s-registration-Online?contentId=mbp0thahzVgyytKVZPxyiQ)</t>
  </si>
  <si>
    <t>Recognition, five-year regulatory amortisation cap, extensions and disposal accounting are specified</t>
  </si>
  <si>
    <t>Recognise effective unconditional transfers; extensions require separate treatment. Player pay is not a device for capitalising wages</t>
  </si>
  <si>
    <t>U-08 • G.3 and fair-value rules</t>
  </si>
  <si>
    <t>Selling costs, sell-ons, related-party and exchange arrangements can change eligible gain</t>
  </si>
  <si>
    <t>Headline sale price is not regulatory profit. No artificial swap-value uplift</t>
  </si>
  <si>
    <t>U-09 • [Art 86](https://documents.uefa.com/r/UEFA-Club-Licensing-and-Financial-Sustainability-Regulations-2026/Article-86-Reporting-period-and-monitoring-period-Online), Art 88</t>
  </si>
  <si>
    <t>Three-year football-earnings monitoring; €5m basic deviation, up to €60m with required contributions/equity; conditional additional allowance</t>
  </si>
  <si>
    <t>2026/27 normally uses FY2024–FY2026 for a June reporter. €90m is not unconditional loss permission; currency and qualifying equity matter</t>
  </si>
  <si>
    <t>U-10 • [J.5](https://documents.uefa.com/r/UEFA-Club-Licensing-and-Financial-Sustainability-Regulations-2026/J.5-Relevant-deductions-for-the-long-term-benefit-of-football-Online)</t>
  </si>
  <si>
    <t>Specific development/community/women's and other eligible deductions</t>
  </si>
  <si>
    <t>Require identifiable actual costs. Do not deduct all academy payroll or scouting; professional players aged 18+ need particular care</t>
  </si>
  <si>
    <t>U-11 • Art 81–83</t>
  </si>
  <si>
    <t>No overdue payables to football clubs, employees and tax/social authorities; periodic reporting deadlines</t>
  </si>
  <si>
    <t>Monthly payment schedule and arrears flags needed; accounting expense headroom does not excuse overdue cash</t>
  </si>
  <si>
    <t>U-12 • [Art 70](https://documents.uefa.com/r/UEFA-Club-Licensing-and-Financial-Sustainability-Regulations-2026/Article-70-Net-equity-rule-Online)</t>
  </si>
  <si>
    <t>Positive net equity or required improvement, with specified adjustments/remediation</t>
  </si>
  <si>
    <t>31December before licensing deadline; positive equity or10% improvement. Corrected proxy; regulatory adjustments remain private.</t>
  </si>
  <si>
    <t>U-13 • K.1.6</t>
  </si>
  <si>
    <t>Conditional employee-cost adjustment linked to prescribed tax methodology</t>
  </si>
  <si>
    <t>Default no benefit; use only if eligibility and necessary evidence are demonstrated</t>
  </si>
  <si>
    <t>SCR levy</t>
  </si>
  <si>
    <t>Leviable amount is the lower of green-threshold overspend and actual-test overspend; multiply by prescribed rounded actual overspend percentage</t>
  </si>
  <si>
    <t>Apply only from 2027/28; apply E.7–9 offsets after eligibility checks</t>
  </si>
  <si>
    <t>Levy relief</t>
  </si>
  <si>
    <t>Both prior seasons must qualify; prior underspending can reduce the rate, aggregate maximum 10 percentage points; FY2027/28 includes a legacy-PSR route</t>
  </si>
  <si>
    <t>Relief changes levy only, not allowance feedback or sporting sanction; follow frequency restriction</t>
  </si>
  <si>
    <t>Red-threshold sanction</t>
  </si>
  <si>
    <t>Six points plus ceiling(red overspend / £6.5m); consecutive breaches apply specified multipliers</t>
  </si>
  <si>
    <t>No sporting projection is needed; model constraint breach as unacceptable for sustainable capacity</t>
  </si>
  <si>
    <t>SSR indexation</t>
  </si>
  <si>
    <t>Increase indexed amounts with aggregate central-distribution growth; negative growth is treated as zero; increases compound</t>
  </si>
  <si>
    <t>Historical/current Board distribution inputs required</t>
  </si>
  <si>
    <t>SSR liquidity</t>
  </si>
  <si>
    <t>Qualifying funds + 40% prescribed squad value + contractual performance adjustments + signed assessed cash flow − indexed £85m stress</t>
  </si>
  <si>
    <t>Algebra combines positive/negative cash-flow limbs; no double counting cash, facility draws or receivables</t>
  </si>
  <si>
    <t>SSR working capital</t>
  </si>
  <si>
    <t>For each month: adjusted cash-flow figure + eligible available funds − indexed £12.5m must be non-negative</t>
  </si>
  <si>
    <t>A management cash floor is an additional policy, not the same formula</t>
  </si>
  <si>
    <t>SSR domestic revenue</t>
  </si>
  <si>
    <t>T and T+1 use higher of prescribed distribution at rounded three-year mean finish and 15th; facility fees use mean televised games with 15-game floor</t>
  </si>
  <si>
    <t>Different from SCR's additional previous-season alternative</t>
  </si>
  <si>
    <t>SSR commercial revenue</t>
  </si>
  <si>
    <t>Binding committed T amount applies to T and T+1, unless evidenced T+1 contracts used for T+1</t>
  </si>
  <si>
    <t>Speculative commercial growth is not automatically eligible</t>
  </si>
  <si>
    <t>SSR matchday</t>
  </si>
  <si>
    <t>Prescribed average gate yield × (19 league + rounded-up three-year domestic cup home average + applicable European home count)</t>
  </si>
  <si>
    <t>European count uses greater of guaranteed current competition home games and relevant three-year average</t>
  </si>
  <si>
    <t>SSR European distributions</t>
  </si>
  <si>
    <t>If qualified in T, use higher of rebased relevant-competition historical average and Board round-of-16 estimate, for T and T+1</t>
  </si>
  <si>
    <t>Regulatory stress convention is not a prediction of actual next-year qualification</t>
  </si>
  <si>
    <t>SSR other distributions</t>
  </si>
  <si>
    <t>Domestic cups use three-year mean; Super Cup/Club World Cup and academy grant have event-specific Board-input rules</t>
  </si>
  <si>
    <t>Non-applicable events contribute zero; do not import another competition's receipts</t>
  </si>
  <si>
    <t>Non-European SCR bonus adjustment</t>
  </si>
  <si>
    <t>Certain historic bonuses exclusively tied to European/Club World Cup performance can be excluded when not participating, with evidence and Board confirmation</t>
  </si>
  <si>
    <t>Not a blanket wage reduction; private compensation data required</t>
  </si>
  <si>
    <t>Audit</t>
  </si>
  <si>
    <t>Check (zero expected)</t>
  </si>
  <si>
    <t>Balance sheet: assets − liabilities − equity</t>
  </si>
  <si>
    <t>Cash flow: opening + movements − closing</t>
  </si>
  <si>
    <t>Registration rollforward</t>
  </si>
  <si>
    <t>Payable rollforward</t>
  </si>
  <si>
    <t>Receivable rollforward</t>
  </si>
  <si>
    <t>Income statement vs monthly net income</t>
  </si>
  <si>
    <t>New acquisition payment vector − 100%</t>
  </si>
  <si>
    <t>Sale collection vector − 100%</t>
  </si>
  <si>
    <t>Requested NBV exceeding available assets</t>
  </si>
  <si>
    <t>Cash double-counting: operating bridge vs EBITDA</t>
  </si>
  <si>
    <t>Contingency exposure above £122.843m</t>
  </si>
  <si>
    <t>Closing NBV below zero</t>
  </si>
  <si>
    <t>Closing transfer payable below zero</t>
  </si>
  <si>
    <t>Closing transfer receivable below zero</t>
  </si>
  <si>
    <t>RCF outstanding after expiry with no refinancing</t>
  </si>
  <si>
    <t>Historical check</t>
  </si>
  <si>
    <t>Historical registration roll</t>
  </si>
  <si>
    <t>Historical income statement</t>
  </si>
  <si>
    <t>Historical cash roll</t>
  </si>
  <si>
    <t>Known historical acquisition cash residual</t>
  </si>
  <si>
    <t>Known historical disposal cash residual</t>
  </si>
  <si>
    <t>Rows 30–31 are unresolved source-scope differences, retained rather than forced to zero.</t>
  </si>
  <si>
    <t>Known summer payment vector minus 100%</t>
  </si>
  <si>
    <t>Opening runoff minus reported registration NBV</t>
  </si>
  <si>
    <t>Disclosed first-quarter RCF balances</t>
  </si>
  <si>
    <t>Valuation and tax checks • zero expected</t>
  </si>
  <si>
    <t>FCFF two-route reconciliation</t>
  </si>
  <si>
    <t>Annual FCFF equals monthly sum</t>
  </si>
  <si>
    <t>DCF excludes pre-valuation FCFF</t>
  </si>
  <si>
    <t>DCF includes exactly 57 months</t>
  </si>
  <si>
    <t>EV-to-equity reconciliation</t>
  </si>
  <si>
    <t>Dilution/share-class reconciliation</t>
  </si>
  <si>
    <t>No duplicate transfer liability deduction</t>
  </si>
  <si>
    <t>End-horizon net transfer liability deducted once</t>
  </si>
  <si>
    <t>Terminal identity only; economics unverified</t>
  </si>
  <si>
    <t>Tax provision settlement roll</t>
  </si>
  <si>
    <t>WACC not above growth: flag</t>
  </si>
  <si>
    <t>September RCF vs disclosed £200m</t>
  </si>
  <si>
    <t>Historical EBITDA reconciliation</t>
  </si>
  <si>
    <t>Mechanical checks do not verify inputs, terminal economics or regulatory compliance. Independent Python recomputation and unresolved exceptions appear in the assurance report.</t>
  </si>
  <si>
    <t>OPEN: terminal cohort transition; historical transfer cash residuals; regulatory perimeter/adjustments; September model cash; uncommitted refinancing.</t>
  </si>
  <si>
    <t>ReadMe</t>
  </si>
  <si>
    <t>Purpose: analyse operating performance, capital allocation, liquidity and equity value. Start with Financial review, then Statements, FCFF, Valuation and Comps. Regulatory bridges support financing constraints.</t>
  </si>
  <si>
    <t>F verified public fact; E market-derived estimate; A selected assumption; D calculation with F/E/A dependencies; U unsupported. Forecast and valuation outputs are D(F,E,A), never facts. See Source Verification Register.</t>
  </si>
  <si>
    <t>Assumptions E5 selects 1 Base / 2 Downside / 3 Upside. Capacity E6/E7 set additional fees/wages; E8 toggles refinancing. Default is Base with uncommitted rollover assumed. Case comparison retains both maturity treatments.</t>
  </si>
  <si>
    <t>Known summer face consideration is £191.731m, discounted using a separate five-instalment scenario vector, plus £1.160m additional consideration assumed paid immediately. Assumed September recognition; 4–5 year useful life, independent of cash instalments.</t>
  </si>
  <si>
    <t>Known disposals recognise £9.780m net proceeds and £0.692m NBV. £11.235m proceeds from prior disposals are recognised once as incremental sale consideration. Assumed immediate receipt in September.</t>
  </si>
  <si>
    <t>The known mixed acquisition/extension balance is allocated to incremental cost only. Opening NBV is not rescheduled for unidentified contract extensions. Test known useful life and regulatory amortisation adjustment for this uncertainty.</t>
  </si>
  <si>
    <t>Opening registration runoff is represented by five nonnegative remaining-life cohorts. Disposals remove NBV pro rata after monthly amortisation and reduce subsequent amortisation. New capitalised costs have their own monthly cohorts.</t>
  </si>
  <si>
    <t>Sales are net of selling costs by assumption. NBV is an independent percentage of discounted consideration, capped by available assets. Sale gains and actual receipts are never both included in operating cash.</t>
  </si>
  <si>
    <t>Opening payables and receivables preserve disclosed carrying values. Nominal settlements are derived using assumed discount rates and within-bucket dates. New instalment vectors never overwrite the opening books.</t>
  </si>
  <si>
    <t>Rates are constant across forecast years within each case. Editing discount rates inconsistently across years changes the unwind convention and can leave residual transfer balances; use a parallel shift for rate sensitivity.</t>
  </si>
  <si>
    <t>Inherited payroll includes known summer wage effects. Incremental annual cohort wages are added only from the assumed start date and stop after the contract life. Leaver savings include disposal savings once.</t>
  </si>
  <si>
    <t>Monthly operating recognition is flat within fiscal years. July–December history uses disclosed interims. Month-end liquidity cannot establish intra-month liquidity or actual overdue payable status.</t>
  </si>
  <si>
    <t>Debt now separates £6.372m unamortised costs and £1.400m opening accrued interest. Fee amortisation is straight-line over60months(A), not a reconstructed EIR schedule. Accrued interest is assumed paid July2026 without duplicate expense. Lease interest is not separately forecast.</t>
  </si>
  <si>
    <t>No uncommitted equity included. RCF December 2029 and notes/term June 2031 are repaid unless the explicit uncommitted rollover switch is on. New refinancing fees and revised terms are not assumed.</t>
  </si>
  <si>
    <t>No balance-sheet balancing plug: opening other assets/liabilities are reported aggregate residual categories; other assets roll with capex, D&amp;A, operating WC and contract recognition. Other liabilities add incremental coupon accruals. No full tax/FX reserve subledger.</t>
  </si>
  <si>
    <t>PL actual, prescribed in-season and SSR are separate proxies. Bonus history, seven-window gain boundary and prescribed revenue deltas are explicit A inputs. Leviable exposure is a screening calculation before relief; no breach strategy is accepted as sustainable.</t>
  </si>
  <si>
    <t>SSR uses eligible undrawn funding once, plus cash once. Squad value is an A proxy, never cash or IFRS revaluation. Only value above registration NBV enters adjusted assets. FY2031 liquidity lacks FY2032 and is excluded from the complete T/T+1 screen.</t>
  </si>
  <si>
    <t>UEFA SCR uses calendar costs and revenue plus averaged three-calendar-year disposal results. PL uses three fiscal years, with an explicit seven-window adjustment for the in-season proxy.</t>
  </si>
  <si>
    <t>Football earnings uses the three fiscal years preceding each licensing season. Historical eligible adjustments start at £35m annually and are editable in the historicalFE input (first three columns map FY2024–26). Historical shareholder contributions are assumed eligible, capped under the €60m framework. These assumptions require verification.</t>
  </si>
  <si>
    <t>UEFA net equity uses preceding December and the10% improvement alternative. Positive cash does not prove no overdue payables; exact invoices, contracts and regulatory returns are unavailable.</t>
  </si>
  <si>
    <t>CY2031 requires Jul–Dec 2031, outside scope. An annualised final-half-year cost screen and next-licence FE test flag tail risk; neither substitutes for the complete next regulatory return.</t>
  </si>
  <si>
    <t>The capacity matrix reruns the same model with fee and wage combinations. Negative minimum headroom means the package fails at least one screen. The zero/zero point may already fail. Refinancing alone does not repair earnings constraints.</t>
  </si>
  <si>
    <t>Case comparison and sensitivity observations are labelled dated recalculated snapshots. To refresh after edits: change controls, force full Excel calculation, copy Overview results as values into the named case column, record date and controls, then restore Base. Live output and native table update automatically in Excel automatic-calculation mode.</t>
  </si>
  <si>
    <t>DCF and peer valuation now included, with explicit replacement spending and a transfer-settlement bridge. Stadium economics and Trafford Wharf remain excluded. All three operating cases have a cash-reserve shortfall without refinancing; see Case comparison row 45.</t>
  </si>
  <si>
    <t>Tax correction: current cash/P&amp;L tax is the greater of the minimum floor and 25% of positive monthly profit after a loss pool starting at zero. No deferred-tax asset or refunds are created. Legacy provision £7.562m settles in June 2027 (A), without new expense.</t>
  </si>
  <si>
    <t>DCF at 30 Sep 2026 includes Oct 2026–Jun 2031 FCFF. Cash is modelled September cash, debt uses face value at spot, and all ordinary A/B shares share economic value. Share control rights do not create a modelled premium.</t>
  </si>
  <si>
    <t>FCFF uses unlevered taxes and actual transfer cash. Lease principal is financing and excluded; remaining lease debt is deducted from EV. Terminal investment includes maintenance, registration growth and ordinary capex.</t>
  </si>
  <si>
    <t>Terminal net transfer balance is deducted once as an approximate post-horizon settlement PV. No second transfer-debt deduction is made in the equity bridge. Terminal taxes are normalised without indefinite loss shelter.</t>
  </si>
  <si>
    <t>Case/frontier snapshots refreshed in this forensic review, 12 October2026. They remain static after edits. Recalculate live sheets/Data Tables and refresh snapshots before reuse. Native Excel untested.</t>
  </si>
  <si>
    <t>Evidence limits: historical transfer cash residuals, relevant payroll, exact dates, regulatory deductions and prescribed squad values remain unresolved. Negative cash represents unmet funding; the model is not certified solvency, regulatory compliance or an internal budget.</t>
  </si>
  <si>
    <t>Calculation tested with artifact-tool and exported XML checks, not native Microsoft Excel. Open in Excel with automatic calculation and recalculate Data Tables before relying on a refreshed workbook.</t>
  </si>
  <si>
    <t>Scope excludes a stadium/Trafford Wharf model, player scouting and sporting predictions. Revenue assumptions do not rise automatically when investment is increased.</t>
  </si>
  <si>
    <t>CRITICAL OPEN: terminal replacement investment and amortisation have no supported cohort transition. Retain DCF for sensitivity only; it is not an independently substantiated fair-value estimate.</t>
  </si>
  <si>
    <t>MAJOR OPEN: regulatory payroll, revenue/squad values, deductions, exact instalment dates, covenant adjustments and post-horizon coverage. A negative proxy does not establish an actual breach.</t>
  </si>
  <si>
    <t>September cash is modelled, not reported. RCF£200m is disclosed at21September and assumed unchanged to30September. Rollover is uncommitted; it is not secured financing or available cash.</t>
  </si>
  <si>
    <t>PL levy screening is before relief; levy cash/P&amp;L is not integrated. Any green-threshold failure invalidates sustainable capacity. Breach/downside forecasts can understate sanction and financing costs.</t>
  </si>
  <si>
    <t>Financial review</t>
  </si>
  <si>
    <t>£m unless stated • valuation date 30 September 2026 • F / E / A labels in source register</t>
  </si>
  <si>
    <t>Reported financial analysis</t>
  </si>
  <si>
    <t>Revenue growth</t>
  </si>
  <si>
    <t>n/a</t>
  </si>
  <si>
    <t>Broadcasting revenue</t>
  </si>
  <si>
    <t>Matchday revenue</t>
  </si>
  <si>
    <t>Ordinary employee costs / revenue</t>
  </si>
  <si>
    <t>Reported operating profit / (loss)</t>
  </si>
  <si>
    <t>Add: tangible depreciation</t>
  </si>
  <si>
    <t>Add: intangible amortisation</t>
  </si>
  <si>
    <t>Less: disposal / loan income</t>
  </si>
  <si>
    <t>EBITDA before disposal income &amp; adjustments</t>
  </si>
  <si>
    <t>Add: exceptional costs</t>
  </si>
  <si>
    <t>Reported adjusted EBITDA</t>
  </si>
  <si>
    <t>Adjusted EBITDA / revenue</t>
  </si>
  <si>
    <t>Tangible capex cash</t>
  </si>
  <si>
    <t>Total intangible acquisition cash</t>
  </si>
  <si>
    <t>Total intangible disposal cash receipts</t>
  </si>
  <si>
    <t>Cash after operating &amp; investing</t>
  </si>
  <si>
    <t>Net debt excluding leases</t>
  </si>
  <si>
    <t>Net transfer liabilities</t>
  </si>
  <si>
    <t>Adjusted EBITDA reconciliation: zero expected</t>
  </si>
  <si>
    <t>Adjusted EBITDA excludes disposal/loan income and exceptional expenses. Forecast EBITDA uses revenue less employment and other opex, with no exceptional costs assumed.</t>
  </si>
  <si>
    <t>Revenue was broadly stable while ordinary employee costs fell. Total employment includes exceptional termination costs. Cash reinvestment and transfer liabilities mean EBITDA is not distributable cash.</t>
  </si>
  <si>
    <t>Historical cash-to-transfer-balance differences remain disclosed in Audit rows 30–31; they have not been forced to zero. FY2026 capital spending is not assumed to recur as a stadium project.</t>
  </si>
  <si>
    <t>FCFF</t>
  </si>
  <si>
    <t>Full fiscal-year cash flow</t>
  </si>
  <si>
    <t>EBIT</t>
  </si>
  <si>
    <t>Unlevered cash taxes</t>
  </si>
  <si>
    <t>Unlevered free cash flow</t>
  </si>
  <si>
    <t>DCF-included FCFF: excludes Jul–Sep 2026</t>
  </si>
  <si>
    <t>Present value of DCF-included FCFF</t>
  </si>
  <si>
    <t>CFO-to-FCFF reconciliation (zero)</t>
  </si>
  <si>
    <t>Financing convention: FCFF excludes cash interest, debt proceeds/repayments and lease principal; it includes transfer payments and receipts. Current leases are deducted in the equity bridge.</t>
  </si>
  <si>
    <t>Monthly bridge</t>
  </si>
  <si>
    <t>EBIT including disposal gains</t>
  </si>
  <si>
    <t>Opening unlevered tax-loss pool</t>
  </si>
  <si>
    <t>Taxable unlevered profit</t>
  </si>
  <si>
    <t>Closing unlevered tax-loss pool</t>
  </si>
  <si>
    <t>Unlevered cash tax incl. minimum floor</t>
  </si>
  <si>
    <t>EBIT after unlevered tax</t>
  </si>
  <si>
    <t>Add: registration amortisation</t>
  </si>
  <si>
    <t>Add: tangible and other amortisation</t>
  </si>
  <si>
    <t>Less: disposal accounting gain</t>
  </si>
  <si>
    <t>Less: tangible / other cash capex</t>
  </si>
  <si>
    <t>Less: registration acquisition payments</t>
  </si>
  <si>
    <t>Add: disposal cash receipts</t>
  </si>
  <si>
    <t>Less: other operating WC investment</t>
  </si>
  <si>
    <t>Less: contract cash / revenue timing delta</t>
  </si>
  <si>
    <t>Less: legacy provision cash payment</t>
  </si>
  <si>
    <t>FCFF from operating-cash bridge</t>
  </si>
  <si>
    <t>Independent FCFF bridge difference</t>
  </si>
  <si>
    <t>FCFF included after valuation date</t>
  </si>
  <si>
    <t>Year fraction from valuation date</t>
  </si>
  <si>
    <t>Discounted FCFF</t>
  </si>
  <si>
    <t>Valuation</t>
  </si>
  <si>
    <t>Valuation controls • blue inputs; forecasts are A-derived</t>
  </si>
  <si>
    <t>Valuation date</t>
  </si>
  <si>
    <t>F/E date alignment</t>
  </si>
  <si>
    <t>USD per GBP, valuation date</t>
  </si>
  <si>
    <t>E: BoE market FX; selected convention A</t>
  </si>
  <si>
    <t>MANU Class A closing price (USD)</t>
  </si>
  <si>
    <t>E: Stock Analysis 30 Sep 2026; no primary exchange cross-check obtained</t>
  </si>
  <si>
    <t>10-year GBP nominal zero yield</t>
  </si>
  <si>
    <t>E: fitted zero yield; selection as risk-free A</t>
  </si>
  <si>
    <t>Equity risk premium</t>
  </si>
  <si>
    <t>A • 5%; test 4–6%; not an observed company ERP</t>
  </si>
  <si>
    <t>Levered equity beta</t>
  </si>
  <si>
    <t>A • Base 1.15 / Down 1.35 / Up 1.00</t>
  </si>
  <si>
    <t>Pre-tax marginal debt cost</t>
  </si>
  <si>
    <t>A • 7.5% / 9.0% / 6.5%</t>
  </si>
  <si>
    <t>Target debt / total capital</t>
  </si>
  <si>
    <t>A • 20%; differs from current market capital weights</t>
  </si>
  <si>
    <t>Long-run tax rate</t>
  </si>
  <si>
    <t>A usage; F UK statutory benchmark • V03</t>
  </si>
  <si>
    <t>Cost of equity</t>
  </si>
  <si>
    <t>D(E,A): selected yield + assumed beta × ERP</t>
  </si>
  <si>
    <t>Calculated WACC</t>
  </si>
  <si>
    <t>D(E,A): tax shield and capital weights assumed</t>
  </si>
  <si>
    <t>WACC override (−1 = calculated)</t>
  </si>
  <si>
    <t>A • sensitivity input; must exceed g</t>
  </si>
  <si>
    <t>D(E,A): not an externally verified cost of capital</t>
  </si>
  <si>
    <t>Terminal nominal growth</t>
  </si>
  <si>
    <t>A • 2%; sensitivity 0–3%</t>
  </si>
  <si>
    <t>Terminal EBITDA margin adjustment</t>
  </si>
  <si>
    <t>A • delta to FY2031 operating EBITDA margin</t>
  </si>
  <si>
    <t>Maintenance registration investment override</t>
  </si>
  <si>
    <t>A • £m at FY2031 prices; −1 uses case</t>
  </si>
  <si>
    <t>Applied gross maintenance registration investment</t>
  </si>
  <si>
    <t>A • 150 / 175 / 150; separate growth reinvestment</t>
  </si>
  <si>
    <t>Terminal sale receipts, FY2031 prices</t>
  </si>
  <si>
    <t>A • 50 / 20 / 80; not accounting gains</t>
  </si>
  <si>
    <t>Terminal disposed NBV / proceeds</t>
  </si>
  <si>
    <t>A • linked to case sale NBV assumption</t>
  </si>
  <si>
    <t>Terminal tangible/other capex / revenue</t>
  </si>
  <si>
    <t>A • at least other D&amp;A; includes normal replacement/growth</t>
  </si>
  <si>
    <t>Terminal incremental NWC / revenue growth</t>
  </si>
  <si>
    <t>A • excludes transfers; sensitivity can edit 0–15%</t>
  </si>
  <si>
    <t>Registration growth asset base at FY2031</t>
  </si>
  <si>
    <t>D(F,A): FY2031 model book value; terminal cohort transition unverified</t>
  </si>
  <si>
    <t>Annual terminal lease-asset replacement</t>
  </si>
  <si>
    <t>A • normal replacement; leases treated as financing in DCF</t>
  </si>
  <si>
    <t>Additional debt-like claims</t>
  </si>
  <si>
    <t>A • 0; test 0–25 if uncovered obligations identified</t>
  </si>
  <si>
    <t>Class A outstanding excluding treasury (m)</t>
  </si>
  <si>
    <t>F • 2026 annual report cover; V05</t>
  </si>
  <si>
    <t>Class B outstanding ordinary shares (m)</t>
  </si>
  <si>
    <t>Gross outstanding equity awards (millions)</t>
  </si>
  <si>
    <t>F count, full vesting/dilution is conservative A • V05</t>
  </si>
  <si>
    <t>Fully diluted economic shares (millions)</t>
  </si>
  <si>
    <t>D(F,A): outstanding shares plus assumed full gross award vesting</t>
  </si>
  <si>
    <t>DCF • conditional going concern; Oct 2026–Jun 2031 cash flows</t>
  </si>
  <si>
    <t>Present value of forecast FCFF</t>
  </si>
  <si>
    <t>Terminal revenue</t>
  </si>
  <si>
    <t>Terminal EBITDA margin</t>
  </si>
  <si>
    <t>Terminal EBITDA</t>
  </si>
  <si>
    <t>Terminal maintenance registration purchases</t>
  </si>
  <si>
    <t>Terminal registration asset base</t>
  </si>
  <si>
    <t>Additional registration growth investment</t>
  </si>
  <si>
    <t>Terminal gross registration cash investment</t>
  </si>
  <si>
    <t>Terminal disposal cash receipts</t>
  </si>
  <si>
    <t>Terminal disposed NBV</t>
  </si>
  <si>
    <t>Terminal registration amortisation</t>
  </si>
  <si>
    <t>Terminal other D&amp;A</t>
  </si>
  <si>
    <t>Terminal disposal gain</t>
  </si>
  <si>
    <t>Terminal EBIT</t>
  </si>
  <si>
    <t>Terminal unlevered tax</t>
  </si>
  <si>
    <t>Terminal ordinary capex</t>
  </si>
  <si>
    <t>Terminal working-capital investment</t>
  </si>
  <si>
    <t>Terminal lease-asset replacement</t>
  </si>
  <si>
    <t>Unadjusted terminal value</t>
  </si>
  <si>
    <t>Less: unpaid net transfer balance at Jun 2031</t>
  </si>
  <si>
    <t>Adjusted terminal value</t>
  </si>
  <si>
    <t>Terminal discount factor</t>
  </si>
  <si>
    <t>Present value of terminal value</t>
  </si>
  <si>
    <t>Debt face value at valuation date</t>
  </si>
  <si>
    <t>Lease liability at valuation date</t>
  </si>
  <si>
    <t>Accrued interest and other debt-like claims</t>
  </si>
  <si>
    <t>Cash at valuation date</t>
  </si>
  <si>
    <t>Additional transfer-liability deduction</t>
  </si>
  <si>
    <t>Raw DCF equity value</t>
  </si>
  <si>
    <t>Limited-liability equity floor</t>
  </si>
  <si>
    <t>Implied USD per diluted economic share</t>
  </si>
  <si>
    <t>Market equity: outstanding shares</t>
  </si>
  <si>
    <t>Market EV on comparable financing basis</t>
  </si>
  <si>
    <t>DCF price / observed price − 1</t>
  </si>
  <si>
    <t>Terminal PV / DCF enterprise value</t>
  </si>
  <si>
    <t>Going-concern diagnostic</t>
  </si>
  <si>
    <t>Refinancing and funding diagnostic</t>
  </si>
  <si>
    <t>Market capitalisation / FY2026 revenue</t>
  </si>
  <si>
    <t>Market EV / FY2026 revenue</t>
  </si>
  <si>
    <t>Market EV / FY2026 adjusted EBITDA</t>
  </si>
  <si>
    <t>Terminal purchases replace consumed registration assets plus explicit growth investment. No automatic revenue uplift from spending. A negative terminal FCFF is a failure signal, not a valid positive franchise valuation.</t>
  </si>
  <si>
    <t>All transfer settlements inside the horizon enter FCFF. The final net transfer carrying balance is deducted once from terminal value as a proxy for later settlement PV; no additional transfer deduction in the equity bridge.</t>
  </si>
  <si>
    <t>FCFF excludes debt interest and lease principal. Debt and remaining leases are deducted once at the valuation date. Cash is modelled September cash (A), not a disclosed September balance.</t>
  </si>
  <si>
    <t>A/B shares use equal ongoing economic value; B has enhanced votes. No control premium or special Class A dividend is assumed. Gross awards fully vest; unused plan capacity is not dilution.</t>
  </si>
  <si>
    <t>Live sensitivity • USD/share • WACC columns / terminal growth rows</t>
  </si>
  <si>
    <t>Live sensitivity • USD/share • maintenance purchases / margin delta</t>
  </si>
  <si>
    <t>Sensitivities change terminal economics only. Zero is the equity floor; inspect raw equity value and terminal FCFF before interpreting a zero. Changing case or blue inputs recalculates the live grids.</t>
  </si>
  <si>
    <t>CRITICAL OPEN: terminal amortisation/replacement closes an identity without a cohort transition. Conditional cash-flow illustration, not a verified fair value or market-calibrated price target.</t>
  </si>
  <si>
    <t>All forecasts/valuation are D(F,E,A). Zero floored equity does not prove the stock is worthless; raw residual, funding gaps and terminal assumptions must be considered.</t>
  </si>
  <si>
    <t>Terminal amortisation / FY2031 charge</t>
  </si>
  <si>
    <t>Terminal purchases / FY2031 face purchases</t>
  </si>
  <si>
    <t>Comps</t>
  </si>
  <si>
    <t>30 Sep 2026 prices / latest FY2026</t>
  </si>
  <si>
    <t>MANU (GBP)</t>
  </si>
  <si>
    <t>BVB (EUR)</t>
  </si>
  <si>
    <t>Ajax (EUR)</t>
  </si>
  <si>
    <t>Closing listed share price, local currency</t>
  </si>
  <si>
    <t>Issued shares net of treasury (millions)</t>
  </si>
  <si>
    <t>Market capitalisation</t>
  </si>
  <si>
    <t>Debt incl. accrued interest where identified</t>
  </si>
  <si>
    <t>Enterprise value incl. leases</t>
  </si>
  <si>
    <t>Revenue excluding player trading</t>
  </si>
  <si>
    <t>Reported EBITDA / adjusted EBITDA</t>
  </si>
  <si>
    <t>Net transfer result in reported EBITDA</t>
  </si>
  <si>
    <t>EBITDA before net transfer result</t>
  </si>
  <si>
    <t>Equity book value</t>
  </si>
  <si>
    <t>Market capitalisation / revenue</t>
  </si>
  <si>
    <t>Enterprise value / revenue</t>
  </si>
  <si>
    <t>EV / EBITDA before transfer result</t>
  </si>
  <si>
    <t>Market capitalisation / book equity</t>
  </si>
  <si>
    <t>Mechanical peer cross-checks • not a blended target price</t>
  </si>
  <si>
    <t>Method</t>
  </si>
  <si>
    <t>Implied EV £m</t>
  </si>
  <si>
    <t>Equity £m</t>
  </si>
  <si>
    <t>USD/share</t>
  </si>
  <si>
    <t>BVB EV / revenue</t>
  </si>
  <si>
    <t>BVB EV / pre-transfer EBITDA</t>
  </si>
  <si>
    <t>BVB equity / revenue</t>
  </si>
  <si>
    <t>Ajax equity / revenue</t>
  </si>
  <si>
    <t>F financial statements; E quoted prices; source IDs V06–V11. MANU uses modelled September cash/debt; peers use June year-end balances. Different leagues, commercial scale, leverage and control make multiples context, not directly comparable targets.</t>
  </si>
  <si>
    <t>BVB EBITDA includes €59.289m net transfer income: subtract it before comparing with MANU EBITDA that excludes disposal income. Gross player-trading turnover is excluded from revenue.</t>
  </si>
  <si>
    <t>Ajax net debt and leases were not established from an accessible primary balance sheet. EV multiples are n/a, never zero. Its reported pre-player-amortisation operating result is not treated as comparable EBITDA.</t>
  </si>
  <si>
    <t>BVB issued 110.396220m less 0.018900m treasury shares. Ajax share count is the February 2026 notice, assumed unchanged at the valuation date. Prices are venue-specific: BVB Xetra, Ajax Amsterdam, MANU NYSE.</t>
  </si>
  <si>
    <t>Valuation sources</t>
  </si>
  <si>
    <t>ID / classification</t>
  </si>
  <si>
    <t>Source and observation</t>
  </si>
  <si>
    <t>Basis / limitations</t>
  </si>
  <si>
    <t>V01 • E / A selection</t>
  </si>
  <si>
    <t>Bank of England, 10-year nominal zero-coupon gilt yield, 30 Sep 2026: 5.4028%.</t>
  </si>
  <si>
    <t>https://www.bankofengland.co.uk/boeapps/database/fromshowcolumns.asp?CSVF=TT&amp;DAT=RNG&amp;FD=1&amp;FM=Jan&amp;FNY=Y&amp;FY=2021&amp;Filter=N&amp;FromSeries=1&amp;SeriesCodes=IUMMNZC&amp;TD=7&amp;TM=Oct&amp;TY=2026&amp;ToSeries=50&amp;Travel=NIxAZxSUx&amp;UsingCodes=Y&amp;VPD=Y&amp;html.x=66&amp;html.y=26&amp;title=IUMMNZC</t>
  </si>
  <si>
    <t>V02 • E market observation</t>
  </si>
  <si>
    <t>BoE daily FX, 30 Sep 2026: USD 1.3285 per GBP; EUR 1.1696 per GBP. Only USD used in price bridge.</t>
  </si>
  <si>
    <t>https://www.bankofengland.co.uk/boeapps/database/Rates.asp?TD=30&amp;TM=Sep&amp;TY=2026&amp;into=GBP&amp;rateview=D</t>
  </si>
  <si>
    <t>V03 • F rate / A application</t>
  </si>
  <si>
    <t>HMRC main corporation tax rate 25%; applying to group/monthly forecast is A.</t>
  </si>
  <si>
    <t>https://www.gov.uk/corporation-tax-rates/rates</t>
  </si>
  <si>
    <t>V04 • E</t>
  </si>
  <si>
    <t>MANU close30Sep2026 $20.95, secondary Stock Analysis history. Exchange confirmation not obtained.</t>
  </si>
  <si>
    <t>https://stockanalysis.com/stocks/manu/history/</t>
  </si>
  <si>
    <t>V05 • F / A treatment</t>
  </si>
  <si>
    <t>A26: A outstanding56,143,220; B116,348,173. Note22: A issued57,826,116 less treasury1,682,896. Note28 awards211,354. Note26 tax provision£7.562m. Vesting/timing A.</t>
  </si>
  <si>
    <t>https://ir.manutd.com/~/media/Files/M/Manutd-IR/documents/2026-mu-plc-form-20-f.pdf</t>
  </si>
  <si>
    <t>V06 • F</t>
  </si>
  <si>
    <t>BVB FY2025/26 revenue €460.467m; EBITDA €92.166m; net loss €21.718m.</t>
  </si>
  <si>
    <t>https://report.bvb.de/annual-report/2025-2026/shareholders/key-financial-indicators.html</t>
  </si>
  <si>
    <t>V07 • F</t>
  </si>
  <si>
    <t>BVB debt €28.489m, leases €11.231m, cash €3.668m, equity €298.749m; 30 Jun 2026.</t>
  </si>
  <si>
    <t>https://report.bvb.de/annual-report/2025-2026/consolidated-financial-statements/consolidated-statement-of-financial-position.html</t>
  </si>
  <si>
    <t>V08 • F</t>
  </si>
  <si>
    <t>BVB net transfer income €59.289m; gross proceeds €76.763m less selling costs €8.076m and NBV €9.398m.</t>
  </si>
  <si>
    <t>https://report.bvb.de/annual-report/2025-2026/consolidated-financial-statements/notes-to-the-consolidated-financial-statements/notes-to-the-consolidated-statement-of-comprehensive-income/net-transfer-income.html</t>
  </si>
  <si>
    <t>V09 • F / A</t>
  </si>
  <si>
    <t>BVB issued shares 110.396220m; treasury 0.018900m carried to valuation date (A no movement).</t>
  </si>
  <si>
    <t>https://report.bvb.de/annual-report/2025-2026/consolidated-financial-statements/notes-to-the-consolidated-financial-statements/notes-to-the-consolidated-statement-of-financial-position/equity.html</t>
  </si>
  <si>
    <t>V10 • E</t>
  </si>
  <si>
    <t>BVB Xetra close 30 Sep 2026 €3.145. Venue differs from Frankfurt €3.19; use Xetra consistently.</t>
  </si>
  <si>
    <t>https://www.investing.com/equities/borussia-dortmund-gmbh---co-kgaa-historical-data?cid=963035</t>
  </si>
  <si>
    <t>V11 • F</t>
  </si>
  <si>
    <t>Ajax FY2025/26 official release 25 Sep 2026: revenue €188.3m, NI €2m, equity €191m. Balance-sheet debt not established.</t>
  </si>
  <si>
    <t>https://www.ajax.nl/club/pers/persberichten/jaarcijfers-afc-ajax-nv-20252026/</t>
  </si>
  <si>
    <t>V12 • F / A</t>
  </si>
  <si>
    <t>Ajax notice 10 Feb 2026: 18,333,332 ordinary plus one special share. Ordinary count assumed unchanged; special share ignored economically.</t>
  </si>
  <si>
    <t>https://www.ajax.nl/media/2xfp0cma/agenda-en-toelichting-bava-9-maart-2026.pdf</t>
  </si>
  <si>
    <t>V13 • E</t>
  </si>
  <si>
    <t>Ajax Amsterdam close 30 Sep 2026 €8.14.</t>
  </si>
  <si>
    <t>https://stockanalysis.com/quote/ams/AJAX/history/</t>
  </si>
  <si>
    <t>V14 • F guidance / A forecast</t>
  </si>
  <si>
    <t>MANU FY2026 results, 23 Sep 2026: FY2027 revenue guidance £740–760m and adjusted EBITDA £205–225m. Base £750m/£215m are midpoint assumptions.</t>
  </si>
  <si>
    <t>https://www.sec.gov/Archives/edgar/data/1549107/000110465926109806/tm2625945d1_ex99-1.htm</t>
  </si>
  <si>
    <t>V15 • A</t>
  </si>
  <si>
    <t>Beta, ERP, target leverage, refinancing, maintenance investment, terminal growth, margin and taxes are analyst inputs; no independent regression or market-implied calibration claimed.</t>
  </si>
  <si>
    <t>Valuation E12:E31; Assumptions; ranges in live sensitivities.</t>
  </si>
  <si>
    <t>V16 • Limitation</t>
  </si>
  <si>
    <t>No native Microsoft Excel application was available. Formula checks and What-If tables were calculated with artifact-tool; exported OOXML was inspected independently.</t>
  </si>
  <si>
    <t>Audit and external audit log distinguish arithmetic tests from economic/regulatory certification.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</si>
</sst>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0.0\);&quot;—&quot;"/>
    <numFmt numFmtId="165" formatCode="0.0%"/>
    <numFmt numFmtId="166" formatCode="0.00;\(0.00\);0.00"/>
    <numFmt numFmtId="167" formatCode="[&gt;0.0005]0.00;[&lt;-0.0005]\(0.00\);0.00"/>
    <numFmt numFmtId="168" formatCode="0.000"/>
    <numFmt numFmtId="169" formatCode="0.0%;\(0.0%\);&quot;—&quot;"/>
    <numFmt numFmtId="170" formatCode="dd\ mmm\ yyyy"/>
    <numFmt numFmtId="171" formatCode="0.0000"/>
    <numFmt numFmtId="172" formatCode="0.000000"/>
    <numFmt numFmtId="173" formatCode="0.0&quot;x&quot;"/>
    <numFmt numFmtId="174" formatCode="\$0.00"/>
    <numFmt numFmtId="175" formatCode="0.0%;\(0.0%\);0.0%"/>
    <numFmt numFmtId="176" formatCode="0.00&quot;x&quot;"/>
  </numFmts>
  <fonts count="16">
    <font>
      <sz val="11"/>
      <name val="Carlito"/>
    </font>
    <font>
      <sz val="10"/>
      <name val="Arial"/>
      <family val="2"/>
    </font>
    <font>
      <b/>
      <sz val="16"/>
      <color rgb="FF182B3A"/>
      <name val="Arial"/>
      <family val="2"/>
    </font>
    <font>
      <i/>
      <sz val="10"/>
      <color rgb="FF697882"/>
      <name val="Arial"/>
      <family val="2"/>
    </font>
    <font>
      <sz val="10"/>
      <color rgb="FF008000"/>
      <name val="Arial"/>
      <family val="2"/>
    </font>
    <font>
      <sz val="10"/>
      <color rgb="FF0000FF"/>
      <name val="Arial"/>
      <family val="2"/>
    </font>
    <font>
      <b/>
      <sz val="10"/>
      <color rgb="FFFFFFFF"/>
      <name val="Arial"/>
      <family val="2"/>
    </font>
    <font>
      <sz val="10"/>
      <color rgb="FF000000"/>
      <name val="Arial"/>
      <family val="2"/>
    </font>
    <font>
      <b/>
      <sz val="10"/>
      <color rgb="FF182B3A"/>
      <name val="Arial"/>
      <family val="2"/>
    </font>
    <font>
      <sz val="10"/>
      <color rgb="FF182B3A"/>
      <name val="Arial"/>
      <family val="2"/>
    </font>
    <font>
      <sz val="11"/>
      <name val="Arial"/>
      <family val="2"/>
    </font>
    <font>
      <sz val="11"/>
      <color rgb="FF0000FF"/>
      <name val="Arial"/>
      <family val="2"/>
    </font>
    <font>
      <sz val="11"/>
      <color rgb="FF000000"/>
      <name val="Arial"/>
      <family val="2"/>
    </font>
    <font>
      <b/>
      <sz val="17"/>
      <color rgb="FF182B3A"/>
      <name val="Arial"/>
      <family val="2"/>
    </font>
    <font>
      <sz val="10"/>
      <color rgb="FF61717F"/>
      <name val="Arial"/>
      <family val="2"/>
    </font>
    <font>
      <sz val="10"/>
      <color rgb="FF44576A"/>
      <name val="Arial"/>
      <family val="2"/>
    </font>
  </fonts>
  <fills count="10">
    <fill>
      <patternFill patternType="none"/>
    </fill>
    <fill>
      <patternFill patternType="gray125"/>
    </fill>
    <fill>
      <patternFill patternType="solid">
        <fgColor rgb="FFE8EEF2"/>
      </patternFill>
    </fill>
    <fill>
      <patternFill patternType="solid">
        <fgColor rgb="FFFFF1C9"/>
      </patternFill>
    </fill>
    <fill>
      <patternFill patternType="solid">
        <fgColor rgb="FF182B3A"/>
      </patternFill>
    </fill>
    <fill>
      <patternFill patternType="solid">
        <fgColor rgb="FFE8EEF2"/>
      </patternFill>
    </fill>
    <fill>
      <patternFill patternType="solid">
        <fgColor rgb="FF182B3A"/>
      </patternFill>
    </fill>
    <fill>
      <patternFill patternType="solid">
        <fgColor rgb="FF182B3A"/>
      </patternFill>
    </fill>
    <fill>
      <patternFill patternType="solid">
        <fgColor rgb="FFFFF1C9"/>
      </patternFill>
    </fill>
    <fill>
      <patternFill patternType="solid">
        <fgColor rgb="FFE8EEF2"/>
      </patternFill>
    </fill>
  </fills>
  <borders count="1">
    <border>
      <left/>
      <right/>
      <top/>
      <bottom/>
      <diagonal/>
    </border>
  </borders>
  <cellStyleXfs count="1">
    <xf numFmtId="0" fontId="0" fillId="0" borderId="0"/>
  </cellStyleXfs>
  <cellXfs count="121">
    <xf numFmtId="0" fontId="0" fillId="0" borderId="0" xfId="0"/>
    <xf numFmtId="0" fontId="1" fillId="0" borderId="0" xfId="0" applyFont="1"/>
    <xf numFmtId="164" fontId="1" fillId="0" borderId="0" xfId="0" applyNumberFormat="1" applyFont="1"/>
    <xf numFmtId="0" fontId="2" fillId="0" borderId="0" xfId="0" applyFont="1"/>
    <xf numFmtId="0" fontId="3" fillId="0" borderId="0" xfId="0" applyFont="1"/>
    <xf numFmtId="164" fontId="4" fillId="0" borderId="0" xfId="0" applyNumberFormat="1" applyFont="1"/>
    <xf numFmtId="0" fontId="1" fillId="2" borderId="0" xfId="0" applyFont="1" applyFill="1"/>
    <xf numFmtId="164" fontId="5" fillId="0" borderId="0" xfId="0" applyNumberFormat="1" applyFont="1"/>
    <xf numFmtId="165" fontId="5" fillId="0" borderId="0" xfId="0" applyNumberFormat="1" applyFont="1"/>
    <xf numFmtId="17" fontId="1" fillId="0" borderId="0" xfId="0" applyNumberFormat="1" applyFont="1"/>
    <xf numFmtId="0" fontId="6" fillId="4" borderId="0" xfId="0" applyFont="1" applyFill="1"/>
    <xf numFmtId="164" fontId="6" fillId="4" borderId="0" xfId="0" applyNumberFormat="1" applyFont="1" applyFill="1"/>
    <xf numFmtId="0" fontId="1" fillId="0" borderId="0" xfId="0" applyFont="1" applyAlignment="1">
      <alignment wrapText="1"/>
    </xf>
    <xf numFmtId="164" fontId="1" fillId="0" borderId="0" xfId="0" applyNumberFormat="1" applyFont="1" applyAlignment="1">
      <alignment wrapText="1"/>
    </xf>
    <xf numFmtId="164" fontId="7" fillId="2" borderId="0" xfId="0" applyNumberFormat="1" applyFont="1" applyFill="1"/>
    <xf numFmtId="165" fontId="7" fillId="2" borderId="0" xfId="0" applyNumberFormat="1" applyFont="1" applyFill="1"/>
    <xf numFmtId="164" fontId="7" fillId="0" borderId="0" xfId="0" applyNumberFormat="1" applyFont="1"/>
    <xf numFmtId="1" fontId="6" fillId="4" borderId="0" xfId="0" applyNumberFormat="1" applyFont="1" applyFill="1"/>
    <xf numFmtId="1" fontId="1" fillId="0" borderId="0" xfId="0" applyNumberFormat="1" applyFont="1"/>
    <xf numFmtId="0" fontId="10" fillId="0" borderId="0" xfId="0" applyFont="1"/>
    <xf numFmtId="0" fontId="11" fillId="0" borderId="0" xfId="0" applyFont="1"/>
    <xf numFmtId="0" fontId="10" fillId="2" borderId="0" xfId="0" applyFont="1" applyFill="1"/>
    <xf numFmtId="0" fontId="12" fillId="2" borderId="0" xfId="0" applyFont="1" applyFill="1"/>
    <xf numFmtId="165" fontId="12" fillId="2" borderId="0" xfId="0" applyNumberFormat="1" applyFont="1" applyFill="1"/>
    <xf numFmtId="165" fontId="11" fillId="0" borderId="0" xfId="0" applyNumberFormat="1" applyFont="1"/>
    <xf numFmtId="0" fontId="10" fillId="0" borderId="0" xfId="0" applyFont="1" applyAlignment="1">
      <alignment wrapText="1"/>
    </xf>
    <xf numFmtId="164" fontId="1" fillId="0" borderId="0" xfId="0" applyNumberFormat="1" applyFont="1" applyAlignment="1">
      <alignment vertical="top" wrapText="1"/>
    </xf>
    <xf numFmtId="0" fontId="10" fillId="0" borderId="0" xfId="0" applyFont="1" applyAlignment="1">
      <alignment vertical="top" wrapText="1"/>
    </xf>
    <xf numFmtId="0" fontId="1" fillId="2" borderId="0" xfId="0" applyFont="1" applyFill="1" applyAlignment="1">
      <alignment wrapText="1"/>
    </xf>
    <xf numFmtId="0" fontId="10" fillId="2" borderId="0" xfId="0" applyFont="1" applyFill="1" applyAlignment="1">
      <alignment wrapText="1"/>
    </xf>
    <xf numFmtId="0" fontId="0" fillId="0" borderId="0" xfId="0" applyAlignment="1">
      <alignment vertical="center"/>
    </xf>
    <xf numFmtId="0" fontId="1" fillId="0" borderId="0" xfId="0" applyFont="1" applyAlignment="1">
      <alignment vertical="center"/>
    </xf>
    <xf numFmtId="164" fontId="1" fillId="0" borderId="0" xfId="0" applyNumberFormat="1" applyFont="1" applyAlignment="1">
      <alignment vertical="center"/>
    </xf>
    <xf numFmtId="0" fontId="2" fillId="0" borderId="0" xfId="0" applyFont="1" applyAlignment="1">
      <alignment vertical="center"/>
    </xf>
    <xf numFmtId="0" fontId="3" fillId="0" borderId="0" xfId="0" applyFont="1" applyAlignment="1">
      <alignment vertical="center"/>
    </xf>
    <xf numFmtId="164" fontId="4" fillId="0" borderId="0" xfId="0" applyNumberFormat="1" applyFont="1" applyAlignment="1">
      <alignment vertical="center"/>
    </xf>
    <xf numFmtId="0" fontId="6" fillId="4" borderId="0" xfId="0" applyFont="1" applyFill="1" applyAlignment="1">
      <alignment vertical="center"/>
    </xf>
    <xf numFmtId="1" fontId="6" fillId="4" borderId="0" xfId="0" applyNumberFormat="1" applyFont="1" applyFill="1" applyAlignment="1">
      <alignment vertical="center"/>
    </xf>
    <xf numFmtId="164" fontId="6" fillId="4" borderId="0" xfId="0" applyNumberFormat="1" applyFont="1" applyFill="1" applyAlignment="1">
      <alignment vertical="center"/>
    </xf>
    <xf numFmtId="0" fontId="8" fillId="2" borderId="0" xfId="0" applyFont="1" applyFill="1" applyAlignment="1">
      <alignment vertical="center"/>
    </xf>
    <xf numFmtId="164" fontId="8" fillId="2" borderId="0" xfId="0" applyNumberFormat="1" applyFont="1" applyFill="1" applyAlignment="1">
      <alignment vertical="center"/>
    </xf>
    <xf numFmtId="0" fontId="1" fillId="0" borderId="0" xfId="0" applyFont="1" applyAlignment="1">
      <alignment vertical="center" wrapText="1"/>
    </xf>
    <xf numFmtId="164" fontId="5" fillId="3" borderId="0" xfId="0" applyNumberFormat="1" applyFont="1" applyFill="1" applyAlignment="1">
      <alignment vertical="center"/>
    </xf>
    <xf numFmtId="0" fontId="6" fillId="4" borderId="0" xfId="0" applyFont="1" applyFill="1" applyAlignment="1">
      <alignment vertical="center" wrapText="1"/>
    </xf>
    <xf numFmtId="164" fontId="9" fillId="0" borderId="0" xfId="0" applyNumberFormat="1" applyFont="1" applyAlignment="1">
      <alignment vertical="center"/>
    </xf>
    <xf numFmtId="17" fontId="6" fillId="4" borderId="0" xfId="0" applyNumberFormat="1" applyFont="1" applyFill="1" applyAlignment="1">
      <alignment vertical="center"/>
    </xf>
    <xf numFmtId="164" fontId="7" fillId="0" borderId="0" xfId="0" applyNumberFormat="1" applyFont="1" applyAlignment="1">
      <alignment vertical="center"/>
    </xf>
    <xf numFmtId="168" fontId="4" fillId="0" borderId="0" xfId="0" applyNumberFormat="1" applyFont="1" applyAlignment="1">
      <alignment vertical="center"/>
    </xf>
    <xf numFmtId="165" fontId="7" fillId="0" borderId="0" xfId="0" applyNumberFormat="1" applyFont="1" applyAlignment="1">
      <alignment vertical="center"/>
    </xf>
    <xf numFmtId="164" fontId="6" fillId="4" borderId="0" xfId="0" applyNumberFormat="1" applyFont="1" applyFill="1" applyAlignment="1">
      <alignment vertical="center" wrapText="1"/>
    </xf>
    <xf numFmtId="164" fontId="1" fillId="0" borderId="0" xfId="0" applyNumberFormat="1" applyFont="1" applyAlignment="1">
      <alignment vertical="center" wrapText="1"/>
    </xf>
    <xf numFmtId="164" fontId="8" fillId="5" borderId="0" xfId="0" applyNumberFormat="1" applyFont="1" applyFill="1" applyAlignment="1">
      <alignment vertical="center" wrapText="1"/>
    </xf>
    <xf numFmtId="167" fontId="9" fillId="0" borderId="0" xfId="0" applyNumberFormat="1" applyFont="1" applyAlignment="1">
      <alignment vertical="center"/>
    </xf>
    <xf numFmtId="166" fontId="1" fillId="0" borderId="0" xfId="0" applyNumberFormat="1" applyFont="1" applyAlignment="1">
      <alignment vertical="center"/>
    </xf>
    <xf numFmtId="0" fontId="6" fillId="6" borderId="0" xfId="0" applyFont="1" applyFill="1" applyAlignment="1">
      <alignment vertical="center"/>
    </xf>
    <xf numFmtId="164" fontId="6" fillId="6" borderId="0" xfId="0" applyNumberFormat="1" applyFont="1" applyFill="1" applyAlignment="1">
      <alignment vertical="center"/>
    </xf>
    <xf numFmtId="10" fontId="1" fillId="0" borderId="0" xfId="0" applyNumberFormat="1" applyFont="1" applyAlignment="1">
      <alignment vertical="center"/>
    </xf>
    <xf numFmtId="0" fontId="13" fillId="0" borderId="0" xfId="0" applyFont="1"/>
    <xf numFmtId="169" fontId="11" fillId="0" borderId="0" xfId="0" applyNumberFormat="1" applyFont="1"/>
    <xf numFmtId="169" fontId="1" fillId="0" borderId="0" xfId="0" applyNumberFormat="1" applyFont="1"/>
    <xf numFmtId="0" fontId="6" fillId="7" borderId="0" xfId="0" applyFont="1" applyFill="1"/>
    <xf numFmtId="164" fontId="6" fillId="7" borderId="0" xfId="0" applyNumberFormat="1" applyFont="1" applyFill="1"/>
    <xf numFmtId="164" fontId="5" fillId="8" borderId="0" xfId="0" applyNumberFormat="1" applyFont="1" applyFill="1"/>
    <xf numFmtId="170" fontId="5" fillId="8" borderId="0" xfId="0" applyNumberFormat="1" applyFont="1" applyFill="1"/>
    <xf numFmtId="169" fontId="5" fillId="8" borderId="0" xfId="0" applyNumberFormat="1" applyFont="1" applyFill="1"/>
    <xf numFmtId="171" fontId="5" fillId="8" borderId="0" xfId="0" applyNumberFormat="1" applyFont="1" applyFill="1"/>
    <xf numFmtId="172" fontId="5" fillId="8" borderId="0" xfId="0" applyNumberFormat="1" applyFont="1" applyFill="1"/>
    <xf numFmtId="174" fontId="1" fillId="0" borderId="0" xfId="0" applyNumberFormat="1" applyFont="1"/>
    <xf numFmtId="0" fontId="6" fillId="7" borderId="0" xfId="0" applyFont="1" applyFill="1" applyAlignment="1">
      <alignment vertical="center"/>
    </xf>
    <xf numFmtId="164" fontId="6" fillId="7" borderId="0" xfId="0" applyNumberFormat="1" applyFont="1" applyFill="1" applyAlignment="1">
      <alignment vertical="center"/>
    </xf>
    <xf numFmtId="174" fontId="1" fillId="0" borderId="0" xfId="0" applyNumberFormat="1" applyFont="1" applyAlignment="1">
      <alignment vertical="center"/>
    </xf>
    <xf numFmtId="169" fontId="1" fillId="0" borderId="0" xfId="0" applyNumberFormat="1" applyFont="1" applyAlignment="1">
      <alignment vertical="center"/>
    </xf>
    <xf numFmtId="174" fontId="4" fillId="0" borderId="0" xfId="0" applyNumberFormat="1" applyFont="1" applyAlignment="1">
      <alignment vertical="center"/>
    </xf>
    <xf numFmtId="169" fontId="4" fillId="0" borderId="0" xfId="0" applyNumberFormat="1" applyFont="1" applyAlignment="1">
      <alignment vertical="center"/>
    </xf>
    <xf numFmtId="167" fontId="4" fillId="0" borderId="0" xfId="0" applyNumberFormat="1" applyFont="1" applyAlignment="1">
      <alignment vertical="center"/>
    </xf>
    <xf numFmtId="172" fontId="4" fillId="0" borderId="0" xfId="0" applyNumberFormat="1" applyFont="1" applyAlignment="1">
      <alignment vertical="center"/>
    </xf>
    <xf numFmtId="169" fontId="7" fillId="0" borderId="0" xfId="0" applyNumberFormat="1" applyFont="1"/>
    <xf numFmtId="169" fontId="4" fillId="0" borderId="0" xfId="0" applyNumberFormat="1" applyFont="1"/>
    <xf numFmtId="173" fontId="4" fillId="0" borderId="0" xfId="0" applyNumberFormat="1" applyFont="1"/>
    <xf numFmtId="174" fontId="4" fillId="0" borderId="0" xfId="0" applyNumberFormat="1" applyFont="1"/>
    <xf numFmtId="1" fontId="6" fillId="7" borderId="0" xfId="0" applyNumberFormat="1" applyFont="1" applyFill="1"/>
    <xf numFmtId="0" fontId="1" fillId="9" borderId="0" xfId="0" applyFont="1" applyFill="1"/>
    <xf numFmtId="164" fontId="4" fillId="9" borderId="0" xfId="0" applyNumberFormat="1" applyFont="1" applyFill="1"/>
    <xf numFmtId="164" fontId="1" fillId="9" borderId="0" xfId="0" applyNumberFormat="1" applyFont="1" applyFill="1"/>
    <xf numFmtId="164" fontId="7" fillId="9" borderId="0" xfId="0" applyNumberFormat="1" applyFont="1" applyFill="1"/>
    <xf numFmtId="169" fontId="7" fillId="9" borderId="0" xfId="0" applyNumberFormat="1" applyFont="1" applyFill="1"/>
    <xf numFmtId="172" fontId="7" fillId="9" borderId="0" xfId="0" applyNumberFormat="1" applyFont="1" applyFill="1"/>
    <xf numFmtId="174" fontId="7" fillId="9" borderId="0" xfId="0" applyNumberFormat="1" applyFont="1" applyFill="1"/>
    <xf numFmtId="165" fontId="1" fillId="0" borderId="0" xfId="0" applyNumberFormat="1" applyFont="1"/>
    <xf numFmtId="175" fontId="1" fillId="0" borderId="0" xfId="0" applyNumberFormat="1" applyFont="1"/>
    <xf numFmtId="168" fontId="4" fillId="0" borderId="0" xfId="0" applyNumberFormat="1" applyFont="1" applyAlignment="1">
      <alignment horizontal="right"/>
    </xf>
    <xf numFmtId="168" fontId="1" fillId="0" borderId="0" xfId="0" applyNumberFormat="1" applyFont="1" applyAlignment="1">
      <alignment horizontal="right"/>
    </xf>
    <xf numFmtId="172" fontId="4" fillId="0" borderId="0" xfId="0" applyNumberFormat="1" applyFont="1" applyAlignment="1">
      <alignment horizontal="right"/>
    </xf>
    <xf numFmtId="172" fontId="1" fillId="0" borderId="0" xfId="0" applyNumberFormat="1" applyFont="1" applyAlignment="1">
      <alignment horizontal="right"/>
    </xf>
    <xf numFmtId="164" fontId="7" fillId="0" borderId="0" xfId="0" applyNumberFormat="1" applyFont="1" applyAlignment="1">
      <alignment horizontal="right"/>
    </xf>
    <xf numFmtId="164" fontId="4" fillId="0" borderId="0" xfId="0" applyNumberFormat="1" applyFont="1" applyAlignment="1">
      <alignment horizontal="right"/>
    </xf>
    <xf numFmtId="164" fontId="1" fillId="0" borderId="0" xfId="0" applyNumberFormat="1" applyFont="1" applyAlignment="1">
      <alignment horizontal="right"/>
    </xf>
    <xf numFmtId="164" fontId="7" fillId="2" borderId="0" xfId="0" applyNumberFormat="1" applyFont="1" applyFill="1" applyAlignment="1">
      <alignment horizontal="right"/>
    </xf>
    <xf numFmtId="164" fontId="1" fillId="2" borderId="0" xfId="0" applyNumberFormat="1" applyFont="1" applyFill="1" applyAlignment="1">
      <alignment horizontal="right"/>
    </xf>
    <xf numFmtId="173" fontId="7" fillId="2" borderId="0" xfId="0" applyNumberFormat="1" applyFont="1" applyFill="1" applyAlignment="1">
      <alignment horizontal="right"/>
    </xf>
    <xf numFmtId="173" fontId="1" fillId="2" borderId="0" xfId="0" applyNumberFormat="1" applyFont="1" applyFill="1" applyAlignment="1">
      <alignment horizontal="right"/>
    </xf>
    <xf numFmtId="173" fontId="7" fillId="0" borderId="0" xfId="0" applyNumberFormat="1" applyFont="1" applyAlignment="1">
      <alignment horizontal="right"/>
    </xf>
    <xf numFmtId="165" fontId="4" fillId="0" borderId="0" xfId="0" applyNumberFormat="1" applyFont="1" applyAlignment="1">
      <alignment vertical="center"/>
    </xf>
    <xf numFmtId="168" fontId="1" fillId="0" borderId="0" xfId="0" applyNumberFormat="1" applyFont="1" applyAlignment="1">
      <alignment vertical="center"/>
    </xf>
    <xf numFmtId="176" fontId="4" fillId="0" borderId="0" xfId="0" applyNumberFormat="1" applyFont="1"/>
    <xf numFmtId="164" fontId="4" fillId="0" borderId="0" xfId="0" applyNumberFormat="1" applyFont="1" applyAlignment="1">
      <alignment vertical="center" wrapText="1"/>
    </xf>
    <xf numFmtId="164" fontId="1" fillId="0" borderId="0" xfId="0" applyNumberFormat="1" applyFont="1" applyAlignment="1">
      <alignment vertical="center" wrapText="1"/>
    </xf>
    <xf numFmtId="0" fontId="14" fillId="0" borderId="0" xfId="0" applyFont="1" applyAlignment="1">
      <alignment vertical="center" wrapText="1"/>
    </xf>
    <xf numFmtId="164" fontId="14" fillId="0" borderId="0" xfId="0" applyNumberFormat="1" applyFont="1" applyAlignment="1">
      <alignment vertical="center" wrapText="1"/>
    </xf>
    <xf numFmtId="0" fontId="15" fillId="0" borderId="0" xfId="0" applyFont="1" applyAlignment="1">
      <alignment vertical="center" wrapText="1"/>
    </xf>
    <xf numFmtId="164" fontId="15" fillId="0" borderId="0" xfId="0" applyNumberFormat="1" applyFont="1" applyAlignment="1">
      <alignment vertical="center" wrapText="1"/>
    </xf>
    <xf numFmtId="0" fontId="6" fillId="4" borderId="0" xfId="0" applyFont="1" applyFill="1" applyAlignment="1">
      <alignment wrapText="1"/>
    </xf>
    <xf numFmtId="164" fontId="6" fillId="4" borderId="0" xfId="0" applyNumberFormat="1" applyFont="1" applyFill="1" applyAlignment="1">
      <alignment wrapText="1"/>
    </xf>
    <xf numFmtId="0" fontId="15" fillId="0" borderId="0" xfId="0" applyFont="1" applyAlignment="1">
      <alignment wrapText="1"/>
    </xf>
    <xf numFmtId="164" fontId="15" fillId="0" borderId="0" xfId="0" applyNumberFormat="1" applyFont="1" applyAlignment="1">
      <alignment wrapText="1"/>
    </xf>
    <xf numFmtId="0" fontId="1" fillId="0" borderId="0" xfId="0" applyFont="1" applyAlignment="1">
      <alignment wrapText="1"/>
    </xf>
    <xf numFmtId="164" fontId="1" fillId="0" borderId="0" xfId="0" applyNumberFormat="1" applyFont="1" applyAlignment="1">
      <alignment wrapText="1"/>
    </xf>
    <xf numFmtId="0" fontId="14" fillId="0" borderId="0" xfId="0" applyFont="1" applyAlignment="1">
      <alignment wrapText="1"/>
    </xf>
    <xf numFmtId="164" fontId="14" fillId="0" borderId="0" xfId="0" applyNumberFormat="1" applyFont="1" applyAlignment="1">
      <alignment wrapText="1"/>
    </xf>
    <xf numFmtId="164" fontId="7" fillId="0" borderId="0" xfId="0" applyNumberFormat="1" applyFont="1" applyAlignment="1">
      <alignment wrapText="1"/>
    </xf>
    <xf numFmtId="164" fontId="4" fillId="0" borderId="0" xfId="0" applyNumberFormat="1" applyFont="1" applyAlignment="1">
      <alignment wrapText="1"/>
    </xf>
  </cellXfs>
  <cellStyles count="1">
    <cellStyle name="Normal" xfId="0" builtinId="0"/>
  </cellStyles>
  <dxfs count="5">
    <dxf>
      <font>
        <b/>
        <color rgb="FFB00020"/>
      </font>
      <fill>
        <patternFill>
          <bgColor rgb="FFFDE9E7"/>
        </patternFill>
      </fill>
    </dxf>
    <dxf>
      <font>
        <color rgb="FFB00020"/>
      </font>
      <fill>
        <patternFill>
          <bgColor rgb="FFFDE9E7"/>
        </patternFill>
      </fill>
    </dxf>
    <dxf>
      <font>
        <color rgb="FFB00020"/>
      </font>
      <fill>
        <patternFill>
          <bgColor rgb="FFFDE9E7"/>
        </patternFill>
      </fill>
    </dxf>
    <dxf>
      <font>
        <color rgb="FFB00020"/>
      </font>
      <fill>
        <patternFill>
          <bgColor rgb="FFFDE9E7"/>
        </patternFill>
      </fill>
    </dxf>
    <dxf>
      <font>
        <color rgb="FFB00020"/>
      </font>
      <fill>
        <patternFill>
          <bgColor rgb="FFFDE9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A51D2D"/>
  </sheetPr>
  <dimension ref="A1:BN200"/>
  <sheetViews>
    <sheetView showGridLines="0" tabSelected="1" workbookViewId="0"/>
  </sheetViews>
  <sheetFormatPr baseColWidth="10" defaultColWidth="8.83203125" defaultRowHeight="14"/>
  <cols>
    <col min="1" max="2" width="2" customWidth="1"/>
    <col min="3" max="3" width="48" customWidth="1"/>
    <col min="4" max="4" width="3" customWidth="1"/>
    <col min="5" max="66" width="14" customWidth="1"/>
  </cols>
  <sheetData>
    <row r="1" spans="1:66" ht="20" customHeight="1">
      <c r="A1" s="30"/>
      <c r="B1" s="30"/>
      <c r="C1" s="31"/>
      <c r="D1" s="31"/>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row>
    <row r="2" spans="1:66" ht="20" customHeight="1">
      <c r="A2" s="30"/>
      <c r="B2" s="30"/>
      <c r="C2" s="33" t="s">
        <v>0</v>
      </c>
      <c r="D2" s="31"/>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row>
    <row r="3" spans="1:66" ht="20" customHeight="1">
      <c r="A3" s="30"/>
      <c r="B3" s="30"/>
      <c r="C3" s="34" t="s">
        <v>1</v>
      </c>
      <c r="D3" s="31"/>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row>
    <row r="4" spans="1:66" ht="20" customHeight="1">
      <c r="A4" s="30"/>
      <c r="B4" s="30"/>
      <c r="C4" s="31" t="s">
        <v>2</v>
      </c>
      <c r="D4" s="31"/>
      <c r="E4" s="35" t="str">
        <f>CHOOSE(Assumptions!$E$5,"Base","Downside","Upside")</f>
        <v>Base</v>
      </c>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row>
    <row r="5" spans="1:66" ht="20" customHeight="1">
      <c r="A5" s="30"/>
      <c r="B5" s="30"/>
      <c r="C5" s="31"/>
      <c r="D5" s="31"/>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row>
    <row r="6" spans="1:66" ht="20" customHeight="1">
      <c r="A6" s="30"/>
      <c r="B6" s="30"/>
      <c r="C6" s="31"/>
      <c r="D6" s="31"/>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row>
    <row r="7" spans="1:66" ht="24" customHeight="1">
      <c r="A7" s="30"/>
      <c r="B7" s="30"/>
      <c r="C7" s="36" t="s">
        <v>3</v>
      </c>
      <c r="D7" s="36"/>
      <c r="E7" s="37">
        <v>2027</v>
      </c>
      <c r="F7" s="37">
        <v>2028</v>
      </c>
      <c r="G7" s="37">
        <v>2029</v>
      </c>
      <c r="H7" s="37">
        <v>2030</v>
      </c>
      <c r="I7" s="37">
        <v>2031</v>
      </c>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2"/>
      <c r="BN7" s="32"/>
    </row>
    <row r="8" spans="1:66" ht="20" customHeight="1">
      <c r="A8" s="30"/>
      <c r="B8" s="30"/>
      <c r="C8" s="31" t="s">
        <v>4</v>
      </c>
      <c r="D8" s="31"/>
      <c r="E8" s="32">
        <f>Statements!E8</f>
        <v>750</v>
      </c>
      <c r="F8" s="32">
        <f>Statements!F8</f>
        <v>714.70000000000027</v>
      </c>
      <c r="G8" s="32">
        <f>Statements!G8</f>
        <v>728.71500000000015</v>
      </c>
      <c r="H8" s="32">
        <f>Statements!H8</f>
        <v>743.11845000000005</v>
      </c>
      <c r="I8" s="32">
        <f>Statements!I8</f>
        <v>757.92136349999998</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row>
    <row r="9" spans="1:66" ht="23" customHeight="1">
      <c r="A9" s="30"/>
      <c r="B9" s="30"/>
      <c r="C9" s="39" t="s">
        <v>5</v>
      </c>
      <c r="D9" s="39"/>
      <c r="E9" s="40">
        <f>Statements!E11</f>
        <v>214.99999999999991</v>
      </c>
      <c r="F9" s="40">
        <f>Statements!F11</f>
        <v>177.00000000000003</v>
      </c>
      <c r="G9" s="40">
        <f>Statements!G11</f>
        <v>183.50100000000006</v>
      </c>
      <c r="H9" s="40">
        <f>Statements!H11</f>
        <v>185.48017000000002</v>
      </c>
      <c r="I9" s="40">
        <f>Statements!I11</f>
        <v>182.85031789999982</v>
      </c>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row>
    <row r="10" spans="1:66" ht="20" customHeight="1">
      <c r="A10" s="30"/>
      <c r="B10" s="30"/>
      <c r="C10" s="31" t="s">
        <v>6</v>
      </c>
      <c r="D10" s="31"/>
      <c r="E10" s="32">
        <f>Statements!E23</f>
        <v>-20.075187073107323</v>
      </c>
      <c r="F10" s="32">
        <f>Statements!F23</f>
        <v>-38.065207444041953</v>
      </c>
      <c r="G10" s="32">
        <f>Statements!G23</f>
        <v>-0.83279506269911074</v>
      </c>
      <c r="H10" s="32">
        <f>Statements!H23</f>
        <v>32.614492144257966</v>
      </c>
      <c r="I10" s="32">
        <f>Statements!I23</f>
        <v>53.310518032526758</v>
      </c>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row>
    <row r="11" spans="1:66" ht="20" customHeight="1">
      <c r="A11" s="30"/>
      <c r="B11" s="30"/>
      <c r="C11" s="31" t="s">
        <v>7</v>
      </c>
      <c r="D11" s="31"/>
      <c r="E11" s="32">
        <f>Statements!E31</f>
        <v>-119.89097913008166</v>
      </c>
      <c r="F11" s="32">
        <f>Statements!F31</f>
        <v>-30.391151867864661</v>
      </c>
      <c r="G11" s="32">
        <f>Statements!G31</f>
        <v>85.591263741740661</v>
      </c>
      <c r="H11" s="32">
        <f>Statements!H31</f>
        <v>58.778507392766628</v>
      </c>
      <c r="I11" s="32">
        <f>Statements!I31</f>
        <v>60.709947653987655</v>
      </c>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row>
    <row r="12" spans="1:66" ht="20" customHeight="1">
      <c r="A12" s="30"/>
      <c r="B12" s="30"/>
      <c r="C12" s="31" t="s">
        <v>8</v>
      </c>
      <c r="D12" s="31"/>
      <c r="E12" s="32">
        <f>Statements!E52</f>
        <v>245.50322858254228</v>
      </c>
      <c r="F12" s="32">
        <f>Statements!F52</f>
        <v>265.22177728713041</v>
      </c>
      <c r="G12" s="32">
        <f>Statements!G52</f>
        <v>256.63236367493704</v>
      </c>
      <c r="H12" s="32">
        <f>Statements!H52</f>
        <v>183.18726225459531</v>
      </c>
      <c r="I12" s="32">
        <f>Statements!I52</f>
        <v>130.30952562178459</v>
      </c>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row>
    <row r="13" spans="1:66" ht="23" customHeight="1">
      <c r="A13" s="30"/>
      <c r="B13" s="30"/>
      <c r="C13" s="39" t="s">
        <v>9</v>
      </c>
      <c r="D13" s="39"/>
      <c r="E13" s="40">
        <f>Statements!E53</f>
        <v>0</v>
      </c>
      <c r="F13" s="40">
        <f>Statements!F53</f>
        <v>0</v>
      </c>
      <c r="G13" s="40">
        <f>Statements!G53</f>
        <v>0</v>
      </c>
      <c r="H13" s="40">
        <f>Statements!H53</f>
        <v>3.5527136788005009E-15</v>
      </c>
      <c r="I13" s="40">
        <f>Statements!I53</f>
        <v>0</v>
      </c>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row>
    <row r="14" spans="1:66" ht="20" customHeight="1">
      <c r="A14" s="30"/>
      <c r="B14" s="30"/>
      <c r="C14" s="31" t="s">
        <v>10</v>
      </c>
      <c r="D14" s="31"/>
      <c r="E14" s="32">
        <f>'PL bridge'!E18</f>
        <v>205.40098075109211</v>
      </c>
      <c r="F14" s="32">
        <f>'PL bridge'!F18</f>
        <v>185.30730126786932</v>
      </c>
      <c r="G14" s="32">
        <f>'PL bridge'!G18</f>
        <v>214.21561417865223</v>
      </c>
      <c r="H14" s="32">
        <f>'PL bridge'!H18</f>
        <v>240.84173033284441</v>
      </c>
      <c r="I14" s="32">
        <f>'PL bridge'!I18</f>
        <v>259.64988841451299</v>
      </c>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row>
    <row r="15" spans="1:66" ht="20" customHeight="1">
      <c r="A15" s="30"/>
      <c r="B15" s="30"/>
      <c r="C15" s="31" t="s">
        <v>11</v>
      </c>
      <c r="D15" s="31"/>
      <c r="E15" s="32">
        <f>'PL bridge'!E26</f>
        <v>187.65098075109211</v>
      </c>
      <c r="F15" s="32">
        <f>'PL bridge'!F26</f>
        <v>167.55730126786932</v>
      </c>
      <c r="G15" s="32">
        <f>'PL bridge'!G26</f>
        <v>196.46561417865223</v>
      </c>
      <c r="H15" s="32">
        <f>'PL bridge'!H26</f>
        <v>223.09173033284441</v>
      </c>
      <c r="I15" s="32">
        <f>'PL bridge'!I26</f>
        <v>241.89988841451299</v>
      </c>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row>
    <row r="16" spans="1:66" ht="20" customHeight="1">
      <c r="A16" s="30"/>
      <c r="B16" s="30"/>
      <c r="C16" s="31" t="s">
        <v>12</v>
      </c>
      <c r="D16" s="31"/>
      <c r="E16" s="32">
        <f>'PL bridge'!E49</f>
        <v>218.41010000000006</v>
      </c>
      <c r="F16" s="32">
        <f>'PL bridge'!F49</f>
        <v>122.90851560571423</v>
      </c>
      <c r="G16" s="32">
        <f>'PL bridge'!G49</f>
        <v>115.96386595020203</v>
      </c>
      <c r="H16" s="32">
        <f>'PL bridge'!H49</f>
        <v>212.00617552530321</v>
      </c>
      <c r="I16" s="32">
        <f>'PL bridge'!I49</f>
        <v>311.82191147908748</v>
      </c>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row>
    <row r="17" spans="1:66" ht="20" customHeight="1">
      <c r="A17" s="30"/>
      <c r="B17" s="30"/>
      <c r="C17" s="31" t="s">
        <v>13</v>
      </c>
      <c r="D17" s="31"/>
      <c r="E17" s="32">
        <f>'UEFA bridge'!E18</f>
        <v>81.602628578247618</v>
      </c>
      <c r="F17" s="32">
        <f>'UEFA bridge'!F18</f>
        <v>80.547074949773332</v>
      </c>
      <c r="G17" s="32">
        <f>'UEFA bridge'!G18</f>
        <v>87.628468246082491</v>
      </c>
      <c r="H17" s="32">
        <f>'UEFA bridge'!H18</f>
        <v>114.80612995351618</v>
      </c>
      <c r="I17" s="32">
        <f>'UEFA bridge'!I18</f>
        <v>136.28487220481566</v>
      </c>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row>
    <row r="18" spans="1:66" ht="20" customHeight="1">
      <c r="A18" s="30"/>
      <c r="B18" s="30"/>
      <c r="C18" s="31" t="s">
        <v>14</v>
      </c>
      <c r="D18" s="31"/>
      <c r="E18" s="32">
        <f>'UEFA bridge'!E27</f>
        <v>-60.772999999999996</v>
      </c>
      <c r="F18" s="32">
        <f>'UEFA bridge'!F27</f>
        <v>58.832090131699687</v>
      </c>
      <c r="G18" s="32">
        <f>'UEFA bridge'!G27</f>
        <v>14.130882687657749</v>
      </c>
      <c r="H18" s="32">
        <f>'UEFA bridge'!H27</f>
        <v>61.283087624958668</v>
      </c>
      <c r="I18" s="32">
        <f>'UEFA bridge'!I27</f>
        <v>106.01648963751693</v>
      </c>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row>
    <row r="19" spans="1:66" ht="20" customHeight="1">
      <c r="A19" s="30"/>
      <c r="B19" s="30"/>
      <c r="C19" s="31"/>
      <c r="D19" s="31"/>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row>
    <row r="20" spans="1:66" ht="20" customHeight="1">
      <c r="A20" s="30"/>
      <c r="B20" s="30"/>
      <c r="C20" s="31"/>
      <c r="D20" s="31"/>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row>
    <row r="21" spans="1:66" ht="23" customHeight="1">
      <c r="A21" s="30"/>
      <c r="B21" s="30"/>
      <c r="C21" s="39" t="s">
        <v>15</v>
      </c>
      <c r="D21" s="39"/>
      <c r="E21" s="40"/>
      <c r="F21" s="40"/>
      <c r="G21" s="40"/>
      <c r="H21" s="40"/>
      <c r="I21" s="40"/>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row>
    <row r="22" spans="1:66" ht="20" customHeight="1">
      <c r="A22" s="30"/>
      <c r="B22" s="30"/>
      <c r="C22" s="31" t="s">
        <v>16</v>
      </c>
      <c r="D22" s="31"/>
      <c r="E22" s="32">
        <f>MIN('Debt cash'!E47:BL47)</f>
        <v>134.77822271286959</v>
      </c>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row>
    <row r="23" spans="1:66" ht="20" customHeight="1">
      <c r="A23" s="30"/>
      <c r="B23" s="30"/>
      <c r="C23" s="31" t="s">
        <v>17</v>
      </c>
      <c r="D23" s="31"/>
      <c r="E23" s="32">
        <f>MIN('Debt cash'!E38:BL38)</f>
        <v>52.000000000000028</v>
      </c>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row>
    <row r="24" spans="1:66" ht="20" customHeight="1">
      <c r="A24" s="30"/>
      <c r="B24" s="30"/>
      <c r="C24" s="31" t="s">
        <v>18</v>
      </c>
      <c r="D24" s="31"/>
      <c r="E24" s="32">
        <f>MIN('PL bridge'!E18:I18,'PL bridge'!E26:I26)</f>
        <v>167.55730126786932</v>
      </c>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row>
    <row r="25" spans="1:66" ht="20" customHeight="1">
      <c r="A25" s="30"/>
      <c r="B25" s="30"/>
      <c r="C25" s="31" t="s">
        <v>19</v>
      </c>
      <c r="D25" s="31"/>
      <c r="E25" s="32">
        <f>MIN('PL bridge'!E37:I37)</f>
        <v>147.02822271286959</v>
      </c>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row>
    <row r="26" spans="1:66" ht="20" customHeight="1">
      <c r="A26" s="30"/>
      <c r="B26" s="30"/>
      <c r="C26" s="31" t="s">
        <v>20</v>
      </c>
      <c r="D26" s="31"/>
      <c r="E26" s="32">
        <f>MIN('PL bridge'!E42:H42)</f>
        <v>399.56386900205376</v>
      </c>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row>
    <row r="27" spans="1:66" ht="20" customHeight="1">
      <c r="A27" s="30"/>
      <c r="B27" s="30"/>
      <c r="C27" s="31" t="s">
        <v>21</v>
      </c>
      <c r="D27" s="31"/>
      <c r="E27" s="32">
        <f>MIN('PL bridge'!E49:I49)</f>
        <v>115.96386595020203</v>
      </c>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row>
    <row r="28" spans="1:66" ht="20" customHeight="1">
      <c r="A28" s="30"/>
      <c r="B28" s="30"/>
      <c r="C28" s="31" t="s">
        <v>22</v>
      </c>
      <c r="D28" s="31"/>
      <c r="E28" s="32">
        <f>MIN(IF('UEFA bridge'!E19=1,'UEFA bridge'!E18,1000000),IF('UEFA bridge'!F19=1,'UEFA bridge'!F18,1000000),IF('UEFA bridge'!G19=1,'UEFA bridge'!G18,1000000),IF('UEFA bridge'!H19=1,'UEFA bridge'!H18,1000000),IF('UEFA bridge'!I19=1,'UEFA bridge'!I18,1000000),IF(Assumptions!I303=1,'UEFA bridge'!E38,1000000))</f>
        <v>80.547074949773332</v>
      </c>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row>
    <row r="29" spans="1:66" ht="20" customHeight="1">
      <c r="A29" s="30"/>
      <c r="B29" s="30"/>
      <c r="C29" s="31" t="s">
        <v>23</v>
      </c>
      <c r="D29" s="31"/>
      <c r="E29" s="32">
        <f>MIN(IF('UEFA bridge'!E19=1,'UEFA bridge'!E27,1000000),IF('UEFA bridge'!F19=1,'UEFA bridge'!F27,1000000),IF('UEFA bridge'!G19=1,'UEFA bridge'!G27,1000000),IF('UEFA bridge'!H19=1,'UEFA bridge'!H27,1000000),IF('UEFA bridge'!I19=1,'UEFA bridge'!I27,1000000),IF(Assumptions!I303=1,'UEFA bridge'!E37,1000000))</f>
        <v>-60.772999999999996</v>
      </c>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row>
    <row r="30" spans="1:66" ht="20" customHeight="1">
      <c r="A30" s="30"/>
      <c r="B30" s="30"/>
      <c r="C30" s="31" t="s">
        <v>24</v>
      </c>
      <c r="D30" s="31"/>
      <c r="E30" s="35">
        <f>MIN(IF('UEFA bridge'!E19=1,'UEFA bridge'!E33,1000000),IF('UEFA bridge'!F19=1,'UEFA bridge'!F33,1000000),IF('UEFA bridge'!G19=1,'UEFA bridge'!G33,1000000),IF('UEFA bridge'!H19=1,'UEFA bridge'!H33,1000000),IF('UEFA bridge'!I19=1,'UEFA bridge'!I33,1000000))</f>
        <v>107.32723198303954</v>
      </c>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row>
    <row r="31" spans="1:66" ht="20" customHeight="1">
      <c r="A31" s="30"/>
      <c r="B31" s="30"/>
      <c r="C31" s="31"/>
      <c r="D31" s="31"/>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row>
    <row r="32" spans="1:66" ht="23" customHeight="1">
      <c r="A32" s="30"/>
      <c r="B32" s="30"/>
      <c r="C32" s="39" t="s">
        <v>25</v>
      </c>
      <c r="D32" s="39"/>
      <c r="E32" s="40">
        <f>MIN(E22:E30)</f>
        <v>-60.772999999999996</v>
      </c>
      <c r="F32" s="40"/>
      <c r="G32" s="40"/>
      <c r="H32" s="40"/>
      <c r="I32" s="40"/>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row>
    <row r="33" spans="1:66" ht="20" customHeight="1">
      <c r="A33" s="30"/>
      <c r="B33" s="30"/>
      <c r="C33" s="31" t="s">
        <v>26</v>
      </c>
      <c r="D33" s="31"/>
      <c r="E33" s="32" t="str">
        <f>INDEX(C22:C30,MATCH(E32,E22:E30,0))</f>
        <v>UEFA football earnings</v>
      </c>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row>
    <row r="34" spans="1:66" ht="23" customHeight="1">
      <c r="A34" s="30"/>
      <c r="B34" s="30"/>
      <c r="C34" s="39" t="s">
        <v>27</v>
      </c>
      <c r="D34" s="39"/>
      <c r="E34" s="40" t="str">
        <f>IF(E32&gt;=0,"Within modelled screens","Outside modelled screens")</f>
        <v>Outside modelled screens</v>
      </c>
      <c r="F34" s="40"/>
      <c r="G34" s="40"/>
      <c r="H34" s="40"/>
      <c r="I34" s="40"/>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row>
    <row r="35" spans="1:66" ht="20" customHeight="1">
      <c r="A35" s="30"/>
      <c r="B35" s="30"/>
      <c r="C35" s="31"/>
      <c r="D35" s="31"/>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row>
    <row r="36" spans="1:66" ht="20" customHeight="1">
      <c r="A36" s="30"/>
      <c r="B36" s="30"/>
      <c r="C36" s="31" t="s">
        <v>28</v>
      </c>
      <c r="D36" s="31"/>
      <c r="E36" s="32" t="str">
        <f>IF(Capacity!E8=1,"Uncommitted rollover assumed","Contractual repayment required")</f>
        <v>Uncommitted rollover assumed</v>
      </c>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row>
    <row r="37" spans="1:66" ht="20" customHeight="1">
      <c r="A37" s="30"/>
      <c r="B37" s="30"/>
      <c r="C37" s="31"/>
      <c r="D37" s="31"/>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row>
    <row r="38" spans="1:66" ht="20" customHeight="1">
      <c r="A38" s="30"/>
      <c r="B38" s="30"/>
      <c r="C38" s="31" t="s">
        <v>29</v>
      </c>
      <c r="D38" s="31"/>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row>
    <row r="39" spans="1:66" ht="20" customHeight="1">
      <c r="A39" s="30"/>
      <c r="B39" s="30"/>
      <c r="C39" s="31" t="s">
        <v>30</v>
      </c>
      <c r="D39" s="31"/>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row>
    <row r="40" spans="1:66" ht="20" customHeight="1">
      <c r="A40" s="30"/>
      <c r="B40" s="30"/>
      <c r="C40" s="31" t="s">
        <v>31</v>
      </c>
      <c r="D40" s="31"/>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row>
    <row r="41" spans="1:66" ht="20" customHeight="1">
      <c r="A41" s="30"/>
      <c r="B41" s="30"/>
      <c r="C41" s="31"/>
      <c r="D41" s="31"/>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row>
    <row r="42" spans="1:66" ht="20" customHeight="1">
      <c r="A42" s="30"/>
      <c r="B42" s="30"/>
      <c r="C42" s="31" t="s">
        <v>32</v>
      </c>
      <c r="D42" s="31"/>
      <c r="E42" s="32">
        <f>MIN(E22:E28,E30,IF('UEFA bridge'!F19=1,'UEFA bridge'!F27,1000000),IF('UEFA bridge'!G19=1,'UEFA bridge'!G27,1000000),IF('UEFA bridge'!H19=1,'UEFA bridge'!H27,1000000),IF('UEFA bridge'!I19=1,'UEFA bridge'!I27,1000000),IF(Assumptions!I303=1,'UEFA bridge'!E37,1000000))</f>
        <v>14.130882687657749</v>
      </c>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row>
    <row r="43" spans="1:66" ht="20" customHeight="1">
      <c r="A43" s="30"/>
      <c r="B43" s="30"/>
      <c r="C43" s="31" t="s">
        <v>33</v>
      </c>
      <c r="D43" s="31"/>
      <c r="E43" s="32">
        <f>MAX(0,-'UEFA bridge'!E27)</f>
        <v>60.772999999999996</v>
      </c>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row>
    <row r="44" spans="1:66" ht="20" customHeight="1">
      <c r="A44" s="30"/>
      <c r="B44" s="30"/>
      <c r="C44" s="31" t="s">
        <v>34</v>
      </c>
      <c r="D44" s="31"/>
      <c r="E44" s="32">
        <f>MAX(0,-'UEFA bridge'!E22-'UEFA bridge'!E26)/3</f>
        <v>55.257666666666665</v>
      </c>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row>
    <row r="45" spans="1:66" ht="20" customHeight="1">
      <c r="A45" s="30"/>
      <c r="B45" s="30"/>
      <c r="C45" s="31"/>
      <c r="D45" s="31"/>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row>
    <row r="46" spans="1:66" ht="20" customHeight="1">
      <c r="A46" s="30"/>
      <c r="B46" s="30"/>
      <c r="C46" s="31" t="s">
        <v>35</v>
      </c>
      <c r="D46" s="31"/>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row>
    <row r="47" spans="1:66" ht="20" customHeight="1">
      <c r="A47" s="30"/>
      <c r="B47" s="30"/>
      <c r="C47" s="31"/>
      <c r="D47" s="31"/>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row>
    <row r="48" spans="1:66" ht="20" customHeight="1">
      <c r="A48" s="30"/>
      <c r="B48" s="30"/>
      <c r="C48" s="31"/>
      <c r="D48" s="31"/>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row>
    <row r="49" spans="1:66" ht="25" customHeight="1">
      <c r="A49" s="30"/>
      <c r="B49" s="30"/>
      <c r="C49" s="68" t="s">
        <v>36</v>
      </c>
      <c r="D49" s="68"/>
      <c r="E49" s="69"/>
      <c r="F49" s="69"/>
      <c r="G49" s="69"/>
      <c r="H49" s="69"/>
      <c r="I49" s="69"/>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row>
    <row r="50" spans="1:66" ht="20" customHeight="1">
      <c r="A50" s="30"/>
      <c r="B50" s="30"/>
      <c r="C50" s="31" t="s">
        <v>37</v>
      </c>
      <c r="D50" s="31"/>
      <c r="E50" s="35">
        <f>Valuation!E63</f>
        <v>424.29787127442751</v>
      </c>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row>
    <row r="51" spans="1:66" ht="20" customHeight="1">
      <c r="A51" s="30"/>
      <c r="B51" s="30"/>
      <c r="C51" s="31" t="s">
        <v>38</v>
      </c>
      <c r="D51" s="31"/>
      <c r="E51" s="35">
        <f>Valuation!E71</f>
        <v>0</v>
      </c>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row>
    <row r="52" spans="1:66" ht="20" customHeight="1">
      <c r="A52" s="30"/>
      <c r="B52" s="30"/>
      <c r="C52" s="31" t="s">
        <v>39</v>
      </c>
      <c r="D52" s="31"/>
      <c r="E52" s="72">
        <f>Valuation!E72</f>
        <v>0</v>
      </c>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row>
    <row r="53" spans="1:66" ht="20" customHeight="1">
      <c r="A53" s="30"/>
      <c r="B53" s="30"/>
      <c r="C53" s="31" t="s">
        <v>40</v>
      </c>
      <c r="D53" s="31"/>
      <c r="E53" s="72">
        <f>Valuation!E10</f>
        <v>20.95</v>
      </c>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row>
    <row r="54" spans="1:66" ht="20" customHeight="1">
      <c r="A54" s="30"/>
      <c r="B54" s="30"/>
      <c r="C54" s="31" t="s">
        <v>41</v>
      </c>
      <c r="D54" s="31"/>
      <c r="E54" s="73">
        <f>Valuation!E20</f>
        <v>0.10047239999999999</v>
      </c>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row>
    <row r="55" spans="1:66" ht="20" customHeight="1">
      <c r="A55" s="30"/>
      <c r="B55" s="30"/>
      <c r="C55" s="31" t="s">
        <v>42</v>
      </c>
      <c r="D55" s="31"/>
      <c r="E55" s="35">
        <f>Valuation!E57</f>
        <v>38.500936978657982</v>
      </c>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row>
    <row r="56" spans="1:66" ht="28" customHeight="1">
      <c r="A56" s="30"/>
      <c r="B56" s="30"/>
      <c r="C56" s="31" t="s">
        <v>43</v>
      </c>
      <c r="D56" s="31"/>
      <c r="E56" s="105" t="str">
        <f>Valuation!E77</f>
        <v>No positive DCF residual equity</v>
      </c>
      <c r="F56" s="106"/>
      <c r="G56" s="106"/>
      <c r="H56" s="106"/>
      <c r="I56" s="106"/>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row>
    <row r="57" spans="1:66" ht="28" customHeight="1">
      <c r="A57" s="30"/>
      <c r="B57" s="30"/>
      <c r="C57" s="31" t="s">
        <v>44</v>
      </c>
      <c r="D57" s="31"/>
      <c r="E57" s="105" t="str">
        <f>Valuation!E78</f>
        <v>Conditional on uncommitted refinancing</v>
      </c>
      <c r="F57" s="106"/>
      <c r="G57" s="106"/>
      <c r="H57" s="106"/>
      <c r="I57" s="106"/>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row>
    <row r="58" spans="1:66" ht="20" customHeight="1">
      <c r="A58" s="30"/>
      <c r="B58" s="30"/>
      <c r="C58" s="31"/>
      <c r="D58" s="31"/>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row>
    <row r="59" spans="1:66" ht="36" customHeight="1">
      <c r="A59" s="30"/>
      <c r="B59" s="30"/>
      <c r="C59" s="107" t="s">
        <v>45</v>
      </c>
      <c r="D59" s="107"/>
      <c r="E59" s="108"/>
      <c r="F59" s="108"/>
      <c r="G59" s="108"/>
      <c r="H59" s="108"/>
      <c r="I59" s="108"/>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row>
    <row r="60" spans="1:66" ht="36" customHeight="1">
      <c r="A60" s="30"/>
      <c r="B60" s="30"/>
      <c r="C60" s="107" t="s">
        <v>46</v>
      </c>
      <c r="D60" s="107"/>
      <c r="E60" s="108"/>
      <c r="F60" s="108"/>
      <c r="G60" s="108"/>
      <c r="H60" s="108"/>
      <c r="I60" s="108"/>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row>
    <row r="61" spans="1:66" ht="54" customHeight="1">
      <c r="A61" s="30"/>
      <c r="B61" s="30"/>
      <c r="C61" s="109" t="s">
        <v>47</v>
      </c>
      <c r="D61" s="109"/>
      <c r="E61" s="110"/>
      <c r="F61" s="110"/>
      <c r="G61" s="110"/>
      <c r="H61" s="110"/>
      <c r="I61" s="110"/>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row>
    <row r="62" spans="1:66" ht="20" customHeight="1">
      <c r="A62" s="30"/>
      <c r="B62" s="30"/>
      <c r="C62" s="31"/>
      <c r="D62" s="31"/>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row>
    <row r="63" spans="1:66" ht="20" customHeight="1">
      <c r="A63" s="30"/>
      <c r="B63" s="30"/>
      <c r="C63" s="31"/>
      <c r="D63" s="31"/>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row>
    <row r="64" spans="1:66" ht="20" customHeight="1">
      <c r="A64" s="30"/>
      <c r="B64" s="30"/>
      <c r="C64" s="31"/>
      <c r="D64" s="31"/>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row>
    <row r="65" spans="1:66" ht="20" customHeight="1">
      <c r="A65" s="30"/>
      <c r="B65" s="30"/>
      <c r="C65" s="31"/>
      <c r="D65" s="31"/>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row>
    <row r="66" spans="1:66" ht="20" customHeight="1">
      <c r="A66" s="30"/>
      <c r="B66" s="30"/>
      <c r="C66" s="31"/>
      <c r="D66" s="31"/>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row>
    <row r="67" spans="1:66" ht="20" customHeight="1">
      <c r="A67" s="30"/>
      <c r="B67" s="30"/>
      <c r="C67" s="31"/>
      <c r="D67" s="31"/>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row>
    <row r="68" spans="1:66" ht="20" customHeight="1">
      <c r="A68" s="30"/>
      <c r="B68" s="30"/>
      <c r="C68" s="31"/>
      <c r="D68" s="31"/>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row>
    <row r="69" spans="1:66" ht="20" customHeight="1">
      <c r="A69" s="30"/>
      <c r="B69" s="30"/>
      <c r="C69" s="31"/>
      <c r="D69" s="31"/>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row>
    <row r="70" spans="1:66" ht="20" customHeight="1">
      <c r="A70" s="30"/>
      <c r="B70" s="30"/>
      <c r="C70" s="31"/>
      <c r="D70" s="31"/>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row>
    <row r="71" spans="1:66" ht="20" customHeight="1">
      <c r="A71" s="30"/>
      <c r="B71" s="30"/>
      <c r="C71" s="31"/>
      <c r="D71" s="31"/>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row>
    <row r="72" spans="1:66" ht="20" customHeight="1">
      <c r="A72" s="30"/>
      <c r="B72" s="30"/>
      <c r="C72" s="31"/>
      <c r="D72" s="31"/>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row>
    <row r="73" spans="1:66" ht="20" customHeight="1">
      <c r="A73" s="30"/>
      <c r="B73" s="30"/>
      <c r="C73" s="31"/>
      <c r="D73" s="31"/>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row>
    <row r="74" spans="1:66" ht="20" customHeight="1">
      <c r="A74" s="30"/>
      <c r="B74" s="30"/>
      <c r="C74" s="31"/>
      <c r="D74" s="31"/>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row>
    <row r="75" spans="1:66" ht="20" customHeight="1">
      <c r="A75" s="30"/>
      <c r="B75" s="30"/>
      <c r="C75" s="31"/>
      <c r="D75" s="31"/>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row>
    <row r="76" spans="1:66" ht="20" customHeight="1">
      <c r="A76" s="30"/>
      <c r="B76" s="30"/>
      <c r="C76" s="31"/>
      <c r="D76" s="31"/>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row>
    <row r="77" spans="1:66" ht="20" customHeight="1">
      <c r="A77" s="30"/>
      <c r="B77" s="30"/>
      <c r="C77" s="31"/>
      <c r="D77" s="31"/>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row>
    <row r="78" spans="1:66" ht="20" customHeight="1">
      <c r="A78" s="30"/>
      <c r="B78" s="30"/>
      <c r="C78" s="31"/>
      <c r="D78" s="31"/>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row>
    <row r="79" spans="1:66" ht="20" customHeight="1">
      <c r="A79" s="30"/>
      <c r="B79" s="30"/>
      <c r="C79" s="31"/>
      <c r="D79" s="31"/>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row>
    <row r="80" spans="1:66" ht="20" customHeight="1">
      <c r="A80" s="30"/>
      <c r="B80" s="30"/>
      <c r="C80" s="31"/>
      <c r="D80" s="31"/>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row>
    <row r="81" spans="1:66" ht="20" customHeight="1">
      <c r="A81" s="30"/>
      <c r="B81" s="30"/>
      <c r="C81" s="31"/>
      <c r="D81" s="31"/>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row>
    <row r="82" spans="1:66" ht="20" customHeight="1">
      <c r="A82" s="30"/>
      <c r="B82" s="30"/>
      <c r="C82" s="31"/>
      <c r="D82" s="31"/>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row>
    <row r="83" spans="1:66" ht="20" customHeight="1">
      <c r="A83" s="30"/>
      <c r="B83" s="30"/>
      <c r="C83" s="31"/>
      <c r="D83" s="31"/>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row>
    <row r="84" spans="1:66" ht="20" customHeight="1">
      <c r="A84" s="30"/>
      <c r="B84" s="30"/>
      <c r="C84" s="31"/>
      <c r="D84" s="31"/>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row>
    <row r="85" spans="1:66" ht="20" customHeight="1">
      <c r="A85" s="30"/>
      <c r="B85" s="30"/>
      <c r="C85" s="31"/>
      <c r="D85" s="31"/>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row>
    <row r="86" spans="1:66" ht="20" customHeight="1">
      <c r="A86" s="30"/>
      <c r="B86" s="30"/>
      <c r="C86" s="31"/>
      <c r="D86" s="31"/>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row>
    <row r="87" spans="1:66" ht="20" customHeight="1">
      <c r="A87" s="30"/>
      <c r="B87" s="30"/>
      <c r="C87" s="31"/>
      <c r="D87" s="31"/>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row>
    <row r="88" spans="1:66" ht="20" customHeight="1">
      <c r="A88" s="30"/>
      <c r="B88" s="30"/>
      <c r="C88" s="31"/>
      <c r="D88" s="31"/>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row>
    <row r="89" spans="1:66" ht="20" customHeight="1">
      <c r="A89" s="30"/>
      <c r="B89" s="30"/>
      <c r="C89" s="31"/>
      <c r="D89" s="31"/>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row>
    <row r="90" spans="1:66" ht="20" customHeight="1">
      <c r="A90" s="30"/>
      <c r="B90" s="30"/>
      <c r="C90" s="31"/>
      <c r="D90" s="31"/>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row>
    <row r="91" spans="1:66" ht="20" customHeight="1">
      <c r="A91" s="30"/>
      <c r="B91" s="30"/>
      <c r="C91" s="31"/>
      <c r="D91" s="31"/>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row>
    <row r="92" spans="1:66" ht="20" customHeight="1">
      <c r="A92" s="30"/>
      <c r="B92" s="30"/>
      <c r="C92" s="31"/>
      <c r="D92" s="31"/>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row>
    <row r="93" spans="1:66" ht="20" customHeight="1">
      <c r="A93" s="30"/>
      <c r="B93" s="30"/>
      <c r="C93" s="31"/>
      <c r="D93" s="31"/>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row>
    <row r="94" spans="1:66" ht="20" customHeight="1">
      <c r="A94" s="30"/>
      <c r="B94" s="30"/>
      <c r="C94" s="31"/>
      <c r="D94" s="31"/>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row>
    <row r="95" spans="1:66" ht="20" customHeight="1">
      <c r="A95" s="30"/>
      <c r="B95" s="30"/>
      <c r="C95" s="31"/>
      <c r="D95" s="31"/>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row>
    <row r="96" spans="1:66" ht="20" customHeight="1">
      <c r="A96" s="30"/>
      <c r="B96" s="30"/>
      <c r="C96" s="31"/>
      <c r="D96" s="31"/>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row>
    <row r="97" spans="1:66" ht="20" customHeight="1">
      <c r="A97" s="30"/>
      <c r="B97" s="30"/>
      <c r="C97" s="31"/>
      <c r="D97" s="31"/>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row>
    <row r="98" spans="1:66" ht="20" customHeight="1">
      <c r="A98" s="30"/>
      <c r="B98" s="30"/>
      <c r="C98" s="31"/>
      <c r="D98" s="31"/>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row>
    <row r="99" spans="1:66" ht="20" customHeight="1">
      <c r="A99" s="30"/>
      <c r="B99" s="30"/>
      <c r="C99" s="31"/>
      <c r="D99" s="31"/>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row>
    <row r="100" spans="1:66" ht="20" customHeight="1">
      <c r="A100" s="30"/>
      <c r="B100" s="30"/>
      <c r="C100" s="31"/>
      <c r="D100" s="31"/>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row>
    <row r="101" spans="1:66" ht="20" customHeight="1">
      <c r="A101" s="30"/>
      <c r="B101" s="30"/>
      <c r="C101" s="31"/>
      <c r="D101" s="31"/>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row>
    <row r="102" spans="1:66" ht="20" customHeight="1">
      <c r="A102" s="30"/>
      <c r="B102" s="30"/>
      <c r="C102" s="31"/>
      <c r="D102" s="31"/>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row>
    <row r="103" spans="1:66" ht="20" customHeight="1">
      <c r="A103" s="30"/>
      <c r="B103" s="30"/>
      <c r="C103" s="31"/>
      <c r="D103" s="31"/>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row>
    <row r="104" spans="1:66" ht="20" customHeight="1">
      <c r="A104" s="30"/>
      <c r="B104" s="30"/>
      <c r="C104" s="31"/>
      <c r="D104" s="31"/>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row>
    <row r="105" spans="1:66" ht="20" customHeight="1">
      <c r="A105" s="30"/>
      <c r="B105" s="30"/>
      <c r="C105" s="31"/>
      <c r="D105" s="31"/>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row>
    <row r="106" spans="1:66" ht="20" customHeight="1">
      <c r="A106" s="30"/>
      <c r="B106" s="30"/>
      <c r="C106" s="31"/>
      <c r="D106" s="31"/>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row>
    <row r="107" spans="1:66" ht="20" customHeight="1">
      <c r="A107" s="30"/>
      <c r="B107" s="30"/>
      <c r="C107" s="31"/>
      <c r="D107" s="31"/>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row>
    <row r="108" spans="1:66" ht="20" customHeight="1">
      <c r="A108" s="30"/>
      <c r="B108" s="30"/>
      <c r="C108" s="31"/>
      <c r="D108" s="31"/>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row>
    <row r="109" spans="1:66" ht="20" customHeight="1">
      <c r="A109" s="30"/>
      <c r="B109" s="30"/>
      <c r="C109" s="31"/>
      <c r="D109" s="31"/>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row>
    <row r="110" spans="1:66" ht="20" customHeight="1">
      <c r="A110" s="30"/>
      <c r="B110" s="30"/>
      <c r="C110" s="31"/>
      <c r="D110" s="31"/>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row>
    <row r="111" spans="1:66" ht="20" customHeight="1">
      <c r="A111" s="30"/>
      <c r="B111" s="30"/>
      <c r="C111" s="31"/>
      <c r="D111" s="31"/>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row>
    <row r="112" spans="1:66" ht="20" customHeight="1">
      <c r="A112" s="30"/>
      <c r="B112" s="30"/>
      <c r="C112" s="31"/>
      <c r="D112" s="31"/>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row>
    <row r="113" spans="1:66" ht="20" customHeight="1">
      <c r="A113" s="30"/>
      <c r="B113" s="30"/>
      <c r="C113" s="31"/>
      <c r="D113" s="31"/>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row>
    <row r="114" spans="1:66" ht="20" customHeight="1">
      <c r="A114" s="30"/>
      <c r="B114" s="30"/>
      <c r="C114" s="31"/>
      <c r="D114" s="31"/>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row>
    <row r="115" spans="1:66" ht="20" customHeight="1">
      <c r="A115" s="30"/>
      <c r="B115" s="30"/>
      <c r="C115" s="31"/>
      <c r="D115" s="31"/>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row>
    <row r="116" spans="1:66" ht="20" customHeight="1">
      <c r="A116" s="30"/>
      <c r="B116" s="30"/>
      <c r="C116" s="31"/>
      <c r="D116" s="31"/>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row>
    <row r="117" spans="1:66" ht="20" customHeight="1">
      <c r="A117" s="30"/>
      <c r="B117" s="30"/>
      <c r="C117" s="31"/>
      <c r="D117" s="31"/>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row>
    <row r="118" spans="1:66" ht="20" customHeight="1">
      <c r="A118" s="30"/>
      <c r="B118" s="30"/>
      <c r="C118" s="31"/>
      <c r="D118" s="31"/>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row>
    <row r="119" spans="1:66" ht="20" customHeight="1">
      <c r="A119" s="30"/>
      <c r="B119" s="30"/>
      <c r="C119" s="31"/>
      <c r="D119" s="31"/>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row>
    <row r="120" spans="1:66" ht="20" customHeight="1">
      <c r="A120" s="30"/>
      <c r="B120" s="30"/>
      <c r="C120" s="31"/>
      <c r="D120" s="31"/>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row>
    <row r="121" spans="1:66" ht="20" customHeight="1">
      <c r="A121" s="30"/>
      <c r="B121" s="30"/>
      <c r="C121" s="31"/>
      <c r="D121" s="31"/>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row>
    <row r="122" spans="1:66" ht="20" customHeight="1">
      <c r="A122" s="30"/>
      <c r="B122" s="30"/>
      <c r="C122" s="31"/>
      <c r="D122" s="31"/>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row>
    <row r="123" spans="1:66" ht="20" customHeight="1">
      <c r="A123" s="30"/>
      <c r="B123" s="30"/>
      <c r="C123" s="31"/>
      <c r="D123" s="31"/>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row>
    <row r="124" spans="1:66" ht="20" customHeight="1">
      <c r="A124" s="30"/>
      <c r="B124" s="30"/>
      <c r="C124" s="31"/>
      <c r="D124" s="31"/>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row>
    <row r="125" spans="1:66" ht="20" customHeight="1">
      <c r="A125" s="30"/>
      <c r="B125" s="30"/>
      <c r="C125" s="31"/>
      <c r="D125" s="31"/>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row>
    <row r="126" spans="1:66" ht="20" customHeight="1">
      <c r="A126" s="30"/>
      <c r="B126" s="30"/>
      <c r="C126" s="31"/>
      <c r="D126" s="31"/>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row>
    <row r="127" spans="1:66" ht="20" customHeight="1">
      <c r="A127" s="30"/>
      <c r="B127" s="30"/>
      <c r="C127" s="31"/>
      <c r="D127" s="31"/>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row>
    <row r="128" spans="1:66" ht="20" customHeight="1">
      <c r="A128" s="30"/>
      <c r="B128" s="30"/>
      <c r="C128" s="31"/>
      <c r="D128" s="31"/>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row>
    <row r="129" spans="1:66" ht="20" customHeight="1">
      <c r="A129" s="30"/>
      <c r="B129" s="30"/>
      <c r="C129" s="31"/>
      <c r="D129" s="31"/>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row>
    <row r="130" spans="1:66" ht="20" customHeight="1">
      <c r="A130" s="30"/>
      <c r="B130" s="30"/>
      <c r="C130" s="31"/>
      <c r="D130" s="31"/>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row>
    <row r="131" spans="1:66" ht="20" customHeight="1">
      <c r="A131" s="30"/>
      <c r="B131" s="30"/>
      <c r="C131" s="31"/>
      <c r="D131" s="31"/>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row>
    <row r="132" spans="1:66" ht="20" customHeight="1">
      <c r="A132" s="30"/>
      <c r="B132" s="30"/>
      <c r="C132" s="31"/>
      <c r="D132" s="31"/>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row>
    <row r="133" spans="1:66" ht="20" customHeight="1">
      <c r="A133" s="30"/>
      <c r="B133" s="30"/>
      <c r="C133" s="31"/>
      <c r="D133" s="31"/>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row>
    <row r="134" spans="1:66" ht="20" customHeight="1">
      <c r="A134" s="30"/>
      <c r="B134" s="30"/>
      <c r="C134" s="31"/>
      <c r="D134" s="31"/>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row>
    <row r="135" spans="1:66" ht="20" customHeight="1">
      <c r="A135" s="30"/>
      <c r="B135" s="30"/>
      <c r="C135" s="31"/>
      <c r="D135" s="31"/>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row>
    <row r="136" spans="1:66" ht="20" customHeight="1">
      <c r="A136" s="30"/>
      <c r="B136" s="30"/>
      <c r="C136" s="31"/>
      <c r="D136" s="31"/>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row>
    <row r="137" spans="1:66" ht="20" customHeight="1">
      <c r="A137" s="30"/>
      <c r="B137" s="30"/>
      <c r="C137" s="31"/>
      <c r="D137" s="31"/>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row>
    <row r="138" spans="1:66" ht="20" customHeight="1">
      <c r="A138" s="30"/>
      <c r="B138" s="30"/>
      <c r="C138" s="31"/>
      <c r="D138" s="31"/>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row>
    <row r="139" spans="1:66" ht="20" customHeight="1">
      <c r="A139" s="30"/>
      <c r="B139" s="30"/>
      <c r="C139" s="31"/>
      <c r="D139" s="31"/>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row>
    <row r="140" spans="1:66" ht="20" customHeight="1">
      <c r="A140" s="30"/>
      <c r="B140" s="30"/>
      <c r="C140" s="31"/>
      <c r="D140" s="31"/>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row>
    <row r="141" spans="1:66" ht="20" customHeight="1">
      <c r="A141" s="30"/>
      <c r="B141" s="30"/>
      <c r="C141" s="31"/>
      <c r="D141" s="31"/>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row>
    <row r="142" spans="1:66" ht="20" customHeight="1">
      <c r="A142" s="30"/>
      <c r="B142" s="30"/>
      <c r="C142" s="31"/>
      <c r="D142" s="31"/>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row>
    <row r="143" spans="1:66" ht="20" customHeight="1">
      <c r="A143" s="30"/>
      <c r="B143" s="30"/>
      <c r="C143" s="31"/>
      <c r="D143" s="31"/>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row>
    <row r="144" spans="1:66" ht="20" customHeight="1">
      <c r="A144" s="30"/>
      <c r="B144" s="30"/>
      <c r="C144" s="31"/>
      <c r="D144" s="31"/>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row>
    <row r="145" spans="1:66" ht="20" customHeight="1">
      <c r="A145" s="30"/>
      <c r="B145" s="30"/>
      <c r="C145" s="31"/>
      <c r="D145" s="31"/>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row>
    <row r="146" spans="1:66" ht="20" customHeight="1">
      <c r="A146" s="30"/>
      <c r="B146" s="30"/>
      <c r="C146" s="31"/>
      <c r="D146" s="31"/>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row>
    <row r="147" spans="1:66" ht="20" customHeight="1">
      <c r="A147" s="30"/>
      <c r="B147" s="30"/>
      <c r="C147" s="31"/>
      <c r="D147" s="31"/>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row>
    <row r="148" spans="1:66" ht="20" customHeight="1">
      <c r="A148" s="30"/>
      <c r="B148" s="30"/>
      <c r="C148" s="31"/>
      <c r="D148" s="31"/>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row>
    <row r="149" spans="1:66" ht="20" customHeight="1">
      <c r="A149" s="30"/>
      <c r="B149" s="30"/>
      <c r="C149" s="31"/>
      <c r="D149" s="31"/>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row>
    <row r="150" spans="1:66" ht="20" customHeight="1">
      <c r="A150" s="30"/>
      <c r="B150" s="30"/>
      <c r="C150" s="31"/>
      <c r="D150" s="31"/>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row>
    <row r="151" spans="1:66" ht="20" customHeight="1">
      <c r="A151" s="30"/>
      <c r="B151" s="30"/>
      <c r="C151" s="31"/>
      <c r="D151" s="31"/>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row>
    <row r="152" spans="1:66" ht="20" customHeight="1">
      <c r="A152" s="30"/>
      <c r="B152" s="30"/>
      <c r="C152" s="31"/>
      <c r="D152" s="31"/>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row>
    <row r="153" spans="1:66" ht="20" customHeight="1">
      <c r="A153" s="30"/>
      <c r="B153" s="30"/>
      <c r="C153" s="31"/>
      <c r="D153" s="31"/>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row>
    <row r="154" spans="1:66" ht="20" customHeight="1">
      <c r="A154" s="30"/>
      <c r="B154" s="30"/>
      <c r="C154" s="31"/>
      <c r="D154" s="31"/>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row>
    <row r="155" spans="1:66" ht="20" customHeight="1">
      <c r="A155" s="30"/>
      <c r="B155" s="30"/>
      <c r="C155" s="31"/>
      <c r="D155" s="31"/>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row>
    <row r="156" spans="1:66" ht="20" customHeight="1">
      <c r="A156" s="30"/>
      <c r="B156" s="30"/>
      <c r="C156" s="31"/>
      <c r="D156" s="31"/>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row>
    <row r="157" spans="1:66" ht="20" customHeight="1">
      <c r="A157" s="30"/>
      <c r="B157" s="30"/>
      <c r="C157" s="31"/>
      <c r="D157" s="31"/>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row>
    <row r="158" spans="1:66" ht="20" customHeight="1">
      <c r="A158" s="30"/>
      <c r="B158" s="30"/>
      <c r="C158" s="31"/>
      <c r="D158" s="31"/>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row>
    <row r="159" spans="1:66" ht="20" customHeight="1">
      <c r="A159" s="30"/>
      <c r="B159" s="30"/>
      <c r="C159" s="31"/>
      <c r="D159" s="31"/>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row>
    <row r="160" spans="1:66" ht="20" customHeight="1">
      <c r="A160" s="30"/>
      <c r="B160" s="30"/>
      <c r="C160" s="31"/>
      <c r="D160" s="31"/>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row>
    <row r="161" spans="1:66" ht="20" customHeight="1">
      <c r="A161" s="30"/>
      <c r="B161" s="30"/>
      <c r="C161" s="31"/>
      <c r="D161" s="31"/>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row>
    <row r="162" spans="1:66" ht="20" customHeight="1">
      <c r="A162" s="30"/>
      <c r="B162" s="30"/>
      <c r="C162" s="31"/>
      <c r="D162" s="31"/>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row>
    <row r="163" spans="1:66" ht="20" customHeight="1">
      <c r="A163" s="30"/>
      <c r="B163" s="30"/>
      <c r="C163" s="31"/>
      <c r="D163" s="31"/>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row>
    <row r="164" spans="1:66" ht="20" customHeight="1">
      <c r="A164" s="30"/>
      <c r="B164" s="30"/>
      <c r="C164" s="31"/>
      <c r="D164" s="31"/>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row>
    <row r="165" spans="1:66" ht="20" customHeight="1">
      <c r="A165" s="30"/>
      <c r="B165" s="30"/>
      <c r="C165" s="31"/>
      <c r="D165" s="31"/>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row>
    <row r="166" spans="1:66" ht="20" customHeight="1">
      <c r="A166" s="30"/>
      <c r="B166" s="30"/>
      <c r="C166" s="31"/>
      <c r="D166" s="31"/>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row>
    <row r="167" spans="1:66" ht="20" customHeight="1">
      <c r="A167" s="30"/>
      <c r="B167" s="30"/>
      <c r="C167" s="31"/>
      <c r="D167" s="31"/>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row>
    <row r="168" spans="1:66" ht="20" customHeight="1">
      <c r="A168" s="30"/>
      <c r="B168" s="30"/>
      <c r="C168" s="31"/>
      <c r="D168" s="31"/>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row>
    <row r="169" spans="1:66" ht="20" customHeight="1">
      <c r="A169" s="30"/>
      <c r="B169" s="30"/>
      <c r="C169" s="31"/>
      <c r="D169" s="31"/>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row>
    <row r="170" spans="1:66" ht="20" customHeight="1">
      <c r="A170" s="30"/>
      <c r="B170" s="30"/>
      <c r="C170" s="31"/>
      <c r="D170" s="31"/>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row>
    <row r="171" spans="1:66" ht="20" customHeight="1">
      <c r="A171" s="30"/>
      <c r="B171" s="30"/>
      <c r="C171" s="31"/>
      <c r="D171" s="31"/>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row>
    <row r="172" spans="1:66" ht="20" customHeight="1">
      <c r="A172" s="30"/>
      <c r="B172" s="30"/>
      <c r="C172" s="31"/>
      <c r="D172" s="31"/>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row>
    <row r="173" spans="1:66" ht="20" customHeight="1">
      <c r="A173" s="30"/>
      <c r="B173" s="30"/>
      <c r="C173" s="31"/>
      <c r="D173" s="31"/>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row>
    <row r="174" spans="1:66" ht="20" customHeight="1">
      <c r="A174" s="30"/>
      <c r="B174" s="30"/>
      <c r="C174" s="31"/>
      <c r="D174" s="31"/>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row>
    <row r="175" spans="1:66" ht="20" customHeight="1">
      <c r="A175" s="30"/>
      <c r="B175" s="30"/>
      <c r="C175" s="31"/>
      <c r="D175" s="31"/>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row>
    <row r="176" spans="1:66" ht="20" customHeight="1">
      <c r="A176" s="30"/>
      <c r="B176" s="30"/>
      <c r="C176" s="31"/>
      <c r="D176" s="31"/>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row>
    <row r="177" spans="1:66" ht="20" customHeight="1">
      <c r="A177" s="30"/>
      <c r="B177" s="30"/>
      <c r="C177" s="31"/>
      <c r="D177" s="31"/>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row>
    <row r="178" spans="1:66" ht="20" customHeight="1">
      <c r="A178" s="30"/>
      <c r="B178" s="30"/>
      <c r="C178" s="31"/>
      <c r="D178" s="31"/>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row>
    <row r="179" spans="1:66" ht="20" customHeight="1">
      <c r="A179" s="30"/>
      <c r="B179" s="30"/>
      <c r="C179" s="31"/>
      <c r="D179" s="31"/>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row>
    <row r="180" spans="1:66" ht="20" customHeight="1">
      <c r="A180" s="30"/>
      <c r="B180" s="30"/>
      <c r="C180" s="31"/>
      <c r="D180" s="31"/>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row>
    <row r="181" spans="1:66" ht="20" customHeight="1">
      <c r="A181" s="30"/>
      <c r="B181" s="30"/>
      <c r="C181" s="31"/>
      <c r="D181" s="31"/>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row>
    <row r="182" spans="1:66" ht="20" customHeight="1">
      <c r="A182" s="30"/>
      <c r="B182" s="30"/>
      <c r="C182" s="31"/>
      <c r="D182" s="31"/>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row>
    <row r="183" spans="1:66" ht="20" customHeight="1">
      <c r="A183" s="30"/>
      <c r="B183" s="30"/>
      <c r="C183" s="31"/>
      <c r="D183" s="31"/>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row>
    <row r="184" spans="1:66" ht="20" customHeight="1">
      <c r="A184" s="30"/>
      <c r="B184" s="30"/>
      <c r="C184" s="31"/>
      <c r="D184" s="31"/>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row>
    <row r="185" spans="1:66" ht="20" customHeight="1">
      <c r="A185" s="30"/>
      <c r="B185" s="30"/>
      <c r="C185" s="31"/>
      <c r="D185" s="31"/>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row>
    <row r="186" spans="1:66" ht="20" customHeight="1">
      <c r="A186" s="30"/>
      <c r="B186" s="30"/>
      <c r="C186" s="31"/>
      <c r="D186" s="31"/>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row>
    <row r="187" spans="1:66" ht="20" customHeight="1">
      <c r="A187" s="30"/>
      <c r="B187" s="30"/>
      <c r="C187" s="31"/>
      <c r="D187" s="31"/>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row>
    <row r="188" spans="1:66" ht="20" customHeight="1">
      <c r="A188" s="30"/>
      <c r="B188" s="30"/>
      <c r="C188" s="31"/>
      <c r="D188" s="31"/>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row>
    <row r="189" spans="1:66" ht="20" customHeight="1">
      <c r="A189" s="30"/>
      <c r="B189" s="30"/>
      <c r="C189" s="31"/>
      <c r="D189" s="31"/>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row>
    <row r="190" spans="1:66" ht="20" customHeight="1">
      <c r="A190" s="30"/>
      <c r="B190" s="30"/>
      <c r="C190" s="31"/>
      <c r="D190" s="31"/>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row>
    <row r="191" spans="1:66" ht="20" customHeight="1">
      <c r="A191" s="30"/>
      <c r="B191" s="30"/>
      <c r="C191" s="31"/>
      <c r="D191" s="31"/>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row>
    <row r="192" spans="1:66" ht="20" customHeight="1">
      <c r="A192" s="30"/>
      <c r="B192" s="30"/>
      <c r="C192" s="31"/>
      <c r="D192" s="31"/>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row>
    <row r="193" spans="1:66" ht="20" customHeight="1">
      <c r="A193" s="30"/>
      <c r="B193" s="30"/>
      <c r="C193" s="31"/>
      <c r="D193" s="31"/>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row>
    <row r="194" spans="1:66" ht="20" customHeight="1">
      <c r="A194" s="30"/>
      <c r="B194" s="30"/>
      <c r="C194" s="31"/>
      <c r="D194" s="31"/>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row>
    <row r="195" spans="1:66" ht="20" customHeight="1">
      <c r="A195" s="30"/>
      <c r="B195" s="30"/>
      <c r="C195" s="31"/>
      <c r="D195" s="31"/>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row>
    <row r="196" spans="1:66" ht="20" customHeight="1">
      <c r="A196" s="30"/>
      <c r="B196" s="30"/>
      <c r="C196" s="31"/>
      <c r="D196" s="31"/>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row>
    <row r="197" spans="1:66" ht="20" customHeight="1">
      <c r="A197" s="30"/>
      <c r="B197" s="30"/>
      <c r="C197" s="31"/>
      <c r="D197" s="31"/>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row>
    <row r="198" spans="1:66" ht="20" customHeight="1">
      <c r="A198" s="30"/>
      <c r="B198" s="30"/>
      <c r="C198" s="31"/>
      <c r="D198" s="31"/>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row>
    <row r="199" spans="1:66" ht="20" customHeight="1">
      <c r="A199" s="30"/>
      <c r="B199" s="30"/>
      <c r="C199" s="31"/>
      <c r="D199" s="31"/>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row>
    <row r="200" spans="1:66" ht="20" customHeight="1">
      <c r="A200" s="30"/>
      <c r="B200" s="30"/>
      <c r="C200" s="31"/>
      <c r="D200" s="31"/>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row>
  </sheetData>
  <mergeCells count="5">
    <mergeCell ref="E56:I56"/>
    <mergeCell ref="E57:I57"/>
    <mergeCell ref="C59:I59"/>
    <mergeCell ref="C60:I60"/>
    <mergeCell ref="C61:I6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A51D2D"/>
  </sheetPr>
  <dimension ref="A1:BN200"/>
  <sheetViews>
    <sheetView showGridLines="0" workbookViewId="0"/>
  </sheetViews>
  <sheetFormatPr baseColWidth="10" defaultColWidth="8.83203125" defaultRowHeight="14"/>
  <cols>
    <col min="1" max="2" width="2" customWidth="1"/>
    <col min="3" max="3" width="48" customWidth="1"/>
    <col min="4" max="4" width="3" customWidth="1"/>
    <col min="5" max="66" width="14" customWidth="1"/>
  </cols>
  <sheetData>
    <row r="1" spans="1:66" ht="20" customHeight="1">
      <c r="A1" s="30"/>
      <c r="B1" s="30"/>
      <c r="C1" s="31"/>
      <c r="D1" s="31"/>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row>
    <row r="2" spans="1:66" ht="20" customHeight="1">
      <c r="A2" s="30"/>
      <c r="B2" s="30"/>
      <c r="C2" s="33" t="s">
        <v>48</v>
      </c>
      <c r="D2" s="31"/>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row>
    <row r="3" spans="1:66" ht="20" customHeight="1">
      <c r="A3" s="30"/>
      <c r="B3" s="30"/>
      <c r="C3" s="34" t="s">
        <v>49</v>
      </c>
      <c r="D3" s="31"/>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row>
    <row r="4" spans="1:66" ht="20" customHeight="1">
      <c r="A4" s="30"/>
      <c r="B4" s="30"/>
      <c r="C4" s="31" t="s">
        <v>2</v>
      </c>
      <c r="D4" s="31"/>
      <c r="E4" s="35" t="str">
        <f>CHOOSE(Assumptions!$E$5,"Base","Downside","Upside")</f>
        <v>Base</v>
      </c>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row>
    <row r="5" spans="1:66" ht="20" customHeight="1">
      <c r="A5" s="30"/>
      <c r="B5" s="30"/>
      <c r="C5" s="31"/>
      <c r="D5" s="31"/>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row>
    <row r="6" spans="1:66" ht="32" customHeight="1">
      <c r="A6" s="30"/>
      <c r="B6" s="30"/>
      <c r="C6" s="41" t="s">
        <v>50</v>
      </c>
      <c r="D6" s="31"/>
      <c r="E6" s="42">
        <v>0</v>
      </c>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row>
    <row r="7" spans="1:66" ht="32" customHeight="1">
      <c r="A7" s="30"/>
      <c r="B7" s="30"/>
      <c r="C7" s="43" t="s">
        <v>51</v>
      </c>
      <c r="D7" s="36"/>
      <c r="E7" s="38">
        <v>0</v>
      </c>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2"/>
      <c r="BN7" s="32"/>
    </row>
    <row r="8" spans="1:66" ht="32" customHeight="1">
      <c r="A8" s="30"/>
      <c r="B8" s="30"/>
      <c r="C8" s="41" t="s">
        <v>52</v>
      </c>
      <c r="D8" s="31"/>
      <c r="E8" s="42">
        <v>1</v>
      </c>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row>
    <row r="9" spans="1:66" ht="32" customHeight="1">
      <c r="A9" s="30"/>
      <c r="B9" s="30"/>
      <c r="C9" s="41" t="s">
        <v>53</v>
      </c>
      <c r="D9" s="31"/>
      <c r="E9" s="42">
        <v>-1</v>
      </c>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row>
    <row r="10" spans="1:66" ht="32" customHeight="1">
      <c r="A10" s="30"/>
      <c r="B10" s="30"/>
      <c r="C10" s="41" t="s">
        <v>54</v>
      </c>
      <c r="D10" s="31"/>
      <c r="E10" s="42">
        <v>-1</v>
      </c>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row>
    <row r="11" spans="1:66" ht="32" customHeight="1">
      <c r="A11" s="30"/>
      <c r="B11" s="30"/>
      <c r="C11" s="41" t="s">
        <v>55</v>
      </c>
      <c r="D11" s="31"/>
      <c r="E11" s="42">
        <v>1</v>
      </c>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row>
    <row r="12" spans="1:66" ht="32" customHeight="1">
      <c r="A12" s="30"/>
      <c r="B12" s="30"/>
      <c r="C12" s="41" t="s">
        <v>56</v>
      </c>
      <c r="D12" s="31"/>
      <c r="E12" s="42">
        <v>0</v>
      </c>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row>
    <row r="13" spans="1:66" ht="20" customHeight="1">
      <c r="A13" s="30"/>
      <c r="B13" s="30"/>
      <c r="C13" s="31"/>
      <c r="D13" s="31"/>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row>
    <row r="14" spans="1:66" ht="20" customHeight="1">
      <c r="A14" s="30"/>
      <c r="B14" s="30"/>
      <c r="C14" s="31" t="s">
        <v>57</v>
      </c>
      <c r="D14" s="31"/>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row>
    <row r="15" spans="1:66" ht="20" customHeight="1">
      <c r="A15" s="30"/>
      <c r="B15" s="30"/>
      <c r="C15" s="31" t="s">
        <v>58</v>
      </c>
      <c r="D15" s="31"/>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row>
    <row r="16" spans="1:66" ht="20" customHeight="1">
      <c r="A16" s="30"/>
      <c r="B16" s="30"/>
      <c r="C16" s="31"/>
      <c r="D16" s="31"/>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row>
    <row r="17" spans="1:66" ht="20" customHeight="1">
      <c r="A17" s="30"/>
      <c r="B17" s="30"/>
      <c r="C17" s="31"/>
      <c r="D17" s="31"/>
      <c r="E17" s="32">
        <f>Overview!E32</f>
        <v>-60.772999999999996</v>
      </c>
      <c r="F17" s="32">
        <v>0</v>
      </c>
      <c r="G17" s="32">
        <v>25</v>
      </c>
      <c r="H17" s="32">
        <v>50</v>
      </c>
      <c r="I17" s="32">
        <v>100</v>
      </c>
      <c r="J17" s="32">
        <v>150</v>
      </c>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row>
    <row r="18" spans="1:66" ht="20" customHeight="1">
      <c r="A18" s="30"/>
      <c r="B18" s="30"/>
      <c r="C18" s="31"/>
      <c r="D18" s="31"/>
      <c r="E18" s="32">
        <v>0</v>
      </c>
      <c r="F18" s="32">
        <f t="dataTable" ref="F18:J22" dt2D="1" dtr="0" r1="E6" r2="E7"/>
        <v>-60.772999999999996</v>
      </c>
      <c r="G18" s="32">
        <v>-60.772999999999996</v>
      </c>
      <c r="H18" s="32">
        <v>-60.772999999999996</v>
      </c>
      <c r="I18" s="32">
        <v>-60.772999999999996</v>
      </c>
      <c r="J18" s="32">
        <v>-60.772999999999996</v>
      </c>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row>
    <row r="19" spans="1:66" ht="20" customHeight="1">
      <c r="A19" s="30"/>
      <c r="B19" s="30"/>
      <c r="C19" s="31"/>
      <c r="D19" s="31"/>
      <c r="E19" s="32">
        <v>5</v>
      </c>
      <c r="F19" s="32">
        <v>-60.772999999999996</v>
      </c>
      <c r="G19" s="32">
        <v>-60.772999999999996</v>
      </c>
      <c r="H19" s="32">
        <v>-60.772999999999996</v>
      </c>
      <c r="I19" s="32">
        <v>-60.772999999999996</v>
      </c>
      <c r="J19" s="32">
        <v>-60.772999999999996</v>
      </c>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row>
    <row r="20" spans="1:66" ht="20" customHeight="1">
      <c r="A20" s="30"/>
      <c r="B20" s="30"/>
      <c r="C20" s="31"/>
      <c r="D20" s="31"/>
      <c r="E20" s="32">
        <v>10</v>
      </c>
      <c r="F20" s="32">
        <v>-60.772999999999996</v>
      </c>
      <c r="G20" s="32">
        <v>-60.772999999999996</v>
      </c>
      <c r="H20" s="32">
        <v>-60.772999999999996</v>
      </c>
      <c r="I20" s="32">
        <v>-60.772999999999996</v>
      </c>
      <c r="J20" s="32">
        <v>-60.772999999999996</v>
      </c>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row>
    <row r="21" spans="1:66" ht="20" customHeight="1">
      <c r="A21" s="30"/>
      <c r="B21" s="30"/>
      <c r="C21" s="31"/>
      <c r="D21" s="31"/>
      <c r="E21" s="32">
        <v>20</v>
      </c>
      <c r="F21" s="32">
        <v>-60.772999999999996</v>
      </c>
      <c r="G21" s="32">
        <v>-60.772999999999996</v>
      </c>
      <c r="H21" s="32">
        <v>-60.772999999999996</v>
      </c>
      <c r="I21" s="32">
        <v>-60.772999999999996</v>
      </c>
      <c r="J21" s="32">
        <v>-86.965282131291829</v>
      </c>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row>
    <row r="22" spans="1:66" ht="20" customHeight="1">
      <c r="A22" s="30"/>
      <c r="B22" s="30"/>
      <c r="C22" s="31"/>
      <c r="D22" s="31"/>
      <c r="E22" s="32">
        <v>30</v>
      </c>
      <c r="F22" s="32">
        <v>-60.772999999999996</v>
      </c>
      <c r="G22" s="32">
        <v>-60.772999999999996</v>
      </c>
      <c r="H22" s="32">
        <v>-60.772999999999996</v>
      </c>
      <c r="I22" s="32">
        <v>-82.705495292515806</v>
      </c>
      <c r="J22" s="32">
        <v>-113.93674998367671</v>
      </c>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row>
    <row r="23" spans="1:66" ht="20" customHeight="1">
      <c r="A23" s="30"/>
      <c r="B23" s="30"/>
      <c r="C23" s="31"/>
      <c r="D23" s="31"/>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row>
    <row r="24" spans="1:66" ht="20" customHeight="1">
      <c r="A24" s="30"/>
      <c r="B24" s="30"/>
      <c r="C24" s="31" t="s">
        <v>59</v>
      </c>
      <c r="D24" s="31"/>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row>
    <row r="25" spans="1:66" ht="20" customHeight="1">
      <c r="A25" s="30"/>
      <c r="B25" s="30"/>
      <c r="C25" s="31" t="s">
        <v>60</v>
      </c>
      <c r="D25" s="31"/>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row>
    <row r="26" spans="1:66" ht="20" customHeight="1">
      <c r="A26" s="30"/>
      <c r="B26" s="30"/>
      <c r="C26" s="31"/>
      <c r="D26" s="31"/>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row>
    <row r="27" spans="1:66" ht="20" customHeight="1">
      <c r="A27" s="30"/>
      <c r="B27" s="30"/>
      <c r="C27" s="31"/>
      <c r="D27" s="31"/>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row>
    <row r="28" spans="1:66" ht="20" customHeight="1">
      <c r="A28" s="30"/>
      <c r="B28" s="30"/>
      <c r="C28" s="31" t="s">
        <v>61</v>
      </c>
      <c r="D28" s="31"/>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row>
    <row r="29" spans="1:66" ht="20" customHeight="1">
      <c r="A29" s="30"/>
      <c r="B29" s="30"/>
      <c r="C29" s="31" t="s">
        <v>62</v>
      </c>
      <c r="D29" s="31"/>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row>
    <row r="30" spans="1:66" ht="20" customHeight="1">
      <c r="A30" s="30"/>
      <c r="B30" s="30"/>
      <c r="C30" s="31"/>
      <c r="D30" s="31"/>
      <c r="E30" s="32"/>
      <c r="F30" s="32">
        <v>0</v>
      </c>
      <c r="G30" s="32">
        <v>25</v>
      </c>
      <c r="H30" s="32">
        <v>50</v>
      </c>
      <c r="I30" s="32">
        <v>100</v>
      </c>
      <c r="J30" s="32">
        <v>150</v>
      </c>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row>
    <row r="31" spans="1:66" ht="20" customHeight="1">
      <c r="A31" s="30"/>
      <c r="B31" s="30"/>
      <c r="C31" s="31"/>
      <c r="D31" s="31"/>
      <c r="E31" s="32">
        <v>0</v>
      </c>
      <c r="F31" s="32">
        <v>14.130882687657801</v>
      </c>
      <c r="G31" s="32">
        <v>4.9119191055247997</v>
      </c>
      <c r="H31" s="32">
        <v>-4.3019372013495998</v>
      </c>
      <c r="I31" s="32">
        <v>-22.716584090238602</v>
      </c>
      <c r="J31" s="32">
        <v>-41.116796620106797</v>
      </c>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row>
    <row r="32" spans="1:66" ht="20" customHeight="1">
      <c r="A32" s="30"/>
      <c r="B32" s="30"/>
      <c r="C32" s="31"/>
      <c r="D32" s="31"/>
      <c r="E32" s="32">
        <v>5</v>
      </c>
      <c r="F32" s="32">
        <v>6.2753887522734004</v>
      </c>
      <c r="G32" s="32">
        <v>-2.9435748298596001</v>
      </c>
      <c r="H32" s="32">
        <v>-12.1574311367339</v>
      </c>
      <c r="I32" s="32">
        <v>-30.572078025623</v>
      </c>
      <c r="J32" s="32">
        <v>-48.972290555491099</v>
      </c>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row>
    <row r="33" spans="1:66" ht="20" customHeight="1">
      <c r="A33" s="30"/>
      <c r="B33" s="30"/>
      <c r="C33" s="31"/>
      <c r="D33" s="31"/>
      <c r="E33" s="32">
        <v>10</v>
      </c>
      <c r="F33" s="32">
        <v>-1.580105183111</v>
      </c>
      <c r="G33" s="32">
        <v>-10.799068765244</v>
      </c>
      <c r="H33" s="32">
        <v>-20.0129250721183</v>
      </c>
      <c r="I33" s="32">
        <v>-38.427571961007402</v>
      </c>
      <c r="J33" s="32">
        <v>-59.9130371589088</v>
      </c>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row>
    <row r="34" spans="1:66" ht="20" customHeight="1">
      <c r="A34" s="30"/>
      <c r="B34" s="30"/>
      <c r="C34" s="31"/>
      <c r="D34" s="31"/>
      <c r="E34" s="32">
        <v>20</v>
      </c>
      <c r="F34" s="32">
        <v>-17.291093053880001</v>
      </c>
      <c r="G34" s="32">
        <v>-26.510056636012902</v>
      </c>
      <c r="H34" s="32">
        <v>-35.723912942887303</v>
      </c>
      <c r="I34" s="32">
        <v>-55.638951620706699</v>
      </c>
      <c r="J34" s="32">
        <v>-86.965282131291801</v>
      </c>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row>
    <row r="35" spans="1:66" ht="20" customHeight="1">
      <c r="A35" s="30"/>
      <c r="B35" s="30"/>
      <c r="C35" s="31"/>
      <c r="D35" s="31"/>
      <c r="E35" s="32">
        <v>30</v>
      </c>
      <c r="F35" s="32">
        <v>-33.002080924649</v>
      </c>
      <c r="G35" s="32">
        <v>-42.221044506781901</v>
      </c>
      <c r="H35" s="32">
        <v>-51.434900813656299</v>
      </c>
      <c r="I35" s="32">
        <v>-82.705495292515806</v>
      </c>
      <c r="J35" s="32">
        <v>-113.93674998367671</v>
      </c>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row>
    <row r="36" spans="1:66" ht="20" customHeight="1">
      <c r="A36" s="30"/>
      <c r="B36" s="30"/>
      <c r="C36" s="31"/>
      <c r="D36" s="31"/>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row>
    <row r="37" spans="1:66" ht="20" customHeight="1">
      <c r="A37" s="30"/>
      <c r="B37" s="30"/>
      <c r="C37" s="31"/>
      <c r="D37" s="31"/>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row>
    <row r="38" spans="1:66" ht="20" customHeight="1">
      <c r="A38" s="30"/>
      <c r="B38" s="30"/>
      <c r="C38" s="31" t="s">
        <v>63</v>
      </c>
      <c r="D38" s="31"/>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row>
    <row r="39" spans="1:66" ht="20" customHeight="1">
      <c r="A39" s="30"/>
      <c r="B39" s="30"/>
      <c r="C39" s="31" t="s">
        <v>62</v>
      </c>
      <c r="D39" s="31"/>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row>
    <row r="40" spans="1:66" ht="20" customHeight="1">
      <c r="A40" s="30"/>
      <c r="B40" s="30"/>
      <c r="C40" s="31"/>
      <c r="D40" s="31"/>
      <c r="E40" s="32"/>
      <c r="F40" s="32">
        <v>0</v>
      </c>
      <c r="G40" s="32">
        <v>25</v>
      </c>
      <c r="H40" s="32">
        <v>50</v>
      </c>
      <c r="I40" s="32">
        <v>100</v>
      </c>
      <c r="J40" s="32">
        <v>150</v>
      </c>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row>
    <row r="41" spans="1:66" ht="20" customHeight="1">
      <c r="A41" s="30"/>
      <c r="B41" s="30"/>
      <c r="C41" s="31"/>
      <c r="D41" s="31"/>
      <c r="E41" s="32">
        <v>0</v>
      </c>
      <c r="F41" s="32">
        <v>-758.65746447410277</v>
      </c>
      <c r="G41" s="32">
        <v>-784.14224971630222</v>
      </c>
      <c r="H41" s="32">
        <v>-809.35598155868786</v>
      </c>
      <c r="I41" s="32">
        <v>-859.41665541131135</v>
      </c>
      <c r="J41" s="32">
        <v>-909.41665541131078</v>
      </c>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row>
    <row r="42" spans="1:66" ht="20" customHeight="1">
      <c r="A42" s="30"/>
      <c r="B42" s="30"/>
      <c r="C42" s="31"/>
      <c r="D42" s="31"/>
      <c r="E42" s="32">
        <v>5</v>
      </c>
      <c r="F42" s="32">
        <v>-778.71645029389435</v>
      </c>
      <c r="G42" s="32">
        <v>-804.18415761753624</v>
      </c>
      <c r="H42" s="32">
        <v>-829.3726482253536</v>
      </c>
      <c r="I42" s="32">
        <v>-879.41665541131044</v>
      </c>
      <c r="J42" s="32">
        <v>-929.41665541131044</v>
      </c>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row>
    <row r="43" spans="1:66" ht="20" customHeight="1">
      <c r="A43" s="30"/>
      <c r="B43" s="30"/>
      <c r="C43" s="31"/>
      <c r="D43" s="31"/>
      <c r="E43" s="32">
        <v>10</v>
      </c>
      <c r="F43" s="32">
        <v>-798.77543611368549</v>
      </c>
      <c r="G43" s="32">
        <v>-824.22606551877095</v>
      </c>
      <c r="H43" s="32">
        <v>-849.38931489202071</v>
      </c>
      <c r="I43" s="32">
        <v>-899.4166554113109</v>
      </c>
      <c r="J43" s="32">
        <v>-949.41665541131124</v>
      </c>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row>
    <row r="44" spans="1:66" ht="20" customHeight="1">
      <c r="A44" s="30"/>
      <c r="B44" s="30"/>
      <c r="C44" s="31"/>
      <c r="D44" s="31"/>
      <c r="E44" s="32">
        <v>20</v>
      </c>
      <c r="F44" s="32">
        <v>-838.89340775326843</v>
      </c>
      <c r="G44" s="32">
        <v>-864.30232994234177</v>
      </c>
      <c r="H44" s="32">
        <v>-889.41665541131044</v>
      </c>
      <c r="I44" s="32">
        <v>-939.41665541131044</v>
      </c>
      <c r="J44" s="32">
        <v>-989.41665541131044</v>
      </c>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row>
    <row r="45" spans="1:66" ht="20" customHeight="1">
      <c r="A45" s="30"/>
      <c r="B45" s="30"/>
      <c r="C45" s="31"/>
      <c r="D45" s="31"/>
      <c r="E45" s="32">
        <v>30</v>
      </c>
      <c r="F45" s="32">
        <v>-879.01137939285229</v>
      </c>
      <c r="G45" s="32">
        <v>-904.3559815586874</v>
      </c>
      <c r="H45" s="32">
        <v>-929.41665541131135</v>
      </c>
      <c r="I45" s="32">
        <v>-979.41665541131078</v>
      </c>
      <c r="J45" s="32">
        <v>-1029.4166554113108</v>
      </c>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row>
    <row r="46" spans="1:66" ht="20" customHeight="1">
      <c r="A46" s="30"/>
      <c r="B46" s="30"/>
      <c r="C46" s="31"/>
      <c r="D46" s="31"/>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row>
    <row r="47" spans="1:66" ht="20" customHeight="1">
      <c r="A47" s="30"/>
      <c r="B47" s="30"/>
      <c r="C47" s="31"/>
      <c r="D47" s="31"/>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row>
    <row r="48" spans="1:66" ht="20" customHeight="1">
      <c r="A48" s="30"/>
      <c r="B48" s="30"/>
      <c r="C48" s="31" t="s">
        <v>64</v>
      </c>
      <c r="D48" s="31"/>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row>
    <row r="49" spans="1:66" ht="20" customHeight="1">
      <c r="A49" s="30"/>
      <c r="B49" s="30"/>
      <c r="C49" s="31" t="s">
        <v>62</v>
      </c>
      <c r="D49" s="31"/>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row>
    <row r="50" spans="1:66" ht="20" customHeight="1">
      <c r="A50" s="30"/>
      <c r="B50" s="30"/>
      <c r="C50" s="31"/>
      <c r="D50" s="31"/>
      <c r="E50" s="32"/>
      <c r="F50" s="32">
        <v>0</v>
      </c>
      <c r="G50" s="32">
        <v>25</v>
      </c>
      <c r="H50" s="32">
        <v>50</v>
      </c>
      <c r="I50" s="32">
        <v>100</v>
      </c>
      <c r="J50" s="32">
        <v>150</v>
      </c>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row>
    <row r="51" spans="1:66" ht="20" customHeight="1">
      <c r="A51" s="30"/>
      <c r="B51" s="30"/>
      <c r="C51" s="31"/>
      <c r="D51" s="31"/>
      <c r="E51" s="32">
        <v>0</v>
      </c>
      <c r="F51" s="32">
        <v>92.123083333333398</v>
      </c>
      <c r="G51" s="32">
        <v>92.123083333333398</v>
      </c>
      <c r="H51" s="32">
        <v>92.123083333333398</v>
      </c>
      <c r="I51" s="32">
        <v>92.123083333333398</v>
      </c>
      <c r="J51" s="32">
        <v>92.123083333333398</v>
      </c>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row>
    <row r="52" spans="1:66" ht="20" customHeight="1">
      <c r="A52" s="30"/>
      <c r="B52" s="30"/>
      <c r="C52" s="31"/>
      <c r="D52" s="31"/>
      <c r="E52" s="32">
        <v>5</v>
      </c>
      <c r="F52" s="32">
        <v>92.123083333333398</v>
      </c>
      <c r="G52" s="32">
        <v>92.123083333333398</v>
      </c>
      <c r="H52" s="32">
        <v>92.123083333333398</v>
      </c>
      <c r="I52" s="32">
        <v>92.123083333333398</v>
      </c>
      <c r="J52" s="32">
        <v>92.123083333333398</v>
      </c>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row>
    <row r="53" spans="1:66" ht="20" customHeight="1">
      <c r="A53" s="30"/>
      <c r="B53" s="30"/>
      <c r="C53" s="31"/>
      <c r="D53" s="31"/>
      <c r="E53" s="32">
        <v>10</v>
      </c>
      <c r="F53" s="32">
        <v>92.123083333333398</v>
      </c>
      <c r="G53" s="32">
        <v>92.123083333333398</v>
      </c>
      <c r="H53" s="32">
        <v>92.123083333333398</v>
      </c>
      <c r="I53" s="32">
        <v>92.123083333333398</v>
      </c>
      <c r="J53" s="32">
        <v>92.123083333333398</v>
      </c>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row>
    <row r="54" spans="1:66" ht="20" customHeight="1">
      <c r="A54" s="30"/>
      <c r="B54" s="30"/>
      <c r="C54" s="31"/>
      <c r="D54" s="31"/>
      <c r="E54" s="32">
        <v>20</v>
      </c>
      <c r="F54" s="32">
        <v>89.999999999999901</v>
      </c>
      <c r="G54" s="32">
        <v>89.999999999999901</v>
      </c>
      <c r="H54" s="32">
        <v>89.999999999999901</v>
      </c>
      <c r="I54" s="32">
        <v>89.999999999999901</v>
      </c>
      <c r="J54" s="32">
        <v>89.999999999999901</v>
      </c>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row>
    <row r="55" spans="1:66" ht="20" customHeight="1">
      <c r="A55" s="30"/>
      <c r="B55" s="30"/>
      <c r="C55" s="31"/>
      <c r="D55" s="31"/>
      <c r="E55" s="32">
        <v>30</v>
      </c>
      <c r="F55" s="32">
        <v>83.15</v>
      </c>
      <c r="G55" s="32">
        <v>83.15</v>
      </c>
      <c r="H55" s="32">
        <v>83.15</v>
      </c>
      <c r="I55" s="32">
        <v>83.15</v>
      </c>
      <c r="J55" s="32">
        <v>83.15</v>
      </c>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row>
    <row r="56" spans="1:66" ht="20" customHeight="1">
      <c r="A56" s="30"/>
      <c r="B56" s="30"/>
      <c r="C56" s="31"/>
      <c r="D56" s="31"/>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row>
    <row r="57" spans="1:66" ht="20" customHeight="1">
      <c r="A57" s="30"/>
      <c r="B57" s="30"/>
      <c r="C57" s="31"/>
      <c r="D57" s="31"/>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row>
    <row r="58" spans="1:66" ht="20" customHeight="1">
      <c r="A58" s="30"/>
      <c r="B58" s="30"/>
      <c r="C58" s="31"/>
      <c r="D58" s="31"/>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row>
    <row r="59" spans="1:66" ht="20" customHeight="1">
      <c r="A59" s="30"/>
      <c r="B59" s="30"/>
      <c r="C59" s="31"/>
      <c r="D59" s="31"/>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row>
    <row r="60" spans="1:66" ht="20" customHeight="1">
      <c r="A60" s="30"/>
      <c r="B60" s="30"/>
      <c r="C60" s="31"/>
      <c r="D60" s="31"/>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row>
    <row r="61" spans="1:66" ht="20" customHeight="1">
      <c r="A61" s="30"/>
      <c r="B61" s="30"/>
      <c r="C61" s="31"/>
      <c r="D61" s="31"/>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row>
    <row r="62" spans="1:66" ht="20" customHeight="1">
      <c r="A62" s="30"/>
      <c r="B62" s="30"/>
      <c r="C62" s="31"/>
      <c r="D62" s="31"/>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row>
    <row r="63" spans="1:66" ht="20" customHeight="1">
      <c r="A63" s="30"/>
      <c r="B63" s="30"/>
      <c r="C63" s="31"/>
      <c r="D63" s="31"/>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row>
    <row r="64" spans="1:66" ht="20" customHeight="1">
      <c r="A64" s="30"/>
      <c r="B64" s="30"/>
      <c r="C64" s="31"/>
      <c r="D64" s="31"/>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row>
    <row r="65" spans="1:66" ht="20" customHeight="1">
      <c r="A65" s="30"/>
      <c r="B65" s="30"/>
      <c r="C65" s="31"/>
      <c r="D65" s="31"/>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row>
    <row r="66" spans="1:66" ht="20" customHeight="1">
      <c r="A66" s="30"/>
      <c r="B66" s="30"/>
      <c r="C66" s="31"/>
      <c r="D66" s="31"/>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row>
    <row r="67" spans="1:66" ht="20" customHeight="1">
      <c r="A67" s="30"/>
      <c r="B67" s="30"/>
      <c r="C67" s="31"/>
      <c r="D67" s="31"/>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row>
    <row r="68" spans="1:66" ht="20" customHeight="1">
      <c r="A68" s="30"/>
      <c r="B68" s="30"/>
      <c r="C68" s="31"/>
      <c r="D68" s="31"/>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row>
    <row r="69" spans="1:66" ht="20" customHeight="1">
      <c r="A69" s="30"/>
      <c r="B69" s="30"/>
      <c r="C69" s="31"/>
      <c r="D69" s="31"/>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row>
    <row r="70" spans="1:66" ht="20" customHeight="1">
      <c r="A70" s="30"/>
      <c r="B70" s="30"/>
      <c r="C70" s="31"/>
      <c r="D70" s="31"/>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row>
    <row r="71" spans="1:66" ht="20" customHeight="1">
      <c r="A71" s="30"/>
      <c r="B71" s="30"/>
      <c r="C71" s="31"/>
      <c r="D71" s="31"/>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row>
    <row r="72" spans="1:66" ht="20" customHeight="1">
      <c r="A72" s="30"/>
      <c r="B72" s="30"/>
      <c r="C72" s="31"/>
      <c r="D72" s="31"/>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row>
    <row r="73" spans="1:66" ht="20" customHeight="1">
      <c r="A73" s="30"/>
      <c r="B73" s="30"/>
      <c r="C73" s="31"/>
      <c r="D73" s="31"/>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row>
    <row r="74" spans="1:66" ht="20" customHeight="1">
      <c r="A74" s="30"/>
      <c r="B74" s="30"/>
      <c r="C74" s="31"/>
      <c r="D74" s="31"/>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row>
    <row r="75" spans="1:66" ht="20" customHeight="1">
      <c r="A75" s="30"/>
      <c r="B75" s="30"/>
      <c r="C75" s="31"/>
      <c r="D75" s="31"/>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row>
    <row r="76" spans="1:66" ht="20" customHeight="1">
      <c r="A76" s="30"/>
      <c r="B76" s="30"/>
      <c r="C76" s="31"/>
      <c r="D76" s="31"/>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row>
    <row r="77" spans="1:66" ht="20" customHeight="1">
      <c r="A77" s="30"/>
      <c r="B77" s="30"/>
      <c r="C77" s="31"/>
      <c r="D77" s="31"/>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row>
    <row r="78" spans="1:66" ht="20" customHeight="1">
      <c r="A78" s="30"/>
      <c r="B78" s="30"/>
      <c r="C78" s="31"/>
      <c r="D78" s="31"/>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row>
    <row r="79" spans="1:66" ht="20" customHeight="1">
      <c r="A79" s="30"/>
      <c r="B79" s="30"/>
      <c r="C79" s="31"/>
      <c r="D79" s="31"/>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row>
    <row r="80" spans="1:66" ht="20" customHeight="1">
      <c r="A80" s="30"/>
      <c r="B80" s="30"/>
      <c r="C80" s="31"/>
      <c r="D80" s="31"/>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row>
    <row r="81" spans="1:66" ht="20" customHeight="1">
      <c r="A81" s="30"/>
      <c r="B81" s="30"/>
      <c r="C81" s="31"/>
      <c r="D81" s="31"/>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row>
    <row r="82" spans="1:66" ht="20" customHeight="1">
      <c r="A82" s="30"/>
      <c r="B82" s="30"/>
      <c r="C82" s="31"/>
      <c r="D82" s="31"/>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row>
    <row r="83" spans="1:66" ht="20" customHeight="1">
      <c r="A83" s="30"/>
      <c r="B83" s="30"/>
      <c r="C83" s="31"/>
      <c r="D83" s="31"/>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row>
    <row r="84" spans="1:66" ht="20" customHeight="1">
      <c r="A84" s="30"/>
      <c r="B84" s="30"/>
      <c r="C84" s="31"/>
      <c r="D84" s="31"/>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row>
    <row r="85" spans="1:66" ht="20" customHeight="1">
      <c r="A85" s="30"/>
      <c r="B85" s="30"/>
      <c r="C85" s="31"/>
      <c r="D85" s="31"/>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row>
    <row r="86" spans="1:66" ht="20" customHeight="1">
      <c r="A86" s="30"/>
      <c r="B86" s="30"/>
      <c r="C86" s="31"/>
      <c r="D86" s="31"/>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row>
    <row r="87" spans="1:66" ht="20" customHeight="1">
      <c r="A87" s="30"/>
      <c r="B87" s="30"/>
      <c r="C87" s="31"/>
      <c r="D87" s="31"/>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row>
    <row r="88" spans="1:66" ht="20" customHeight="1">
      <c r="A88" s="30"/>
      <c r="B88" s="30"/>
      <c r="C88" s="31"/>
      <c r="D88" s="31"/>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row>
    <row r="89" spans="1:66" ht="20" customHeight="1">
      <c r="A89" s="30"/>
      <c r="B89" s="30"/>
      <c r="C89" s="31"/>
      <c r="D89" s="31"/>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row>
    <row r="90" spans="1:66" ht="20" customHeight="1">
      <c r="A90" s="30"/>
      <c r="B90" s="30"/>
      <c r="C90" s="31"/>
      <c r="D90" s="31"/>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row>
    <row r="91" spans="1:66" ht="20" customHeight="1">
      <c r="A91" s="30"/>
      <c r="B91" s="30"/>
      <c r="C91" s="31"/>
      <c r="D91" s="31"/>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row>
    <row r="92" spans="1:66" ht="20" customHeight="1">
      <c r="A92" s="30"/>
      <c r="B92" s="30"/>
      <c r="C92" s="31"/>
      <c r="D92" s="31"/>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row>
    <row r="93" spans="1:66" ht="20" customHeight="1">
      <c r="A93" s="30"/>
      <c r="B93" s="30"/>
      <c r="C93" s="31"/>
      <c r="D93" s="31"/>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row>
    <row r="94" spans="1:66" ht="20" customHeight="1">
      <c r="A94" s="30"/>
      <c r="B94" s="30"/>
      <c r="C94" s="31"/>
      <c r="D94" s="31"/>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row>
    <row r="95" spans="1:66" ht="20" customHeight="1">
      <c r="A95" s="30"/>
      <c r="B95" s="30"/>
      <c r="C95" s="31"/>
      <c r="D95" s="31"/>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row>
    <row r="96" spans="1:66" ht="20" customHeight="1">
      <c r="A96" s="30"/>
      <c r="B96" s="30"/>
      <c r="C96" s="31"/>
      <c r="D96" s="31"/>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row>
    <row r="97" spans="1:66" ht="20" customHeight="1">
      <c r="A97" s="30"/>
      <c r="B97" s="30"/>
      <c r="C97" s="31"/>
      <c r="D97" s="31"/>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row>
    <row r="98" spans="1:66" ht="20" customHeight="1">
      <c r="A98" s="30"/>
      <c r="B98" s="30"/>
      <c r="C98" s="31"/>
      <c r="D98" s="31"/>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row>
    <row r="99" spans="1:66" ht="20" customHeight="1">
      <c r="A99" s="30"/>
      <c r="B99" s="30"/>
      <c r="C99" s="31"/>
      <c r="D99" s="31"/>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row>
    <row r="100" spans="1:66" ht="20" customHeight="1">
      <c r="A100" s="30"/>
      <c r="B100" s="30"/>
      <c r="C100" s="31"/>
      <c r="D100" s="31"/>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row>
    <row r="101" spans="1:66" ht="20" customHeight="1">
      <c r="A101" s="30"/>
      <c r="B101" s="30"/>
      <c r="C101" s="31"/>
      <c r="D101" s="31"/>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row>
    <row r="102" spans="1:66" ht="20" customHeight="1">
      <c r="A102" s="30"/>
      <c r="B102" s="30"/>
      <c r="C102" s="31"/>
      <c r="D102" s="31"/>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row>
    <row r="103" spans="1:66" ht="20" customHeight="1">
      <c r="A103" s="30"/>
      <c r="B103" s="30"/>
      <c r="C103" s="31"/>
      <c r="D103" s="31"/>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row>
    <row r="104" spans="1:66" ht="20" customHeight="1">
      <c r="A104" s="30"/>
      <c r="B104" s="30"/>
      <c r="C104" s="31"/>
      <c r="D104" s="31"/>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row>
    <row r="105" spans="1:66" ht="20" customHeight="1">
      <c r="A105" s="30"/>
      <c r="B105" s="30"/>
      <c r="C105" s="31"/>
      <c r="D105" s="31"/>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row>
    <row r="106" spans="1:66" ht="20" customHeight="1">
      <c r="A106" s="30"/>
      <c r="B106" s="30"/>
      <c r="C106" s="31"/>
      <c r="D106" s="31"/>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row>
    <row r="107" spans="1:66" ht="20" customHeight="1">
      <c r="A107" s="30"/>
      <c r="B107" s="30"/>
      <c r="C107" s="31"/>
      <c r="D107" s="31"/>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row>
    <row r="108" spans="1:66" ht="20" customHeight="1">
      <c r="A108" s="30"/>
      <c r="B108" s="30"/>
      <c r="C108" s="31"/>
      <c r="D108" s="31"/>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row>
    <row r="109" spans="1:66" ht="20" customHeight="1">
      <c r="A109" s="30"/>
      <c r="B109" s="30"/>
      <c r="C109" s="31"/>
      <c r="D109" s="31"/>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row>
    <row r="110" spans="1:66" ht="20" customHeight="1">
      <c r="A110" s="30"/>
      <c r="B110" s="30"/>
      <c r="C110" s="31"/>
      <c r="D110" s="31"/>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row>
    <row r="111" spans="1:66" ht="20" customHeight="1">
      <c r="A111" s="30"/>
      <c r="B111" s="30"/>
      <c r="C111" s="31"/>
      <c r="D111" s="31"/>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row>
    <row r="112" spans="1:66" ht="20" customHeight="1">
      <c r="A112" s="30"/>
      <c r="B112" s="30"/>
      <c r="C112" s="31"/>
      <c r="D112" s="31"/>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row>
    <row r="113" spans="1:66" ht="20" customHeight="1">
      <c r="A113" s="30"/>
      <c r="B113" s="30"/>
      <c r="C113" s="31"/>
      <c r="D113" s="31"/>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row>
    <row r="114" spans="1:66" ht="20" customHeight="1">
      <c r="A114" s="30"/>
      <c r="B114" s="30"/>
      <c r="C114" s="31"/>
      <c r="D114" s="31"/>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row>
    <row r="115" spans="1:66" ht="20" customHeight="1">
      <c r="A115" s="30"/>
      <c r="B115" s="30"/>
      <c r="C115" s="31"/>
      <c r="D115" s="31"/>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row>
    <row r="116" spans="1:66" ht="20" customHeight="1">
      <c r="A116" s="30"/>
      <c r="B116" s="30"/>
      <c r="C116" s="31"/>
      <c r="D116" s="31"/>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row>
    <row r="117" spans="1:66" ht="20" customHeight="1">
      <c r="A117" s="30"/>
      <c r="B117" s="30"/>
      <c r="C117" s="31"/>
      <c r="D117" s="31"/>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row>
    <row r="118" spans="1:66" ht="20" customHeight="1">
      <c r="A118" s="30"/>
      <c r="B118" s="30"/>
      <c r="C118" s="31"/>
      <c r="D118" s="31"/>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row>
    <row r="119" spans="1:66" ht="20" customHeight="1">
      <c r="A119" s="30"/>
      <c r="B119" s="30"/>
      <c r="C119" s="31"/>
      <c r="D119" s="31"/>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row>
    <row r="120" spans="1:66" ht="20" customHeight="1">
      <c r="A120" s="30"/>
      <c r="B120" s="30"/>
      <c r="C120" s="31"/>
      <c r="D120" s="31"/>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row>
    <row r="121" spans="1:66" ht="20" customHeight="1">
      <c r="A121" s="30"/>
      <c r="B121" s="30"/>
      <c r="C121" s="31"/>
      <c r="D121" s="31"/>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row>
    <row r="122" spans="1:66" ht="20" customHeight="1">
      <c r="A122" s="30"/>
      <c r="B122" s="30"/>
      <c r="C122" s="31"/>
      <c r="D122" s="31"/>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row>
    <row r="123" spans="1:66" ht="20" customHeight="1">
      <c r="A123" s="30"/>
      <c r="B123" s="30"/>
      <c r="C123" s="31"/>
      <c r="D123" s="31"/>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row>
    <row r="124" spans="1:66" ht="20" customHeight="1">
      <c r="A124" s="30"/>
      <c r="B124" s="30"/>
      <c r="C124" s="31"/>
      <c r="D124" s="31"/>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row>
    <row r="125" spans="1:66" ht="20" customHeight="1">
      <c r="A125" s="30"/>
      <c r="B125" s="30"/>
      <c r="C125" s="31"/>
      <c r="D125" s="31"/>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row>
    <row r="126" spans="1:66" ht="20" customHeight="1">
      <c r="A126" s="30"/>
      <c r="B126" s="30"/>
      <c r="C126" s="31"/>
      <c r="D126" s="31"/>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row>
    <row r="127" spans="1:66" ht="20" customHeight="1">
      <c r="A127" s="30"/>
      <c r="B127" s="30"/>
      <c r="C127" s="31"/>
      <c r="D127" s="31"/>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row>
    <row r="128" spans="1:66" ht="20" customHeight="1">
      <c r="A128" s="30"/>
      <c r="B128" s="30"/>
      <c r="C128" s="31"/>
      <c r="D128" s="31"/>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row>
    <row r="129" spans="1:66" ht="20" customHeight="1">
      <c r="A129" s="30"/>
      <c r="B129" s="30"/>
      <c r="C129" s="31"/>
      <c r="D129" s="31"/>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row>
    <row r="130" spans="1:66" ht="20" customHeight="1">
      <c r="A130" s="30"/>
      <c r="B130" s="30"/>
      <c r="C130" s="31"/>
      <c r="D130" s="31"/>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row>
    <row r="131" spans="1:66" ht="20" customHeight="1">
      <c r="A131" s="30"/>
      <c r="B131" s="30"/>
      <c r="C131" s="31"/>
      <c r="D131" s="31"/>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row>
    <row r="132" spans="1:66" ht="20" customHeight="1">
      <c r="A132" s="30"/>
      <c r="B132" s="30"/>
      <c r="C132" s="31"/>
      <c r="D132" s="31"/>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row>
    <row r="133" spans="1:66" ht="20" customHeight="1">
      <c r="A133" s="30"/>
      <c r="B133" s="30"/>
      <c r="C133" s="31"/>
      <c r="D133" s="31"/>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row>
    <row r="134" spans="1:66" ht="20" customHeight="1">
      <c r="A134" s="30"/>
      <c r="B134" s="30"/>
      <c r="C134" s="31"/>
      <c r="D134" s="31"/>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row>
    <row r="135" spans="1:66" ht="20" customHeight="1">
      <c r="A135" s="30"/>
      <c r="B135" s="30"/>
      <c r="C135" s="31"/>
      <c r="D135" s="31"/>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row>
    <row r="136" spans="1:66" ht="20" customHeight="1">
      <c r="A136" s="30"/>
      <c r="B136" s="30"/>
      <c r="C136" s="31"/>
      <c r="D136" s="31"/>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row>
    <row r="137" spans="1:66" ht="20" customHeight="1">
      <c r="A137" s="30"/>
      <c r="B137" s="30"/>
      <c r="C137" s="31"/>
      <c r="D137" s="31"/>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row>
    <row r="138" spans="1:66" ht="20" customHeight="1">
      <c r="A138" s="30"/>
      <c r="B138" s="30"/>
      <c r="C138" s="31"/>
      <c r="D138" s="31"/>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row>
    <row r="139" spans="1:66" ht="20" customHeight="1">
      <c r="A139" s="30"/>
      <c r="B139" s="30"/>
      <c r="C139" s="31"/>
      <c r="D139" s="31"/>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row>
    <row r="140" spans="1:66" ht="20" customHeight="1">
      <c r="A140" s="30"/>
      <c r="B140" s="30"/>
      <c r="C140" s="31"/>
      <c r="D140" s="31"/>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row>
    <row r="141" spans="1:66" ht="20" customHeight="1">
      <c r="A141" s="30"/>
      <c r="B141" s="30"/>
      <c r="C141" s="31"/>
      <c r="D141" s="31"/>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row>
    <row r="142" spans="1:66" ht="20" customHeight="1">
      <c r="A142" s="30"/>
      <c r="B142" s="30"/>
      <c r="C142" s="31"/>
      <c r="D142" s="31"/>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row>
    <row r="143" spans="1:66" ht="20" customHeight="1">
      <c r="A143" s="30"/>
      <c r="B143" s="30"/>
      <c r="C143" s="31"/>
      <c r="D143" s="31"/>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row>
    <row r="144" spans="1:66" ht="20" customHeight="1">
      <c r="A144" s="30"/>
      <c r="B144" s="30"/>
      <c r="C144" s="31"/>
      <c r="D144" s="31"/>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row>
    <row r="145" spans="1:66" ht="20" customHeight="1">
      <c r="A145" s="30"/>
      <c r="B145" s="30"/>
      <c r="C145" s="31"/>
      <c r="D145" s="31"/>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row>
    <row r="146" spans="1:66" ht="20" customHeight="1">
      <c r="A146" s="30"/>
      <c r="B146" s="30"/>
      <c r="C146" s="31"/>
      <c r="D146" s="31"/>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row>
    <row r="147" spans="1:66" ht="20" customHeight="1">
      <c r="A147" s="30"/>
      <c r="B147" s="30"/>
      <c r="C147" s="31"/>
      <c r="D147" s="31"/>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row>
    <row r="148" spans="1:66" ht="20" customHeight="1">
      <c r="A148" s="30"/>
      <c r="B148" s="30"/>
      <c r="C148" s="31"/>
      <c r="D148" s="31"/>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row>
    <row r="149" spans="1:66" ht="20" customHeight="1">
      <c r="A149" s="30"/>
      <c r="B149" s="30"/>
      <c r="C149" s="31"/>
      <c r="D149" s="31"/>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row>
    <row r="150" spans="1:66" ht="20" customHeight="1">
      <c r="A150" s="30"/>
      <c r="B150" s="30"/>
      <c r="C150" s="31"/>
      <c r="D150" s="31"/>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row>
    <row r="151" spans="1:66" ht="20" customHeight="1">
      <c r="A151" s="30"/>
      <c r="B151" s="30"/>
      <c r="C151" s="31"/>
      <c r="D151" s="31"/>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row>
    <row r="152" spans="1:66" ht="20" customHeight="1">
      <c r="A152" s="30"/>
      <c r="B152" s="30"/>
      <c r="C152" s="31"/>
      <c r="D152" s="31"/>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row>
    <row r="153" spans="1:66" ht="20" customHeight="1">
      <c r="A153" s="30"/>
      <c r="B153" s="30"/>
      <c r="C153" s="31"/>
      <c r="D153" s="31"/>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row>
    <row r="154" spans="1:66" ht="20" customHeight="1">
      <c r="A154" s="30"/>
      <c r="B154" s="30"/>
      <c r="C154" s="31"/>
      <c r="D154" s="31"/>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row>
    <row r="155" spans="1:66" ht="20" customHeight="1">
      <c r="A155" s="30"/>
      <c r="B155" s="30"/>
      <c r="C155" s="31"/>
      <c r="D155" s="31"/>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row>
    <row r="156" spans="1:66" ht="20" customHeight="1">
      <c r="A156" s="30"/>
      <c r="B156" s="30"/>
      <c r="C156" s="31"/>
      <c r="D156" s="31"/>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row>
    <row r="157" spans="1:66" ht="20" customHeight="1">
      <c r="A157" s="30"/>
      <c r="B157" s="30"/>
      <c r="C157" s="31"/>
      <c r="D157" s="31"/>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row>
    <row r="158" spans="1:66" ht="20" customHeight="1">
      <c r="A158" s="30"/>
      <c r="B158" s="30"/>
      <c r="C158" s="31"/>
      <c r="D158" s="31"/>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row>
    <row r="159" spans="1:66" ht="20" customHeight="1">
      <c r="A159" s="30"/>
      <c r="B159" s="30"/>
      <c r="C159" s="31"/>
      <c r="D159" s="31"/>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row>
    <row r="160" spans="1:66" ht="20" customHeight="1">
      <c r="A160" s="30"/>
      <c r="B160" s="30"/>
      <c r="C160" s="31"/>
      <c r="D160" s="31"/>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row>
    <row r="161" spans="1:66" ht="20" customHeight="1">
      <c r="A161" s="30"/>
      <c r="B161" s="30"/>
      <c r="C161" s="31"/>
      <c r="D161" s="31"/>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row>
    <row r="162" spans="1:66" ht="20" customHeight="1">
      <c r="A162" s="30"/>
      <c r="B162" s="30"/>
      <c r="C162" s="31"/>
      <c r="D162" s="31"/>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row>
    <row r="163" spans="1:66" ht="20" customHeight="1">
      <c r="A163" s="30"/>
      <c r="B163" s="30"/>
      <c r="C163" s="31"/>
      <c r="D163" s="31"/>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row>
    <row r="164" spans="1:66" ht="20" customHeight="1">
      <c r="A164" s="30"/>
      <c r="B164" s="30"/>
      <c r="C164" s="31"/>
      <c r="D164" s="31"/>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row>
    <row r="165" spans="1:66" ht="20" customHeight="1">
      <c r="A165" s="30"/>
      <c r="B165" s="30"/>
      <c r="C165" s="31"/>
      <c r="D165" s="31"/>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row>
    <row r="166" spans="1:66" ht="20" customHeight="1">
      <c r="A166" s="30"/>
      <c r="B166" s="30"/>
      <c r="C166" s="31"/>
      <c r="D166" s="31"/>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row>
    <row r="167" spans="1:66" ht="20" customHeight="1">
      <c r="A167" s="30"/>
      <c r="B167" s="30"/>
      <c r="C167" s="31"/>
      <c r="D167" s="31"/>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row>
    <row r="168" spans="1:66" ht="20" customHeight="1">
      <c r="A168" s="30"/>
      <c r="B168" s="30"/>
      <c r="C168" s="31"/>
      <c r="D168" s="31"/>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row>
    <row r="169" spans="1:66" ht="20" customHeight="1">
      <c r="A169" s="30"/>
      <c r="B169" s="30"/>
      <c r="C169" s="31"/>
      <c r="D169" s="31"/>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row>
    <row r="170" spans="1:66" ht="20" customHeight="1">
      <c r="A170" s="30"/>
      <c r="B170" s="30"/>
      <c r="C170" s="31"/>
      <c r="D170" s="31"/>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row>
    <row r="171" spans="1:66" ht="20" customHeight="1">
      <c r="A171" s="30"/>
      <c r="B171" s="30"/>
      <c r="C171" s="31"/>
      <c r="D171" s="31"/>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row>
    <row r="172" spans="1:66" ht="20" customHeight="1">
      <c r="A172" s="30"/>
      <c r="B172" s="30"/>
      <c r="C172" s="31"/>
      <c r="D172" s="31"/>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row>
    <row r="173" spans="1:66" ht="20" customHeight="1">
      <c r="A173" s="30"/>
      <c r="B173" s="30"/>
      <c r="C173" s="31"/>
      <c r="D173" s="31"/>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row>
    <row r="174" spans="1:66" ht="20" customHeight="1">
      <c r="A174" s="30"/>
      <c r="B174" s="30"/>
      <c r="C174" s="31"/>
      <c r="D174" s="31"/>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row>
    <row r="175" spans="1:66" ht="20" customHeight="1">
      <c r="A175" s="30"/>
      <c r="B175" s="30"/>
      <c r="C175" s="31"/>
      <c r="D175" s="31"/>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row>
    <row r="176" spans="1:66" ht="20" customHeight="1">
      <c r="A176" s="30"/>
      <c r="B176" s="30"/>
      <c r="C176" s="31"/>
      <c r="D176" s="31"/>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row>
    <row r="177" spans="1:66" ht="20" customHeight="1">
      <c r="A177" s="30"/>
      <c r="B177" s="30"/>
      <c r="C177" s="31"/>
      <c r="D177" s="31"/>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row>
    <row r="178" spans="1:66" ht="20" customHeight="1">
      <c r="A178" s="30"/>
      <c r="B178" s="30"/>
      <c r="C178" s="31"/>
      <c r="D178" s="31"/>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row>
    <row r="179" spans="1:66" ht="20" customHeight="1">
      <c r="A179" s="30"/>
      <c r="B179" s="30"/>
      <c r="C179" s="31"/>
      <c r="D179" s="31"/>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row>
    <row r="180" spans="1:66" ht="20" customHeight="1">
      <c r="A180" s="30"/>
      <c r="B180" s="30"/>
      <c r="C180" s="31"/>
      <c r="D180" s="31"/>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row>
    <row r="181" spans="1:66" ht="20" customHeight="1">
      <c r="A181" s="30"/>
      <c r="B181" s="30"/>
      <c r="C181" s="31"/>
      <c r="D181" s="31"/>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row>
    <row r="182" spans="1:66" ht="20" customHeight="1">
      <c r="A182" s="30"/>
      <c r="B182" s="30"/>
      <c r="C182" s="31"/>
      <c r="D182" s="31"/>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row>
    <row r="183" spans="1:66" ht="20" customHeight="1">
      <c r="A183" s="30"/>
      <c r="B183" s="30"/>
      <c r="C183" s="31"/>
      <c r="D183" s="31"/>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row>
    <row r="184" spans="1:66" ht="20" customHeight="1">
      <c r="A184" s="30"/>
      <c r="B184" s="30"/>
      <c r="C184" s="31"/>
      <c r="D184" s="31"/>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row>
    <row r="185" spans="1:66" ht="20" customHeight="1">
      <c r="A185" s="30"/>
      <c r="B185" s="30"/>
      <c r="C185" s="31"/>
      <c r="D185" s="31"/>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row>
    <row r="186" spans="1:66" ht="20" customHeight="1">
      <c r="A186" s="30"/>
      <c r="B186" s="30"/>
      <c r="C186" s="31"/>
      <c r="D186" s="31"/>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row>
    <row r="187" spans="1:66" ht="20" customHeight="1">
      <c r="A187" s="30"/>
      <c r="B187" s="30"/>
      <c r="C187" s="31"/>
      <c r="D187" s="31"/>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row>
    <row r="188" spans="1:66" ht="20" customHeight="1">
      <c r="A188" s="30"/>
      <c r="B188" s="30"/>
      <c r="C188" s="31"/>
      <c r="D188" s="31"/>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row>
    <row r="189" spans="1:66" ht="20" customHeight="1">
      <c r="A189" s="30"/>
      <c r="B189" s="30"/>
      <c r="C189" s="31"/>
      <c r="D189" s="31"/>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row>
    <row r="190" spans="1:66" ht="20" customHeight="1">
      <c r="A190" s="30"/>
      <c r="B190" s="30"/>
      <c r="C190" s="31"/>
      <c r="D190" s="31"/>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row>
    <row r="191" spans="1:66" ht="20" customHeight="1">
      <c r="A191" s="30"/>
      <c r="B191" s="30"/>
      <c r="C191" s="31"/>
      <c r="D191" s="31"/>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row>
    <row r="192" spans="1:66" ht="20" customHeight="1">
      <c r="A192" s="30"/>
      <c r="B192" s="30"/>
      <c r="C192" s="31"/>
      <c r="D192" s="31"/>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row>
    <row r="193" spans="1:66" ht="20" customHeight="1">
      <c r="A193" s="30"/>
      <c r="B193" s="30"/>
      <c r="C193" s="31"/>
      <c r="D193" s="31"/>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row>
    <row r="194" spans="1:66" ht="20" customHeight="1">
      <c r="A194" s="30"/>
      <c r="B194" s="30"/>
      <c r="C194" s="31"/>
      <c r="D194" s="31"/>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row>
    <row r="195" spans="1:66" ht="20" customHeight="1">
      <c r="A195" s="30"/>
      <c r="B195" s="30"/>
      <c r="C195" s="31"/>
      <c r="D195" s="31"/>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row>
    <row r="196" spans="1:66" ht="20" customHeight="1">
      <c r="A196" s="30"/>
      <c r="B196" s="30"/>
      <c r="C196" s="31"/>
      <c r="D196" s="31"/>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row>
    <row r="197" spans="1:66" ht="20" customHeight="1">
      <c r="A197" s="30"/>
      <c r="B197" s="30"/>
      <c r="C197" s="31"/>
      <c r="D197" s="31"/>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row>
    <row r="198" spans="1:66" ht="20" customHeight="1">
      <c r="A198" s="30"/>
      <c r="B198" s="30"/>
      <c r="C198" s="31"/>
      <c r="D198" s="31"/>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row>
    <row r="199" spans="1:66" ht="20" customHeight="1">
      <c r="A199" s="30"/>
      <c r="B199" s="30"/>
      <c r="C199" s="31"/>
      <c r="D199" s="31"/>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row>
    <row r="200" spans="1:66" ht="20" customHeight="1">
      <c r="A200" s="30"/>
      <c r="B200" s="30"/>
      <c r="C200" s="31"/>
      <c r="D200" s="31"/>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row>
  </sheetData>
  <conditionalFormatting sqref="F18:J22">
    <cfRule type="cellIs" dxfId="4" priority="1" operator="lessThan">
      <formula>0</formula>
    </cfRule>
  </conditionalFormatting>
  <conditionalFormatting sqref="F31:J35">
    <cfRule type="cellIs" dxfId="3" priority="2" operator="lessThan">
      <formula>0</formula>
    </cfRule>
  </conditionalFormatting>
  <conditionalFormatting sqref="F41:J45">
    <cfRule type="cellIs" dxfId="2" priority="3" operator="lessThan">
      <formula>0</formula>
    </cfRule>
  </conditionalFormatting>
  <conditionalFormatting sqref="F51:J55">
    <cfRule type="cellIs" dxfId="1" priority="4" operator="lessThan">
      <formula>0</formula>
    </cfRule>
  </conditionalFormatting>
  <dataValidations count="1">
    <dataValidation type="whole" sqref="E8" xr:uid="{00000000-0002-0000-0100-000000000000}">
      <formula1>0</formula1>
      <formula2>1</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07483"/>
  </sheetPr>
  <dimension ref="C1:BN400"/>
  <sheetViews>
    <sheetView showGridLines="0" workbookViewId="0">
      <pane xSplit="4" ySplit="7" topLeftCell="E8" activePane="bottomRight" state="frozen"/>
      <selection pane="topRight"/>
      <selection pane="bottomLeft"/>
      <selection pane="bottomRight" activeCell="E8" sqref="E8"/>
    </sheetView>
  </sheetViews>
  <sheetFormatPr baseColWidth="10" defaultColWidth="8.83203125" defaultRowHeight="14"/>
  <cols>
    <col min="1" max="2" width="2" customWidth="1"/>
    <col min="3" max="3" width="48" customWidth="1"/>
    <col min="4" max="4" width="3" customWidth="1"/>
    <col min="5" max="11" width="14" customWidth="1"/>
    <col min="12" max="12" width="95" customWidth="1"/>
    <col min="13" max="66" width="14" customWidth="1"/>
  </cols>
  <sheetData>
    <row r="1" spans="3:66" ht="20" customHeight="1">
      <c r="C1" s="1"/>
      <c r="D1" s="1"/>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row>
    <row r="2" spans="3:66" ht="20" customHeight="1">
      <c r="C2" s="3" t="s">
        <v>65</v>
      </c>
      <c r="D2" s="1"/>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row>
    <row r="3" spans="3:66" ht="20" customHeight="1">
      <c r="C3" s="4" t="s">
        <v>49</v>
      </c>
      <c r="D3" s="1"/>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row>
    <row r="4" spans="3:66" ht="20" customHeight="1">
      <c r="C4" s="1" t="s">
        <v>2</v>
      </c>
      <c r="D4" s="1"/>
      <c r="E4" s="5" t="str">
        <f>CHOOSE(Assumptions!$E$5,"Base","Downside","Upside")</f>
        <v>Base</v>
      </c>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row>
    <row r="5" spans="3:66" ht="20" customHeight="1">
      <c r="C5" s="1" t="s">
        <v>66</v>
      </c>
      <c r="D5" s="1"/>
      <c r="E5" s="18">
        <v>1</v>
      </c>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row>
    <row r="6" spans="3:66" ht="20" customHeight="1">
      <c r="C6" s="1"/>
      <c r="D6" s="1"/>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row>
    <row r="7" spans="3:66" ht="24" customHeight="1">
      <c r="C7" s="10" t="s">
        <v>67</v>
      </c>
      <c r="D7" s="10"/>
      <c r="E7" s="17">
        <v>2027</v>
      </c>
      <c r="F7" s="17">
        <v>2028</v>
      </c>
      <c r="G7" s="17">
        <v>2029</v>
      </c>
      <c r="H7" s="17">
        <v>2030</v>
      </c>
      <c r="I7" s="17">
        <v>2031</v>
      </c>
      <c r="J7" s="11"/>
      <c r="K7" s="11" t="s">
        <v>68</v>
      </c>
      <c r="L7" s="11" t="s">
        <v>69</v>
      </c>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2"/>
      <c r="BN7" s="2"/>
    </row>
    <row r="8" spans="3:66" ht="52" customHeight="1">
      <c r="C8" s="28" t="s">
        <v>70</v>
      </c>
      <c r="D8" s="6"/>
      <c r="E8" s="14">
        <f>CHOOSE($E$5,E9,E10,E11)</f>
        <v>350</v>
      </c>
      <c r="F8" s="14">
        <f>CHOOSE($E$5,F9,F10,F11)</f>
        <v>360.5</v>
      </c>
      <c r="G8" s="14">
        <f>CHOOSE($E$5,G9,G10,G11)</f>
        <v>371.315</v>
      </c>
      <c r="H8" s="14">
        <f>CHOOSE($E$5,H9,H10,H11)</f>
        <v>382.45445000000001</v>
      </c>
      <c r="I8" s="14">
        <f>CHOOSE($E$5,I9,I10,I11)</f>
        <v>393.92808350000001</v>
      </c>
      <c r="J8" s="2"/>
      <c r="K8" s="2" t="s">
        <v>71</v>
      </c>
      <c r="L8" s="26" t="s">
        <v>72</v>
      </c>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row>
    <row r="9" spans="3:66" ht="20" customHeight="1">
      <c r="C9" s="1" t="s">
        <v>73</v>
      </c>
      <c r="D9" s="1"/>
      <c r="E9" s="7">
        <v>350</v>
      </c>
      <c r="F9" s="7">
        <v>360.5</v>
      </c>
      <c r="G9" s="7">
        <v>371.315</v>
      </c>
      <c r="H9" s="7">
        <v>382.45445000000001</v>
      </c>
      <c r="I9" s="7">
        <v>393.92808350000001</v>
      </c>
      <c r="J9" s="2"/>
      <c r="K9" s="2"/>
      <c r="L9" s="26"/>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row>
    <row r="10" spans="3:66" ht="20" customHeight="1">
      <c r="C10" s="1" t="s">
        <v>74</v>
      </c>
      <c r="D10" s="1"/>
      <c r="E10" s="7">
        <v>335</v>
      </c>
      <c r="F10" s="7">
        <v>335</v>
      </c>
      <c r="G10" s="7">
        <v>335</v>
      </c>
      <c r="H10" s="7">
        <v>335</v>
      </c>
      <c r="I10" s="7">
        <v>335</v>
      </c>
      <c r="J10" s="2"/>
      <c r="K10" s="2"/>
      <c r="L10" s="26"/>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row>
    <row r="11" spans="3:66" ht="20" customHeight="1">
      <c r="C11" s="1" t="s">
        <v>75</v>
      </c>
      <c r="D11" s="1"/>
      <c r="E11" s="7">
        <v>360</v>
      </c>
      <c r="F11" s="7">
        <v>378</v>
      </c>
      <c r="G11" s="7">
        <v>396.9</v>
      </c>
      <c r="H11" s="7">
        <v>416.745</v>
      </c>
      <c r="I11" s="7">
        <v>437.58224999999999</v>
      </c>
      <c r="J11" s="2"/>
      <c r="K11" s="2"/>
      <c r="L11" s="26"/>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row>
    <row r="12" spans="3:66" ht="20" customHeight="1">
      <c r="C12" s="1"/>
      <c r="D12" s="1"/>
      <c r="E12" s="2"/>
      <c r="F12" s="2"/>
      <c r="G12" s="2"/>
      <c r="H12" s="2"/>
      <c r="I12" s="2"/>
      <c r="J12" s="2"/>
      <c r="K12" s="2"/>
      <c r="L12" s="26"/>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row>
    <row r="13" spans="3:66" ht="52" customHeight="1">
      <c r="C13" s="28" t="s">
        <v>76</v>
      </c>
      <c r="D13" s="6"/>
      <c r="E13" s="14">
        <f>CHOOSE($E$5,E14,E15,E16)</f>
        <v>160</v>
      </c>
      <c r="F13" s="14">
        <f>CHOOSE($E$5,F14,F15,F16)</f>
        <v>160</v>
      </c>
      <c r="G13" s="14">
        <f>CHOOSE($E$5,G14,G15,G16)</f>
        <v>160</v>
      </c>
      <c r="H13" s="14">
        <f>CHOOSE($E$5,H14,H15,H16)</f>
        <v>160</v>
      </c>
      <c r="I13" s="14">
        <f>CHOOSE($E$5,I14,I15,I16)</f>
        <v>160</v>
      </c>
      <c r="J13" s="2"/>
      <c r="K13" s="2" t="s">
        <v>71</v>
      </c>
      <c r="L13" s="26" t="s">
        <v>72</v>
      </c>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row>
    <row r="14" spans="3:66" ht="20" customHeight="1">
      <c r="C14" s="1" t="s">
        <v>73</v>
      </c>
      <c r="D14" s="1"/>
      <c r="E14" s="7">
        <v>160</v>
      </c>
      <c r="F14" s="7">
        <v>160</v>
      </c>
      <c r="G14" s="7">
        <v>160</v>
      </c>
      <c r="H14" s="7">
        <v>160</v>
      </c>
      <c r="I14" s="7">
        <v>160</v>
      </c>
      <c r="J14" s="2"/>
      <c r="K14" s="2"/>
      <c r="L14" s="26"/>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row>
    <row r="15" spans="3:66" ht="20" customHeight="1">
      <c r="C15" s="1" t="s">
        <v>74</v>
      </c>
      <c r="D15" s="1"/>
      <c r="E15" s="7">
        <v>155</v>
      </c>
      <c r="F15" s="7">
        <v>150.35</v>
      </c>
      <c r="G15" s="7">
        <v>145.83949999999999</v>
      </c>
      <c r="H15" s="7">
        <v>141.464315</v>
      </c>
      <c r="I15" s="7">
        <v>137.22038555</v>
      </c>
      <c r="J15" s="2"/>
      <c r="K15" s="2"/>
      <c r="L15" s="26"/>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row>
    <row r="16" spans="3:66" ht="20" customHeight="1">
      <c r="C16" s="1" t="s">
        <v>75</v>
      </c>
      <c r="D16" s="1"/>
      <c r="E16" s="7">
        <v>165</v>
      </c>
      <c r="F16" s="7">
        <v>169.95</v>
      </c>
      <c r="G16" s="7">
        <v>175.04849999999999</v>
      </c>
      <c r="H16" s="7">
        <v>180.30095499999999</v>
      </c>
      <c r="I16" s="7">
        <v>185.70998365</v>
      </c>
      <c r="J16" s="2"/>
      <c r="K16" s="2"/>
      <c r="L16" s="26"/>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row>
    <row r="17" spans="3:66" ht="20" customHeight="1">
      <c r="C17" s="1"/>
      <c r="D17" s="1"/>
      <c r="E17" s="2"/>
      <c r="F17" s="2"/>
      <c r="G17" s="2"/>
      <c r="H17" s="2"/>
      <c r="I17" s="2"/>
      <c r="J17" s="2"/>
      <c r="K17" s="2"/>
      <c r="L17" s="26"/>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row>
    <row r="18" spans="3:66" ht="52" customHeight="1">
      <c r="C18" s="28" t="s">
        <v>77</v>
      </c>
      <c r="D18" s="6"/>
      <c r="E18" s="14">
        <f>CHOOSE($E$5,E19,E20,E21)</f>
        <v>65</v>
      </c>
      <c r="F18" s="14">
        <f>CHOOSE($E$5,F19,F20,F21)</f>
        <v>35</v>
      </c>
      <c r="G18" s="14">
        <f>CHOOSE($E$5,G19,G20,G21)</f>
        <v>35</v>
      </c>
      <c r="H18" s="14">
        <f>CHOOSE($E$5,H19,H20,H21)</f>
        <v>35</v>
      </c>
      <c r="I18" s="14">
        <f>CHOOSE($E$5,I19,I20,I21)</f>
        <v>35</v>
      </c>
      <c r="J18" s="2"/>
      <c r="K18" s="2" t="s">
        <v>71</v>
      </c>
      <c r="L18" s="26" t="s">
        <v>72</v>
      </c>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row>
    <row r="19" spans="3:66" ht="20" customHeight="1">
      <c r="C19" s="1" t="s">
        <v>73</v>
      </c>
      <c r="D19" s="1"/>
      <c r="E19" s="7">
        <v>65</v>
      </c>
      <c r="F19" s="7">
        <v>35</v>
      </c>
      <c r="G19" s="7">
        <v>35</v>
      </c>
      <c r="H19" s="7">
        <v>35</v>
      </c>
      <c r="I19" s="7">
        <v>35</v>
      </c>
      <c r="J19" s="2"/>
      <c r="K19" s="2"/>
      <c r="L19" s="26"/>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row>
    <row r="20" spans="3:66" ht="20" customHeight="1">
      <c r="C20" s="1" t="s">
        <v>74</v>
      </c>
      <c r="D20" s="1"/>
      <c r="E20" s="7">
        <v>60</v>
      </c>
      <c r="F20" s="7">
        <v>5</v>
      </c>
      <c r="G20" s="7">
        <v>5</v>
      </c>
      <c r="H20" s="7">
        <v>5</v>
      </c>
      <c r="I20" s="7">
        <v>5</v>
      </c>
      <c r="J20" s="2"/>
      <c r="K20" s="2"/>
      <c r="L20" s="26"/>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row>
    <row r="21" spans="3:66" ht="20" customHeight="1">
      <c r="C21" s="1" t="s">
        <v>75</v>
      </c>
      <c r="D21" s="1"/>
      <c r="E21" s="7">
        <v>70</v>
      </c>
      <c r="F21" s="7">
        <v>80</v>
      </c>
      <c r="G21" s="7">
        <v>80</v>
      </c>
      <c r="H21" s="7">
        <v>80</v>
      </c>
      <c r="I21" s="7">
        <v>80</v>
      </c>
      <c r="J21" s="2"/>
      <c r="K21" s="2"/>
      <c r="L21" s="26"/>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row>
    <row r="22" spans="3:66" ht="20" customHeight="1">
      <c r="C22" s="1"/>
      <c r="D22" s="1"/>
      <c r="E22" s="2"/>
      <c r="F22" s="2"/>
      <c r="G22" s="2"/>
      <c r="H22" s="2"/>
      <c r="I22" s="2"/>
      <c r="J22" s="2"/>
      <c r="K22" s="2"/>
      <c r="L22" s="26"/>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row>
    <row r="23" spans="3:66" ht="52" customHeight="1">
      <c r="C23" s="28" t="s">
        <v>78</v>
      </c>
      <c r="D23" s="6"/>
      <c r="E23" s="14">
        <f>CHOOSE($E$5,E24,E25,E26)</f>
        <v>175</v>
      </c>
      <c r="F23" s="14">
        <f>CHOOSE($E$5,F24,F25,F26)</f>
        <v>160</v>
      </c>
      <c r="G23" s="14">
        <f>CHOOSE($E$5,G24,G25,G26)</f>
        <v>163.19999999999999</v>
      </c>
      <c r="H23" s="14">
        <f>CHOOSE($E$5,H24,H25,H26)</f>
        <v>166.464</v>
      </c>
      <c r="I23" s="14">
        <f>CHOOSE($E$5,I24,I25,I26)</f>
        <v>169.79328000000001</v>
      </c>
      <c r="J23" s="2"/>
      <c r="K23" s="2" t="s">
        <v>71</v>
      </c>
      <c r="L23" s="26" t="s">
        <v>72</v>
      </c>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row>
    <row r="24" spans="3:66" ht="20" customHeight="1">
      <c r="C24" s="1" t="s">
        <v>73</v>
      </c>
      <c r="D24" s="1"/>
      <c r="E24" s="7">
        <v>175</v>
      </c>
      <c r="F24" s="7">
        <v>160</v>
      </c>
      <c r="G24" s="7">
        <v>163.19999999999999</v>
      </c>
      <c r="H24" s="7">
        <v>166.464</v>
      </c>
      <c r="I24" s="7">
        <v>169.79328000000001</v>
      </c>
      <c r="J24" s="2"/>
      <c r="K24" s="2"/>
      <c r="L24" s="26"/>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row>
    <row r="25" spans="3:66" ht="20" customHeight="1">
      <c r="C25" s="1" t="s">
        <v>74</v>
      </c>
      <c r="D25" s="1"/>
      <c r="E25" s="7">
        <v>170</v>
      </c>
      <c r="F25" s="7">
        <v>145</v>
      </c>
      <c r="G25" s="7">
        <v>145</v>
      </c>
      <c r="H25" s="7">
        <v>145</v>
      </c>
      <c r="I25" s="7">
        <v>145</v>
      </c>
      <c r="J25" s="2"/>
      <c r="K25" s="2"/>
      <c r="L25" s="26"/>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row>
    <row r="26" spans="3:66" ht="20" customHeight="1">
      <c r="C26" s="1" t="s">
        <v>75</v>
      </c>
      <c r="D26" s="1"/>
      <c r="E26" s="7">
        <v>185</v>
      </c>
      <c r="F26" s="7">
        <v>185</v>
      </c>
      <c r="G26" s="7">
        <v>190.55</v>
      </c>
      <c r="H26" s="7">
        <v>196.26650000000001</v>
      </c>
      <c r="I26" s="7">
        <v>202.154495</v>
      </c>
      <c r="J26" s="2"/>
      <c r="K26" s="2"/>
      <c r="L26" s="26"/>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row>
    <row r="27" spans="3:66" ht="20" customHeight="1">
      <c r="C27" s="1"/>
      <c r="D27" s="1"/>
      <c r="E27" s="2"/>
      <c r="F27" s="2"/>
      <c r="G27" s="2"/>
      <c r="H27" s="2"/>
      <c r="I27" s="2"/>
      <c r="J27" s="2"/>
      <c r="K27" s="2"/>
      <c r="L27" s="26"/>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row>
    <row r="28" spans="3:66" ht="52" customHeight="1">
      <c r="C28" s="28" t="s">
        <v>79</v>
      </c>
      <c r="D28" s="6"/>
      <c r="E28" s="14">
        <f>CHOOSE($E$5,E29,E30,E31)</f>
        <v>0</v>
      </c>
      <c r="F28" s="14">
        <f>CHOOSE($E$5,F29,F30,F31)</f>
        <v>1</v>
      </c>
      <c r="G28" s="14">
        <f>CHOOSE($E$5,G29,G30,G31)</f>
        <v>0</v>
      </c>
      <c r="H28" s="14">
        <f>CHOOSE($E$5,H29,H30,H31)</f>
        <v>0</v>
      </c>
      <c r="I28" s="14">
        <f>CHOOSE($E$5,I29,I30,I31)</f>
        <v>0</v>
      </c>
      <c r="J28" s="2"/>
      <c r="K28" s="2" t="s">
        <v>71</v>
      </c>
      <c r="L28" s="26" t="s">
        <v>80</v>
      </c>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row>
    <row r="29" spans="3:66" ht="20" customHeight="1">
      <c r="C29" s="1" t="s">
        <v>73</v>
      </c>
      <c r="D29" s="1"/>
      <c r="E29" s="7">
        <v>0</v>
      </c>
      <c r="F29" s="7">
        <v>1</v>
      </c>
      <c r="G29" s="7">
        <v>0</v>
      </c>
      <c r="H29" s="7">
        <v>0</v>
      </c>
      <c r="I29" s="7">
        <v>0</v>
      </c>
      <c r="J29" s="2"/>
      <c r="K29" s="2"/>
      <c r="L29" s="26"/>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row>
    <row r="30" spans="3:66" ht="20" customHeight="1">
      <c r="C30" s="1" t="s">
        <v>74</v>
      </c>
      <c r="D30" s="1"/>
      <c r="E30" s="7">
        <v>0</v>
      </c>
      <c r="F30" s="7">
        <v>1</v>
      </c>
      <c r="G30" s="7">
        <v>1</v>
      </c>
      <c r="H30" s="7">
        <v>1</v>
      </c>
      <c r="I30" s="7">
        <v>1</v>
      </c>
      <c r="J30" s="2"/>
      <c r="K30" s="2"/>
      <c r="L30" s="26"/>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row>
    <row r="31" spans="3:66" ht="20" customHeight="1">
      <c r="C31" s="1" t="s">
        <v>75</v>
      </c>
      <c r="D31" s="1"/>
      <c r="E31" s="7">
        <v>0</v>
      </c>
      <c r="F31" s="7">
        <v>0</v>
      </c>
      <c r="G31" s="7">
        <v>0</v>
      </c>
      <c r="H31" s="7">
        <v>0</v>
      </c>
      <c r="I31" s="7">
        <v>0</v>
      </c>
      <c r="J31" s="2"/>
      <c r="K31" s="2"/>
      <c r="L31" s="26"/>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row>
    <row r="32" spans="3:66" ht="20" customHeight="1">
      <c r="C32" s="1"/>
      <c r="D32" s="1"/>
      <c r="E32" s="2"/>
      <c r="F32" s="2"/>
      <c r="G32" s="2"/>
      <c r="H32" s="2"/>
      <c r="I32" s="2"/>
      <c r="J32" s="2"/>
      <c r="K32" s="2"/>
      <c r="L32" s="26"/>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row>
    <row r="33" spans="3:66" ht="52" customHeight="1">
      <c r="C33" s="28" t="s">
        <v>81</v>
      </c>
      <c r="D33" s="6"/>
      <c r="E33" s="14">
        <f>CHOOSE($E$5,E34,E35,E36)</f>
        <v>0</v>
      </c>
      <c r="F33" s="14">
        <f>CHOOSE($E$5,F34,F35,F36)</f>
        <v>10</v>
      </c>
      <c r="G33" s="14">
        <f>CHOOSE($E$5,G34,G35,G36)</f>
        <v>0</v>
      </c>
      <c r="H33" s="14">
        <f>CHOOSE($E$5,H34,H35,H36)</f>
        <v>0</v>
      </c>
      <c r="I33" s="14">
        <f>CHOOSE($E$5,I34,I35,I36)</f>
        <v>0</v>
      </c>
      <c r="J33" s="2"/>
      <c r="K33" s="2" t="s">
        <v>71</v>
      </c>
      <c r="L33" s="26" t="s">
        <v>82</v>
      </c>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row>
    <row r="34" spans="3:66" ht="20" customHeight="1">
      <c r="C34" s="1" t="s">
        <v>73</v>
      </c>
      <c r="D34" s="1"/>
      <c r="E34" s="7">
        <v>0</v>
      </c>
      <c r="F34" s="7">
        <v>10</v>
      </c>
      <c r="G34" s="7">
        <v>0</v>
      </c>
      <c r="H34" s="7">
        <v>0</v>
      </c>
      <c r="I34" s="7">
        <v>0</v>
      </c>
      <c r="J34" s="2"/>
      <c r="K34" s="2"/>
      <c r="L34" s="26"/>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row>
    <row r="35" spans="3:66" ht="20" customHeight="1">
      <c r="C35" s="1" t="s">
        <v>74</v>
      </c>
      <c r="D35" s="1"/>
      <c r="E35" s="7">
        <v>0</v>
      </c>
      <c r="F35" s="7">
        <v>10</v>
      </c>
      <c r="G35" s="7">
        <v>10</v>
      </c>
      <c r="H35" s="7">
        <v>10</v>
      </c>
      <c r="I35" s="7">
        <v>10</v>
      </c>
      <c r="J35" s="2"/>
      <c r="K35" s="2"/>
      <c r="L35" s="26"/>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row>
    <row r="36" spans="3:66" ht="20" customHeight="1">
      <c r="C36" s="1" t="s">
        <v>75</v>
      </c>
      <c r="D36" s="1"/>
      <c r="E36" s="7">
        <v>0</v>
      </c>
      <c r="F36" s="7">
        <v>0</v>
      </c>
      <c r="G36" s="7">
        <v>0</v>
      </c>
      <c r="H36" s="7">
        <v>0</v>
      </c>
      <c r="I36" s="7">
        <v>0</v>
      </c>
      <c r="J36" s="2"/>
      <c r="K36" s="2"/>
      <c r="L36" s="26"/>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row>
    <row r="37" spans="3:66" ht="20" customHeight="1">
      <c r="C37" s="1"/>
      <c r="D37" s="1"/>
      <c r="E37" s="2"/>
      <c r="F37" s="2"/>
      <c r="G37" s="2"/>
      <c r="H37" s="2"/>
      <c r="I37" s="2"/>
      <c r="J37" s="2"/>
      <c r="K37" s="2"/>
      <c r="L37" s="26"/>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row>
    <row r="38" spans="3:66" ht="52" customHeight="1">
      <c r="C38" s="28" t="s">
        <v>83</v>
      </c>
      <c r="D38" s="6"/>
      <c r="E38" s="14">
        <f>CHOOSE($E$5,E39,E40,E41)</f>
        <v>350</v>
      </c>
      <c r="F38" s="14">
        <f>CHOOSE($E$5,F39,F40,F41)</f>
        <v>350</v>
      </c>
      <c r="G38" s="14">
        <f>CHOOSE($E$5,G39,G40,G41)</f>
        <v>350</v>
      </c>
      <c r="H38" s="14">
        <f>CHOOSE($E$5,H39,H40,H41)</f>
        <v>350</v>
      </c>
      <c r="I38" s="14">
        <f>CHOOSE($E$5,I39,I40,I41)</f>
        <v>350</v>
      </c>
      <c r="J38" s="2"/>
      <c r="K38" s="2" t="s">
        <v>71</v>
      </c>
      <c r="L38" s="26" t="s">
        <v>84</v>
      </c>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row>
    <row r="39" spans="3:66" ht="20" customHeight="1">
      <c r="C39" s="1" t="s">
        <v>73</v>
      </c>
      <c r="D39" s="1"/>
      <c r="E39" s="7">
        <v>350</v>
      </c>
      <c r="F39" s="7">
        <v>350</v>
      </c>
      <c r="G39" s="7">
        <v>350</v>
      </c>
      <c r="H39" s="7">
        <v>350</v>
      </c>
      <c r="I39" s="7">
        <v>350</v>
      </c>
      <c r="J39" s="2"/>
      <c r="K39" s="2"/>
      <c r="L39" s="26"/>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row>
    <row r="40" spans="3:66" ht="20" customHeight="1">
      <c r="C40" s="1" t="s">
        <v>74</v>
      </c>
      <c r="D40" s="1"/>
      <c r="E40" s="7">
        <v>365</v>
      </c>
      <c r="F40" s="7">
        <v>365</v>
      </c>
      <c r="G40" s="7">
        <v>365</v>
      </c>
      <c r="H40" s="7">
        <v>365</v>
      </c>
      <c r="I40" s="7">
        <v>365</v>
      </c>
      <c r="J40" s="2"/>
      <c r="K40" s="2"/>
      <c r="L40" s="26"/>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row>
    <row r="41" spans="3:66" ht="20" customHeight="1">
      <c r="C41" s="1" t="s">
        <v>75</v>
      </c>
      <c r="D41" s="1"/>
      <c r="E41" s="7">
        <v>365</v>
      </c>
      <c r="F41" s="7">
        <v>365</v>
      </c>
      <c r="G41" s="7">
        <v>365</v>
      </c>
      <c r="H41" s="7">
        <v>365</v>
      </c>
      <c r="I41" s="7">
        <v>365</v>
      </c>
      <c r="J41" s="2"/>
      <c r="K41" s="2"/>
      <c r="L41" s="26"/>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row>
    <row r="42" spans="3:66" ht="20" customHeight="1">
      <c r="C42" s="1"/>
      <c r="D42" s="1"/>
      <c r="E42" s="2"/>
      <c r="F42" s="2"/>
      <c r="G42" s="2"/>
      <c r="H42" s="2"/>
      <c r="I42" s="2"/>
      <c r="J42" s="2"/>
      <c r="K42" s="2"/>
      <c r="L42" s="26"/>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row>
    <row r="43" spans="3:66" ht="52" customHeight="1">
      <c r="C43" s="28" t="s">
        <v>85</v>
      </c>
      <c r="D43" s="6"/>
      <c r="E43" s="15">
        <f>CHOOSE($E$5,E44,E45,E46)</f>
        <v>0</v>
      </c>
      <c r="F43" s="15">
        <f>CHOOSE($E$5,F44,F45,F46)</f>
        <v>0.02</v>
      </c>
      <c r="G43" s="15">
        <f>CHOOSE($E$5,G44,G45,G46)</f>
        <v>0.02</v>
      </c>
      <c r="H43" s="15">
        <f>CHOOSE($E$5,H44,H45,H46)</f>
        <v>0.02</v>
      </c>
      <c r="I43" s="15">
        <f>CHOOSE($E$5,I44,I45,I46)</f>
        <v>0.02</v>
      </c>
      <c r="J43" s="2"/>
      <c r="K43" s="2" t="s">
        <v>71</v>
      </c>
      <c r="L43" s="26" t="s">
        <v>72</v>
      </c>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row>
    <row r="44" spans="3:66" ht="20" customHeight="1">
      <c r="C44" s="1" t="s">
        <v>73</v>
      </c>
      <c r="D44" s="1"/>
      <c r="E44" s="8">
        <v>0</v>
      </c>
      <c r="F44" s="8">
        <v>0.02</v>
      </c>
      <c r="G44" s="8">
        <v>0.02</v>
      </c>
      <c r="H44" s="8">
        <v>0.02</v>
      </c>
      <c r="I44" s="8">
        <v>0.02</v>
      </c>
      <c r="J44" s="2"/>
      <c r="K44" s="2"/>
      <c r="L44" s="26"/>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row>
    <row r="45" spans="3:66" ht="20" customHeight="1">
      <c r="C45" s="1" t="s">
        <v>74</v>
      </c>
      <c r="D45" s="1"/>
      <c r="E45" s="8">
        <v>0</v>
      </c>
      <c r="F45" s="8">
        <v>0.03</v>
      </c>
      <c r="G45" s="8">
        <v>0.03</v>
      </c>
      <c r="H45" s="8">
        <v>0.03</v>
      </c>
      <c r="I45" s="8">
        <v>0.03</v>
      </c>
      <c r="J45" s="2"/>
      <c r="K45" s="2"/>
      <c r="L45" s="26"/>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row>
    <row r="46" spans="3:66" ht="20" customHeight="1">
      <c r="C46" s="1" t="s">
        <v>75</v>
      </c>
      <c r="D46" s="1"/>
      <c r="E46" s="8">
        <v>0</v>
      </c>
      <c r="F46" s="8">
        <v>0.03</v>
      </c>
      <c r="G46" s="8">
        <v>0.03</v>
      </c>
      <c r="H46" s="8">
        <v>0.03</v>
      </c>
      <c r="I46" s="8">
        <v>0.03</v>
      </c>
      <c r="J46" s="2"/>
      <c r="K46" s="2"/>
      <c r="L46" s="26"/>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row>
    <row r="47" spans="3:66" ht="20" customHeight="1">
      <c r="C47" s="1"/>
      <c r="D47" s="1"/>
      <c r="E47" s="2"/>
      <c r="F47" s="2"/>
      <c r="G47" s="2"/>
      <c r="H47" s="2"/>
      <c r="I47" s="2"/>
      <c r="J47" s="2"/>
      <c r="K47" s="2"/>
      <c r="L47" s="26"/>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row>
    <row r="48" spans="3:66" ht="52" customHeight="1">
      <c r="C48" s="28" t="s">
        <v>86</v>
      </c>
      <c r="D48" s="6"/>
      <c r="E48" s="15">
        <f>CHOOSE($E$5,E49,E50,E51)</f>
        <v>0.75</v>
      </c>
      <c r="F48" s="15">
        <f>CHOOSE($E$5,F49,F50,F51)</f>
        <v>0.75</v>
      </c>
      <c r="G48" s="15">
        <f>CHOOSE($E$5,G49,G50,G51)</f>
        <v>0.75</v>
      </c>
      <c r="H48" s="15">
        <f>CHOOSE($E$5,H49,H50,H51)</f>
        <v>0.75</v>
      </c>
      <c r="I48" s="15">
        <f>CHOOSE($E$5,I49,I50,I51)</f>
        <v>0.75</v>
      </c>
      <c r="J48" s="2"/>
      <c r="K48" s="2" t="s">
        <v>71</v>
      </c>
      <c r="L48" s="26" t="s">
        <v>87</v>
      </c>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row>
    <row r="49" spans="3:66" ht="20" customHeight="1">
      <c r="C49" s="1" t="s">
        <v>73</v>
      </c>
      <c r="D49" s="1"/>
      <c r="E49" s="8">
        <v>0.75</v>
      </c>
      <c r="F49" s="8">
        <v>0.75</v>
      </c>
      <c r="G49" s="8">
        <v>0.75</v>
      </c>
      <c r="H49" s="8">
        <v>0.75</v>
      </c>
      <c r="I49" s="8">
        <v>0.75</v>
      </c>
      <c r="J49" s="2"/>
      <c r="K49" s="2"/>
      <c r="L49" s="26"/>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row>
    <row r="50" spans="3:66" ht="20" customHeight="1">
      <c r="C50" s="1" t="s">
        <v>74</v>
      </c>
      <c r="D50" s="1"/>
      <c r="E50" s="8">
        <v>0.85</v>
      </c>
      <c r="F50" s="8">
        <v>0.85</v>
      </c>
      <c r="G50" s="8">
        <v>0.85</v>
      </c>
      <c r="H50" s="8">
        <v>0.85</v>
      </c>
      <c r="I50" s="8">
        <v>0.85</v>
      </c>
      <c r="J50" s="2"/>
      <c r="K50" s="2"/>
      <c r="L50" s="26"/>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row>
    <row r="51" spans="3:66" ht="20" customHeight="1">
      <c r="C51" s="1" t="s">
        <v>75</v>
      </c>
      <c r="D51" s="1"/>
      <c r="E51" s="8">
        <v>0.7</v>
      </c>
      <c r="F51" s="8">
        <v>0.7</v>
      </c>
      <c r="G51" s="8">
        <v>0.7</v>
      </c>
      <c r="H51" s="8">
        <v>0.7</v>
      </c>
      <c r="I51" s="8">
        <v>0.7</v>
      </c>
      <c r="J51" s="2"/>
      <c r="K51" s="2"/>
      <c r="L51" s="26"/>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row>
    <row r="52" spans="3:66" ht="20" customHeight="1">
      <c r="C52" s="1"/>
      <c r="D52" s="1"/>
      <c r="E52" s="2"/>
      <c r="F52" s="2"/>
      <c r="G52" s="2"/>
      <c r="H52" s="2"/>
      <c r="I52" s="2"/>
      <c r="J52" s="2"/>
      <c r="K52" s="2"/>
      <c r="L52" s="26"/>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row>
    <row r="53" spans="3:66" ht="52" customHeight="1">
      <c r="C53" s="28" t="s">
        <v>88</v>
      </c>
      <c r="D53" s="6"/>
      <c r="E53" s="14">
        <f>CHOOSE($E$5,E54,E55,E56)</f>
        <v>0</v>
      </c>
      <c r="F53" s="14">
        <f>CHOOSE($E$5,F54,F55,F56)</f>
        <v>20</v>
      </c>
      <c r="G53" s="14">
        <f>CHOOSE($E$5,G54,G55,G56)</f>
        <v>15</v>
      </c>
      <c r="H53" s="14">
        <f>CHOOSE($E$5,H54,H55,H56)</f>
        <v>10</v>
      </c>
      <c r="I53" s="14">
        <f>CHOOSE($E$5,I54,I55,I56)</f>
        <v>5</v>
      </c>
      <c r="J53" s="2"/>
      <c r="K53" s="2" t="s">
        <v>71</v>
      </c>
      <c r="L53" s="26" t="s">
        <v>89</v>
      </c>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row>
    <row r="54" spans="3:66" ht="20" customHeight="1">
      <c r="C54" s="1" t="s">
        <v>73</v>
      </c>
      <c r="D54" s="1"/>
      <c r="E54" s="7">
        <v>0</v>
      </c>
      <c r="F54" s="7">
        <v>20</v>
      </c>
      <c r="G54" s="7">
        <v>15</v>
      </c>
      <c r="H54" s="7">
        <v>10</v>
      </c>
      <c r="I54" s="7">
        <v>5</v>
      </c>
      <c r="J54" s="2"/>
      <c r="K54" s="2"/>
      <c r="L54" s="26"/>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row>
    <row r="55" spans="3:66" ht="20" customHeight="1">
      <c r="C55" s="1" t="s">
        <v>74</v>
      </c>
      <c r="D55" s="1"/>
      <c r="E55" s="7">
        <v>0</v>
      </c>
      <c r="F55" s="7">
        <v>10</v>
      </c>
      <c r="G55" s="7">
        <v>10</v>
      </c>
      <c r="H55" s="7">
        <v>5</v>
      </c>
      <c r="I55" s="7">
        <v>5</v>
      </c>
      <c r="J55" s="2"/>
      <c r="K55" s="2"/>
      <c r="L55" s="26"/>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row>
    <row r="56" spans="3:66" ht="20" customHeight="1">
      <c r="C56" s="1" t="s">
        <v>75</v>
      </c>
      <c r="D56" s="1"/>
      <c r="E56" s="7">
        <v>0</v>
      </c>
      <c r="F56" s="7">
        <v>25</v>
      </c>
      <c r="G56" s="7">
        <v>20</v>
      </c>
      <c r="H56" s="7">
        <v>15</v>
      </c>
      <c r="I56" s="7">
        <v>10</v>
      </c>
      <c r="J56" s="2"/>
      <c r="K56" s="2"/>
      <c r="L56" s="26"/>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row>
    <row r="57" spans="3:66" ht="20" customHeight="1">
      <c r="C57" s="1"/>
      <c r="D57" s="1"/>
      <c r="E57" s="2"/>
      <c r="F57" s="2"/>
      <c r="G57" s="2"/>
      <c r="H57" s="2"/>
      <c r="I57" s="2"/>
      <c r="J57" s="2"/>
      <c r="K57" s="2"/>
      <c r="L57" s="26"/>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row>
    <row r="58" spans="3:66" ht="52" customHeight="1">
      <c r="C58" s="28" t="s">
        <v>90</v>
      </c>
      <c r="D58" s="6"/>
      <c r="E58" s="14">
        <f>CHOOSE($E$5,E59,E60,E61)</f>
        <v>185</v>
      </c>
      <c r="F58" s="14">
        <f>CHOOSE($E$5,F59,F60,F61)</f>
        <v>188.7</v>
      </c>
      <c r="G58" s="14">
        <f>CHOOSE($E$5,G59,G60,G61)</f>
        <v>192.47399999999999</v>
      </c>
      <c r="H58" s="14">
        <f>CHOOSE($E$5,H59,H60,H61)</f>
        <v>196.32347999999999</v>
      </c>
      <c r="I58" s="14">
        <f>CHOOSE($E$5,I59,I60,I61)</f>
        <v>200.24994960000001</v>
      </c>
      <c r="J58" s="2"/>
      <c r="K58" s="2" t="s">
        <v>71</v>
      </c>
      <c r="L58" s="26" t="s">
        <v>72</v>
      </c>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row>
    <row r="59" spans="3:66" ht="20" customHeight="1">
      <c r="C59" s="1" t="s">
        <v>73</v>
      </c>
      <c r="D59" s="1"/>
      <c r="E59" s="7">
        <v>185</v>
      </c>
      <c r="F59" s="7">
        <v>188.7</v>
      </c>
      <c r="G59" s="7">
        <v>192.47399999999999</v>
      </c>
      <c r="H59" s="7">
        <v>196.32347999999999</v>
      </c>
      <c r="I59" s="7">
        <v>200.24994960000001</v>
      </c>
      <c r="J59" s="2"/>
      <c r="K59" s="2"/>
      <c r="L59" s="26"/>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row>
    <row r="60" spans="3:66" ht="20" customHeight="1">
      <c r="C60" s="1" t="s">
        <v>74</v>
      </c>
      <c r="D60" s="1"/>
      <c r="E60" s="7">
        <v>190</v>
      </c>
      <c r="F60" s="7">
        <v>197.6</v>
      </c>
      <c r="G60" s="7">
        <v>205.50399999999999</v>
      </c>
      <c r="H60" s="7">
        <v>213.72416000000001</v>
      </c>
      <c r="I60" s="7">
        <v>222.2731264</v>
      </c>
      <c r="J60" s="2"/>
      <c r="K60" s="2"/>
      <c r="L60" s="26"/>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row>
    <row r="61" spans="3:66" ht="20" customHeight="1">
      <c r="C61" s="1" t="s">
        <v>75</v>
      </c>
      <c r="D61" s="1"/>
      <c r="E61" s="7">
        <v>190</v>
      </c>
      <c r="F61" s="7">
        <v>195.7</v>
      </c>
      <c r="G61" s="7">
        <v>201.571</v>
      </c>
      <c r="H61" s="7">
        <v>207.61813000000001</v>
      </c>
      <c r="I61" s="7">
        <v>213.84667390000001</v>
      </c>
      <c r="J61" s="2"/>
      <c r="K61" s="2"/>
      <c r="L61" s="26"/>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row>
    <row r="62" spans="3:66" ht="20" customHeight="1">
      <c r="C62" s="1"/>
      <c r="D62" s="1"/>
      <c r="E62" s="2"/>
      <c r="F62" s="2"/>
      <c r="G62" s="2"/>
      <c r="H62" s="2"/>
      <c r="I62" s="2"/>
      <c r="J62" s="2"/>
      <c r="K62" s="2"/>
      <c r="L62" s="26"/>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row>
    <row r="63" spans="3:66" ht="52" customHeight="1">
      <c r="C63" s="28" t="s">
        <v>91</v>
      </c>
      <c r="D63" s="6"/>
      <c r="E63" s="14">
        <f>CHOOSE($E$5,E64,E65,E66)</f>
        <v>0</v>
      </c>
      <c r="F63" s="14">
        <f>CHOOSE($E$5,F64,F65,F66)</f>
        <v>60</v>
      </c>
      <c r="G63" s="14">
        <f>CHOOSE($E$5,G64,G65,G66)</f>
        <v>60</v>
      </c>
      <c r="H63" s="14">
        <f>CHOOSE($E$5,H64,H65,H66)</f>
        <v>60</v>
      </c>
      <c r="I63" s="14">
        <f>CHOOSE($E$5,I64,I65,I66)</f>
        <v>60</v>
      </c>
      <c r="J63" s="2"/>
      <c r="K63" s="2" t="s">
        <v>71</v>
      </c>
      <c r="L63" s="26" t="s">
        <v>92</v>
      </c>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row>
    <row r="64" spans="3:66" ht="20" customHeight="1">
      <c r="C64" s="1" t="s">
        <v>73</v>
      </c>
      <c r="D64" s="1"/>
      <c r="E64" s="7">
        <v>0</v>
      </c>
      <c r="F64" s="7">
        <v>60</v>
      </c>
      <c r="G64" s="7">
        <v>60</v>
      </c>
      <c r="H64" s="7">
        <v>60</v>
      </c>
      <c r="I64" s="7">
        <v>60</v>
      </c>
      <c r="J64" s="2"/>
      <c r="K64" s="2"/>
      <c r="L64" s="26"/>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row>
    <row r="65" spans="3:66" ht="20" customHeight="1">
      <c r="C65" s="1" t="s">
        <v>74</v>
      </c>
      <c r="D65" s="1"/>
      <c r="E65" s="7">
        <v>0</v>
      </c>
      <c r="F65" s="7">
        <v>40</v>
      </c>
      <c r="G65" s="7">
        <v>40</v>
      </c>
      <c r="H65" s="7">
        <v>40</v>
      </c>
      <c r="I65" s="7">
        <v>40</v>
      </c>
      <c r="J65" s="2"/>
      <c r="K65" s="2"/>
      <c r="L65" s="26"/>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row>
    <row r="66" spans="3:66" ht="20" customHeight="1">
      <c r="C66" s="1" t="s">
        <v>75</v>
      </c>
      <c r="D66" s="1"/>
      <c r="E66" s="7">
        <v>0</v>
      </c>
      <c r="F66" s="7">
        <v>80</v>
      </c>
      <c r="G66" s="7">
        <v>80</v>
      </c>
      <c r="H66" s="7">
        <v>80</v>
      </c>
      <c r="I66" s="7">
        <v>80</v>
      </c>
      <c r="J66" s="2"/>
      <c r="K66" s="2"/>
      <c r="L66" s="26"/>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row>
    <row r="67" spans="3:66" ht="20" customHeight="1">
      <c r="C67" s="1"/>
      <c r="D67" s="1"/>
      <c r="E67" s="2"/>
      <c r="F67" s="2"/>
      <c r="G67" s="2"/>
      <c r="H67" s="2"/>
      <c r="I67" s="2"/>
      <c r="J67" s="2"/>
      <c r="K67" s="2"/>
      <c r="L67" s="26"/>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row>
    <row r="68" spans="3:66" ht="52" customHeight="1">
      <c r="C68" s="28" t="s">
        <v>93</v>
      </c>
      <c r="D68" s="6"/>
      <c r="E68" s="14">
        <f>CHOOSE($E$5,E69,E70,E71)</f>
        <v>0</v>
      </c>
      <c r="F68" s="14">
        <f>CHOOSE($E$5,F69,F70,F71)</f>
        <v>12</v>
      </c>
      <c r="G68" s="14">
        <f>CHOOSE($E$5,G69,G70,G71)</f>
        <v>12</v>
      </c>
      <c r="H68" s="14">
        <f>CHOOSE($E$5,H69,H70,H71)</f>
        <v>12</v>
      </c>
      <c r="I68" s="14">
        <f>CHOOSE($E$5,I69,I70,I71)</f>
        <v>12</v>
      </c>
      <c r="J68" s="2"/>
      <c r="K68" s="2" t="s">
        <v>71</v>
      </c>
      <c r="L68" s="26" t="s">
        <v>94</v>
      </c>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row>
    <row r="69" spans="3:66" ht="20" customHeight="1">
      <c r="C69" s="1" t="s">
        <v>73</v>
      </c>
      <c r="D69" s="1"/>
      <c r="E69" s="7">
        <v>0</v>
      </c>
      <c r="F69" s="7">
        <v>12</v>
      </c>
      <c r="G69" s="7">
        <v>12</v>
      </c>
      <c r="H69" s="7">
        <v>12</v>
      </c>
      <c r="I69" s="7">
        <v>12</v>
      </c>
      <c r="J69" s="2"/>
      <c r="K69" s="2"/>
      <c r="L69" s="26"/>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row>
    <row r="70" spans="3:66" ht="20" customHeight="1">
      <c r="C70" s="1" t="s">
        <v>74</v>
      </c>
      <c r="D70" s="1"/>
      <c r="E70" s="7">
        <v>0</v>
      </c>
      <c r="F70" s="7">
        <v>10</v>
      </c>
      <c r="G70" s="7">
        <v>10</v>
      </c>
      <c r="H70" s="7">
        <v>10</v>
      </c>
      <c r="I70" s="7">
        <v>10</v>
      </c>
      <c r="J70" s="2"/>
      <c r="K70" s="2"/>
      <c r="L70" s="26"/>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row>
    <row r="71" spans="3:66" ht="20" customHeight="1">
      <c r="C71" s="1" t="s">
        <v>75</v>
      </c>
      <c r="D71" s="1"/>
      <c r="E71" s="7">
        <v>0</v>
      </c>
      <c r="F71" s="7">
        <v>15</v>
      </c>
      <c r="G71" s="7">
        <v>15</v>
      </c>
      <c r="H71" s="7">
        <v>15</v>
      </c>
      <c r="I71" s="7">
        <v>15</v>
      </c>
      <c r="J71" s="2"/>
      <c r="K71" s="2"/>
      <c r="L71" s="26"/>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row>
    <row r="72" spans="3:66" ht="20" customHeight="1">
      <c r="C72" s="1"/>
      <c r="D72" s="1"/>
      <c r="E72" s="2"/>
      <c r="F72" s="2"/>
      <c r="G72" s="2"/>
      <c r="H72" s="2"/>
      <c r="I72" s="2"/>
      <c r="J72" s="2"/>
      <c r="K72" s="2"/>
      <c r="L72" s="26"/>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row>
    <row r="73" spans="3:66" ht="52" customHeight="1">
      <c r="C73" s="28" t="s">
        <v>95</v>
      </c>
      <c r="D73" s="6"/>
      <c r="E73" s="14">
        <f>CHOOSE($E$5,E74,E75,E76)</f>
        <v>30</v>
      </c>
      <c r="F73" s="14">
        <f>CHOOSE($E$5,F74,F75,F76)</f>
        <v>50</v>
      </c>
      <c r="G73" s="14">
        <f>CHOOSE($E$5,G74,G75,G76)</f>
        <v>50</v>
      </c>
      <c r="H73" s="14">
        <f>CHOOSE($E$5,H74,H75,H76)</f>
        <v>50</v>
      </c>
      <c r="I73" s="14">
        <f>CHOOSE($E$5,I74,I75,I76)</f>
        <v>50</v>
      </c>
      <c r="J73" s="2"/>
      <c r="K73" s="2" t="s">
        <v>71</v>
      </c>
      <c r="L73" s="26" t="s">
        <v>72</v>
      </c>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row>
    <row r="74" spans="3:66" ht="20" customHeight="1">
      <c r="C74" s="1" t="s">
        <v>73</v>
      </c>
      <c r="D74" s="1"/>
      <c r="E74" s="7">
        <v>30</v>
      </c>
      <c r="F74" s="7">
        <v>50</v>
      </c>
      <c r="G74" s="7">
        <v>50</v>
      </c>
      <c r="H74" s="7">
        <v>50</v>
      </c>
      <c r="I74" s="7">
        <v>50</v>
      </c>
      <c r="J74" s="2"/>
      <c r="K74" s="2"/>
      <c r="L74" s="26"/>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row>
    <row r="75" spans="3:66" ht="20" customHeight="1">
      <c r="C75" s="1" t="s">
        <v>74</v>
      </c>
      <c r="D75" s="1"/>
      <c r="E75" s="7">
        <v>10</v>
      </c>
      <c r="F75" s="7">
        <v>20</v>
      </c>
      <c r="G75" s="7">
        <v>20</v>
      </c>
      <c r="H75" s="7">
        <v>20</v>
      </c>
      <c r="I75" s="7">
        <v>20</v>
      </c>
      <c r="J75" s="2"/>
      <c r="K75" s="2"/>
      <c r="L75" s="26"/>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row>
    <row r="76" spans="3:66" ht="20" customHeight="1">
      <c r="C76" s="1" t="s">
        <v>75</v>
      </c>
      <c r="D76" s="1"/>
      <c r="E76" s="7">
        <v>50</v>
      </c>
      <c r="F76" s="7">
        <v>80</v>
      </c>
      <c r="G76" s="7">
        <v>80</v>
      </c>
      <c r="H76" s="7">
        <v>80</v>
      </c>
      <c r="I76" s="7">
        <v>80</v>
      </c>
      <c r="J76" s="2"/>
      <c r="K76" s="2"/>
      <c r="L76" s="26"/>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row>
    <row r="77" spans="3:66" ht="20" customHeight="1">
      <c r="C77" s="1"/>
      <c r="D77" s="1"/>
      <c r="E77" s="2"/>
      <c r="F77" s="2"/>
      <c r="G77" s="2"/>
      <c r="H77" s="2"/>
      <c r="I77" s="2"/>
      <c r="J77" s="2"/>
      <c r="K77" s="2"/>
      <c r="L77" s="26"/>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row>
    <row r="78" spans="3:66" ht="52" customHeight="1">
      <c r="C78" s="28" t="s">
        <v>96</v>
      </c>
      <c r="D78" s="6"/>
      <c r="E78" s="15">
        <f>CHOOSE($E$5,E79,E80,E81)</f>
        <v>0.3</v>
      </c>
      <c r="F78" s="15">
        <f>CHOOSE($E$5,F79,F80,F81)</f>
        <v>0.3</v>
      </c>
      <c r="G78" s="15">
        <f>CHOOSE($E$5,G79,G80,G81)</f>
        <v>0.3</v>
      </c>
      <c r="H78" s="15">
        <f>CHOOSE($E$5,H79,H80,H81)</f>
        <v>0.3</v>
      </c>
      <c r="I78" s="15">
        <f>CHOOSE($E$5,I79,I80,I81)</f>
        <v>0.3</v>
      </c>
      <c r="J78" s="2"/>
      <c r="K78" s="2" t="s">
        <v>71</v>
      </c>
      <c r="L78" s="26" t="s">
        <v>97</v>
      </c>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row>
    <row r="79" spans="3:66" ht="20" customHeight="1">
      <c r="C79" s="1" t="s">
        <v>73</v>
      </c>
      <c r="D79" s="1"/>
      <c r="E79" s="8">
        <v>0.3</v>
      </c>
      <c r="F79" s="8">
        <v>0.3</v>
      </c>
      <c r="G79" s="8">
        <v>0.3</v>
      </c>
      <c r="H79" s="8">
        <v>0.3</v>
      </c>
      <c r="I79" s="8">
        <v>0.3</v>
      </c>
      <c r="J79" s="2"/>
      <c r="K79" s="2"/>
      <c r="L79" s="26"/>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row>
    <row r="80" spans="3:66" ht="20" customHeight="1">
      <c r="C80" s="1" t="s">
        <v>74</v>
      </c>
      <c r="D80" s="1"/>
      <c r="E80" s="8">
        <v>0.5</v>
      </c>
      <c r="F80" s="8">
        <v>0.5</v>
      </c>
      <c r="G80" s="8">
        <v>0.5</v>
      </c>
      <c r="H80" s="8">
        <v>0.5</v>
      </c>
      <c r="I80" s="8">
        <v>0.5</v>
      </c>
      <c r="J80" s="2"/>
      <c r="K80" s="2"/>
      <c r="L80" s="26"/>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row>
    <row r="81" spans="3:66" ht="20" customHeight="1">
      <c r="C81" s="1" t="s">
        <v>75</v>
      </c>
      <c r="D81" s="1"/>
      <c r="E81" s="8">
        <v>0.2</v>
      </c>
      <c r="F81" s="8">
        <v>0.2</v>
      </c>
      <c r="G81" s="8">
        <v>0.2</v>
      </c>
      <c r="H81" s="8">
        <v>0.2</v>
      </c>
      <c r="I81" s="8">
        <v>0.2</v>
      </c>
      <c r="J81" s="2"/>
      <c r="K81" s="2"/>
      <c r="L81" s="26"/>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row>
    <row r="82" spans="3:66" ht="20" customHeight="1">
      <c r="C82" s="1"/>
      <c r="D82" s="1"/>
      <c r="E82" s="2"/>
      <c r="F82" s="2"/>
      <c r="G82" s="2"/>
      <c r="H82" s="2"/>
      <c r="I82" s="2"/>
      <c r="J82" s="2"/>
      <c r="K82" s="2"/>
      <c r="L82" s="26"/>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row>
    <row r="83" spans="3:66" ht="52" customHeight="1">
      <c r="C83" s="28" t="s">
        <v>98</v>
      </c>
      <c r="D83" s="6"/>
      <c r="E83" s="14">
        <f>CHOOSE($E$5,E84,E85,E86)</f>
        <v>5</v>
      </c>
      <c r="F83" s="14">
        <f>CHOOSE($E$5,F84,F85,F86)</f>
        <v>5</v>
      </c>
      <c r="G83" s="14">
        <f>CHOOSE($E$5,G84,G85,G86)</f>
        <v>5</v>
      </c>
      <c r="H83" s="14">
        <f>CHOOSE($E$5,H84,H85,H86)</f>
        <v>5</v>
      </c>
      <c r="I83" s="14">
        <f>CHOOSE($E$5,I84,I85,I86)</f>
        <v>5</v>
      </c>
      <c r="J83" s="2"/>
      <c r="K83" s="2" t="s">
        <v>71</v>
      </c>
      <c r="L83" s="26" t="s">
        <v>72</v>
      </c>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row>
    <row r="84" spans="3:66" ht="20" customHeight="1">
      <c r="C84" s="1" t="s">
        <v>73</v>
      </c>
      <c r="D84" s="1"/>
      <c r="E84" s="7">
        <v>5</v>
      </c>
      <c r="F84" s="7">
        <v>5</v>
      </c>
      <c r="G84" s="7">
        <v>5</v>
      </c>
      <c r="H84" s="7">
        <v>5</v>
      </c>
      <c r="I84" s="7">
        <v>5</v>
      </c>
      <c r="J84" s="2"/>
      <c r="K84" s="2"/>
      <c r="L84" s="26"/>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row>
    <row r="85" spans="3:66" ht="20" customHeight="1">
      <c r="C85" s="1" t="s">
        <v>74</v>
      </c>
      <c r="D85" s="1"/>
      <c r="E85" s="7">
        <v>4</v>
      </c>
      <c r="F85" s="7">
        <v>4</v>
      </c>
      <c r="G85" s="7">
        <v>4</v>
      </c>
      <c r="H85" s="7">
        <v>4</v>
      </c>
      <c r="I85" s="7">
        <v>4</v>
      </c>
      <c r="J85" s="2"/>
      <c r="K85" s="2"/>
      <c r="L85" s="26"/>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row>
    <row r="86" spans="3:66" ht="20" customHeight="1">
      <c r="C86" s="1" t="s">
        <v>75</v>
      </c>
      <c r="D86" s="1"/>
      <c r="E86" s="7">
        <v>5</v>
      </c>
      <c r="F86" s="7">
        <v>5</v>
      </c>
      <c r="G86" s="7">
        <v>5</v>
      </c>
      <c r="H86" s="7">
        <v>5</v>
      </c>
      <c r="I86" s="7">
        <v>5</v>
      </c>
      <c r="J86" s="2"/>
      <c r="K86" s="2"/>
      <c r="L86" s="26"/>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row>
    <row r="87" spans="3:66" ht="20" customHeight="1">
      <c r="C87" s="1"/>
      <c r="D87" s="1"/>
      <c r="E87" s="2"/>
      <c r="F87" s="2"/>
      <c r="G87" s="2"/>
      <c r="H87" s="2"/>
      <c r="I87" s="2"/>
      <c r="J87" s="2"/>
      <c r="K87" s="2"/>
      <c r="L87" s="26"/>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row>
    <row r="88" spans="3:66" ht="52" customHeight="1">
      <c r="C88" s="28" t="s">
        <v>99</v>
      </c>
      <c r="D88" s="6"/>
      <c r="E88" s="14">
        <f>CHOOSE($E$5,E89,E90,E91)</f>
        <v>5</v>
      </c>
      <c r="F88" s="14">
        <f>CHOOSE($E$5,F89,F90,F91)</f>
        <v>5</v>
      </c>
      <c r="G88" s="14">
        <f>CHOOSE($E$5,G89,G90,G91)</f>
        <v>5</v>
      </c>
      <c r="H88" s="14">
        <f>CHOOSE($E$5,H89,H90,H91)</f>
        <v>5</v>
      </c>
      <c r="I88" s="14">
        <f>CHOOSE($E$5,I89,I90,I91)</f>
        <v>5</v>
      </c>
      <c r="J88" s="2"/>
      <c r="K88" s="2" t="s">
        <v>71</v>
      </c>
      <c r="L88" s="26" t="s">
        <v>100</v>
      </c>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row>
    <row r="89" spans="3:66" ht="20" customHeight="1">
      <c r="C89" s="1" t="s">
        <v>73</v>
      </c>
      <c r="D89" s="1"/>
      <c r="E89" s="7">
        <v>5</v>
      </c>
      <c r="F89" s="7">
        <v>5</v>
      </c>
      <c r="G89" s="7">
        <v>5</v>
      </c>
      <c r="H89" s="7">
        <v>5</v>
      </c>
      <c r="I89" s="7">
        <v>5</v>
      </c>
      <c r="J89" s="2"/>
      <c r="K89" s="2"/>
      <c r="L89" s="26"/>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row>
    <row r="90" spans="3:66" ht="20" customHeight="1">
      <c r="C90" s="1" t="s">
        <v>74</v>
      </c>
      <c r="D90" s="1"/>
      <c r="E90" s="7">
        <v>4</v>
      </c>
      <c r="F90" s="7">
        <v>4</v>
      </c>
      <c r="G90" s="7">
        <v>4</v>
      </c>
      <c r="H90" s="7">
        <v>4</v>
      </c>
      <c r="I90" s="7">
        <v>4</v>
      </c>
      <c r="J90" s="2"/>
      <c r="K90" s="2"/>
      <c r="L90" s="26"/>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row>
    <row r="91" spans="3:66" ht="20" customHeight="1">
      <c r="C91" s="1" t="s">
        <v>75</v>
      </c>
      <c r="D91" s="1"/>
      <c r="E91" s="7">
        <v>5</v>
      </c>
      <c r="F91" s="7">
        <v>5</v>
      </c>
      <c r="G91" s="7">
        <v>5</v>
      </c>
      <c r="H91" s="7">
        <v>5</v>
      </c>
      <c r="I91" s="7">
        <v>5</v>
      </c>
      <c r="J91" s="2"/>
      <c r="K91" s="2"/>
      <c r="L91" s="26"/>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row>
    <row r="92" spans="3:66" ht="20" customHeight="1">
      <c r="C92" s="1"/>
      <c r="D92" s="1"/>
      <c r="E92" s="2"/>
      <c r="F92" s="2"/>
      <c r="G92" s="2"/>
      <c r="H92" s="2"/>
      <c r="I92" s="2"/>
      <c r="J92" s="2"/>
      <c r="K92" s="2"/>
      <c r="L92" s="26"/>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row>
    <row r="93" spans="3:66" ht="52" customHeight="1">
      <c r="C93" s="28" t="s">
        <v>101</v>
      </c>
      <c r="D93" s="6"/>
      <c r="E93" s="15">
        <f>CHOOSE($E$5,E94,E95,E96)</f>
        <v>0.05</v>
      </c>
      <c r="F93" s="15">
        <f>CHOOSE($E$5,F94,F95,F96)</f>
        <v>0.05</v>
      </c>
      <c r="G93" s="15">
        <f>CHOOSE($E$5,G94,G95,G96)</f>
        <v>0.05</v>
      </c>
      <c r="H93" s="15">
        <f>CHOOSE($E$5,H94,H95,H96)</f>
        <v>0.05</v>
      </c>
      <c r="I93" s="15">
        <f>CHOOSE($E$5,I94,I95,I96)</f>
        <v>0.05</v>
      </c>
      <c r="J93" s="2"/>
      <c r="K93" s="2" t="s">
        <v>71</v>
      </c>
      <c r="L93" s="26" t="s">
        <v>72</v>
      </c>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row>
    <row r="94" spans="3:66" ht="20" customHeight="1">
      <c r="C94" s="1" t="s">
        <v>73</v>
      </c>
      <c r="D94" s="1"/>
      <c r="E94" s="8">
        <v>0.05</v>
      </c>
      <c r="F94" s="8">
        <v>0.05</v>
      </c>
      <c r="G94" s="8">
        <v>0.05</v>
      </c>
      <c r="H94" s="8">
        <v>0.05</v>
      </c>
      <c r="I94" s="8">
        <v>0.05</v>
      </c>
      <c r="J94" s="2"/>
      <c r="K94" s="2"/>
      <c r="L94" s="26"/>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row>
    <row r="95" spans="3:66" ht="20" customHeight="1">
      <c r="C95" s="1" t="s">
        <v>74</v>
      </c>
      <c r="D95" s="1"/>
      <c r="E95" s="8">
        <v>7.0000000000000007E-2</v>
      </c>
      <c r="F95" s="8">
        <v>7.0000000000000007E-2</v>
      </c>
      <c r="G95" s="8">
        <v>7.0000000000000007E-2</v>
      </c>
      <c r="H95" s="8">
        <v>7.0000000000000007E-2</v>
      </c>
      <c r="I95" s="8">
        <v>7.0000000000000007E-2</v>
      </c>
      <c r="J95" s="2"/>
      <c r="K95" s="2"/>
      <c r="L95" s="26"/>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row>
    <row r="96" spans="3:66" ht="20" customHeight="1">
      <c r="C96" s="1" t="s">
        <v>75</v>
      </c>
      <c r="D96" s="1"/>
      <c r="E96" s="8">
        <v>0.03</v>
      </c>
      <c r="F96" s="8">
        <v>0.03</v>
      </c>
      <c r="G96" s="8">
        <v>0.03</v>
      </c>
      <c r="H96" s="8">
        <v>0.03</v>
      </c>
      <c r="I96" s="8">
        <v>0.03</v>
      </c>
      <c r="J96" s="2"/>
      <c r="K96" s="2"/>
      <c r="L96" s="26"/>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row>
    <row r="97" spans="3:66" ht="20" customHeight="1">
      <c r="C97" s="1"/>
      <c r="D97" s="1"/>
      <c r="E97" s="2"/>
      <c r="F97" s="2"/>
      <c r="G97" s="2"/>
      <c r="H97" s="2"/>
      <c r="I97" s="2"/>
      <c r="J97" s="2"/>
      <c r="K97" s="2"/>
      <c r="L97" s="26"/>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row>
    <row r="98" spans="3:66" ht="52" customHeight="1">
      <c r="C98" s="28" t="s">
        <v>102</v>
      </c>
      <c r="D98" s="6"/>
      <c r="E98" s="15">
        <f>CHOOSE($E$5,E99,E100,E101)</f>
        <v>0.4</v>
      </c>
      <c r="F98" s="15">
        <f>CHOOSE($E$5,F99,F100,F101)</f>
        <v>0.4</v>
      </c>
      <c r="G98" s="15">
        <f>CHOOSE($E$5,G99,G100,G101)</f>
        <v>0.4</v>
      </c>
      <c r="H98" s="15">
        <f>CHOOSE($E$5,H99,H100,H101)</f>
        <v>0.4</v>
      </c>
      <c r="I98" s="15">
        <f>CHOOSE($E$5,I99,I100,I101)</f>
        <v>0.4</v>
      </c>
      <c r="J98" s="2"/>
      <c r="K98" s="2" t="s">
        <v>71</v>
      </c>
      <c r="L98" s="26" t="s">
        <v>72</v>
      </c>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row>
    <row r="99" spans="3:66" ht="20" customHeight="1">
      <c r="C99" s="1" t="s">
        <v>73</v>
      </c>
      <c r="D99" s="1"/>
      <c r="E99" s="8">
        <v>0.4</v>
      </c>
      <c r="F99" s="8">
        <v>0.4</v>
      </c>
      <c r="G99" s="8">
        <v>0.4</v>
      </c>
      <c r="H99" s="8">
        <v>0.4</v>
      </c>
      <c r="I99" s="8">
        <v>0.4</v>
      </c>
      <c r="J99" s="2"/>
      <c r="K99" s="2"/>
      <c r="L99" s="26"/>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row>
    <row r="100" spans="3:66" ht="20" customHeight="1">
      <c r="C100" s="1" t="s">
        <v>74</v>
      </c>
      <c r="D100" s="1"/>
      <c r="E100" s="8">
        <v>0.6</v>
      </c>
      <c r="F100" s="8">
        <v>0.6</v>
      </c>
      <c r="G100" s="8">
        <v>0.6</v>
      </c>
      <c r="H100" s="8">
        <v>0.6</v>
      </c>
      <c r="I100" s="8">
        <v>0.6</v>
      </c>
      <c r="J100" s="2"/>
      <c r="K100" s="2"/>
      <c r="L100" s="26"/>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row>
    <row r="101" spans="3:66" ht="20" customHeight="1">
      <c r="C101" s="1" t="s">
        <v>75</v>
      </c>
      <c r="D101" s="1"/>
      <c r="E101" s="8">
        <v>0.25</v>
      </c>
      <c r="F101" s="8">
        <v>0.25</v>
      </c>
      <c r="G101" s="8">
        <v>0.25</v>
      </c>
      <c r="H101" s="8">
        <v>0.25</v>
      </c>
      <c r="I101" s="8">
        <v>0.25</v>
      </c>
      <c r="J101" s="2"/>
      <c r="K101" s="2"/>
      <c r="L101" s="26"/>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row>
    <row r="102" spans="3:66" ht="20" customHeight="1">
      <c r="C102" s="1"/>
      <c r="D102" s="1"/>
      <c r="E102" s="2"/>
      <c r="F102" s="2"/>
      <c r="G102" s="2"/>
      <c r="H102" s="2"/>
      <c r="I102" s="2"/>
      <c r="J102" s="2"/>
      <c r="K102" s="2"/>
      <c r="L102" s="26"/>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row>
    <row r="103" spans="3:66" ht="52" customHeight="1">
      <c r="C103" s="28" t="s">
        <v>103</v>
      </c>
      <c r="D103" s="6"/>
      <c r="E103" s="15">
        <f>CHOOSE($E$5,E104,E105,E106)</f>
        <v>0.3</v>
      </c>
      <c r="F103" s="15">
        <f>CHOOSE($E$5,F104,F105,F106)</f>
        <v>0.3</v>
      </c>
      <c r="G103" s="15">
        <f>CHOOSE($E$5,G104,G105,G106)</f>
        <v>0.3</v>
      </c>
      <c r="H103" s="15">
        <f>CHOOSE($E$5,H104,H105,H106)</f>
        <v>0.3</v>
      </c>
      <c r="I103" s="15">
        <f>CHOOSE($E$5,I104,I105,I106)</f>
        <v>0.3</v>
      </c>
      <c r="J103" s="2"/>
      <c r="K103" s="2" t="s">
        <v>71</v>
      </c>
      <c r="L103" s="26" t="s">
        <v>72</v>
      </c>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row>
    <row r="104" spans="3:66" ht="20" customHeight="1">
      <c r="C104" s="1" t="s">
        <v>73</v>
      </c>
      <c r="D104" s="1"/>
      <c r="E104" s="8">
        <v>0.3</v>
      </c>
      <c r="F104" s="8">
        <v>0.3</v>
      </c>
      <c r="G104" s="8">
        <v>0.3</v>
      </c>
      <c r="H104" s="8">
        <v>0.3</v>
      </c>
      <c r="I104" s="8">
        <v>0.3</v>
      </c>
      <c r="J104" s="2"/>
      <c r="K104" s="2"/>
      <c r="L104" s="26"/>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row>
    <row r="105" spans="3:66" ht="20" customHeight="1">
      <c r="C105" s="1" t="s">
        <v>74</v>
      </c>
      <c r="D105" s="1"/>
      <c r="E105" s="8">
        <v>0.25</v>
      </c>
      <c r="F105" s="8">
        <v>0.25</v>
      </c>
      <c r="G105" s="8">
        <v>0.25</v>
      </c>
      <c r="H105" s="8">
        <v>0.25</v>
      </c>
      <c r="I105" s="8">
        <v>0.25</v>
      </c>
      <c r="J105" s="2"/>
      <c r="K105" s="2"/>
      <c r="L105" s="26"/>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row>
    <row r="106" spans="3:66" ht="20" customHeight="1">
      <c r="C106" s="1" t="s">
        <v>75</v>
      </c>
      <c r="D106" s="1"/>
      <c r="E106" s="8">
        <v>0.25</v>
      </c>
      <c r="F106" s="8">
        <v>0.25</v>
      </c>
      <c r="G106" s="8">
        <v>0.25</v>
      </c>
      <c r="H106" s="8">
        <v>0.25</v>
      </c>
      <c r="I106" s="8">
        <v>0.25</v>
      </c>
      <c r="J106" s="2"/>
      <c r="K106" s="2"/>
      <c r="L106" s="26"/>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row>
    <row r="107" spans="3:66" ht="20" customHeight="1">
      <c r="C107" s="1"/>
      <c r="D107" s="1"/>
      <c r="E107" s="2"/>
      <c r="F107" s="2"/>
      <c r="G107" s="2"/>
      <c r="H107" s="2"/>
      <c r="I107" s="2"/>
      <c r="J107" s="2"/>
      <c r="K107" s="2"/>
      <c r="L107" s="26"/>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row>
    <row r="108" spans="3:66" ht="52" customHeight="1">
      <c r="C108" s="28" t="s">
        <v>104</v>
      </c>
      <c r="D108" s="6"/>
      <c r="E108" s="15">
        <f>CHOOSE($E$5,E109,E110,E111)</f>
        <v>0.2</v>
      </c>
      <c r="F108" s="15">
        <f>CHOOSE($E$5,F109,F110,F111)</f>
        <v>0.2</v>
      </c>
      <c r="G108" s="15">
        <f>CHOOSE($E$5,G109,G110,G111)</f>
        <v>0.2</v>
      </c>
      <c r="H108" s="15">
        <f>CHOOSE($E$5,H109,H110,H111)</f>
        <v>0.2</v>
      </c>
      <c r="I108" s="15">
        <f>CHOOSE($E$5,I109,I110,I111)</f>
        <v>0.2</v>
      </c>
      <c r="J108" s="2"/>
      <c r="K108" s="2" t="s">
        <v>71</v>
      </c>
      <c r="L108" s="26" t="s">
        <v>72</v>
      </c>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row>
    <row r="109" spans="3:66" ht="20" customHeight="1">
      <c r="C109" s="1" t="s">
        <v>73</v>
      </c>
      <c r="D109" s="1"/>
      <c r="E109" s="8">
        <v>0.2</v>
      </c>
      <c r="F109" s="8">
        <v>0.2</v>
      </c>
      <c r="G109" s="8">
        <v>0.2</v>
      </c>
      <c r="H109" s="8">
        <v>0.2</v>
      </c>
      <c r="I109" s="8">
        <v>0.2</v>
      </c>
      <c r="J109" s="2"/>
      <c r="K109" s="2"/>
      <c r="L109" s="26"/>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row>
    <row r="110" spans="3:66" ht="20" customHeight="1">
      <c r="C110" s="1" t="s">
        <v>74</v>
      </c>
      <c r="D110" s="1"/>
      <c r="E110" s="8">
        <v>0.15</v>
      </c>
      <c r="F110" s="8">
        <v>0.15</v>
      </c>
      <c r="G110" s="8">
        <v>0.15</v>
      </c>
      <c r="H110" s="8">
        <v>0.15</v>
      </c>
      <c r="I110" s="8">
        <v>0.15</v>
      </c>
      <c r="J110" s="2"/>
      <c r="K110" s="2"/>
      <c r="L110" s="26"/>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row>
    <row r="111" spans="3:66" ht="20" customHeight="1">
      <c r="C111" s="1" t="s">
        <v>75</v>
      </c>
      <c r="D111" s="1"/>
      <c r="E111" s="8">
        <v>0.25</v>
      </c>
      <c r="F111" s="8">
        <v>0.25</v>
      </c>
      <c r="G111" s="8">
        <v>0.25</v>
      </c>
      <c r="H111" s="8">
        <v>0.25</v>
      </c>
      <c r="I111" s="8">
        <v>0.25</v>
      </c>
      <c r="J111" s="2"/>
      <c r="K111" s="2"/>
      <c r="L111" s="26"/>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row>
    <row r="112" spans="3:66" ht="20" customHeight="1">
      <c r="C112" s="1"/>
      <c r="D112" s="1"/>
      <c r="E112" s="2"/>
      <c r="F112" s="2"/>
      <c r="G112" s="2"/>
      <c r="H112" s="2"/>
      <c r="I112" s="2"/>
      <c r="J112" s="2"/>
      <c r="K112" s="2"/>
      <c r="L112" s="26"/>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row>
    <row r="113" spans="3:66" ht="52" customHeight="1">
      <c r="C113" s="28" t="s">
        <v>105</v>
      </c>
      <c r="D113" s="6"/>
      <c r="E113" s="15">
        <f>CHOOSE($E$5,E114,E115,E116)</f>
        <v>0.1</v>
      </c>
      <c r="F113" s="15">
        <f>CHOOSE($E$5,F114,F115,F116)</f>
        <v>0.1</v>
      </c>
      <c r="G113" s="15">
        <f>CHOOSE($E$5,G114,G115,G116)</f>
        <v>0.1</v>
      </c>
      <c r="H113" s="15">
        <f>CHOOSE($E$5,H114,H115,H116)</f>
        <v>0.1</v>
      </c>
      <c r="I113" s="15">
        <f>CHOOSE($E$5,I114,I115,I116)</f>
        <v>0.1</v>
      </c>
      <c r="J113" s="2"/>
      <c r="K113" s="2" t="s">
        <v>71</v>
      </c>
      <c r="L113" s="26" t="s">
        <v>72</v>
      </c>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row>
    <row r="114" spans="3:66" ht="20" customHeight="1">
      <c r="C114" s="1" t="s">
        <v>73</v>
      </c>
      <c r="D114" s="1"/>
      <c r="E114" s="8">
        <v>0.1</v>
      </c>
      <c r="F114" s="8">
        <v>0.1</v>
      </c>
      <c r="G114" s="8">
        <v>0.1</v>
      </c>
      <c r="H114" s="8">
        <v>0.1</v>
      </c>
      <c r="I114" s="8">
        <v>0.1</v>
      </c>
      <c r="J114" s="2"/>
      <c r="K114" s="2"/>
      <c r="L114" s="26"/>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row>
    <row r="115" spans="3:66" ht="20" customHeight="1">
      <c r="C115" s="1" t="s">
        <v>74</v>
      </c>
      <c r="D115" s="1"/>
      <c r="E115" s="8">
        <v>0</v>
      </c>
      <c r="F115" s="8">
        <v>0</v>
      </c>
      <c r="G115" s="8">
        <v>0</v>
      </c>
      <c r="H115" s="8">
        <v>0</v>
      </c>
      <c r="I115" s="8">
        <v>0</v>
      </c>
      <c r="J115" s="2"/>
      <c r="K115" s="2"/>
      <c r="L115" s="26"/>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row>
    <row r="116" spans="3:66" ht="20" customHeight="1">
      <c r="C116" s="1" t="s">
        <v>75</v>
      </c>
      <c r="D116" s="1"/>
      <c r="E116" s="8">
        <v>0.25</v>
      </c>
      <c r="F116" s="8">
        <v>0.25</v>
      </c>
      <c r="G116" s="8">
        <v>0.25</v>
      </c>
      <c r="H116" s="8">
        <v>0.25</v>
      </c>
      <c r="I116" s="8">
        <v>0.25</v>
      </c>
      <c r="J116" s="2"/>
      <c r="K116" s="2"/>
      <c r="L116" s="26"/>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row>
    <row r="117" spans="3:66" ht="20" customHeight="1">
      <c r="C117" s="1"/>
      <c r="D117" s="1"/>
      <c r="E117" s="2"/>
      <c r="F117" s="2"/>
      <c r="G117" s="2"/>
      <c r="H117" s="2"/>
      <c r="I117" s="2"/>
      <c r="J117" s="2"/>
      <c r="K117" s="2"/>
      <c r="L117" s="26"/>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row>
    <row r="118" spans="3:66" ht="52" customHeight="1">
      <c r="C118" s="28" t="s">
        <v>106</v>
      </c>
      <c r="D118" s="6"/>
      <c r="E118" s="15">
        <f>CHOOSE($E$5,E119,E120,E121)</f>
        <v>0.4</v>
      </c>
      <c r="F118" s="15">
        <f>CHOOSE($E$5,F119,F120,F121)</f>
        <v>0.4</v>
      </c>
      <c r="G118" s="15">
        <f>CHOOSE($E$5,G119,G120,G121)</f>
        <v>0.4</v>
      </c>
      <c r="H118" s="15">
        <f>CHOOSE($E$5,H119,H120,H121)</f>
        <v>0.4</v>
      </c>
      <c r="I118" s="15">
        <f>CHOOSE($E$5,I119,I120,I121)</f>
        <v>0.4</v>
      </c>
      <c r="J118" s="2"/>
      <c r="K118" s="2" t="s">
        <v>71</v>
      </c>
      <c r="L118" s="26" t="s">
        <v>72</v>
      </c>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row>
    <row r="119" spans="3:66" ht="20" customHeight="1">
      <c r="C119" s="1" t="s">
        <v>73</v>
      </c>
      <c r="D119" s="1"/>
      <c r="E119" s="8">
        <v>0.4</v>
      </c>
      <c r="F119" s="8">
        <v>0.4</v>
      </c>
      <c r="G119" s="8">
        <v>0.4</v>
      </c>
      <c r="H119" s="8">
        <v>0.4</v>
      </c>
      <c r="I119" s="8">
        <v>0.4</v>
      </c>
      <c r="J119" s="2"/>
      <c r="K119" s="2"/>
      <c r="L119" s="26"/>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row>
    <row r="120" spans="3:66" ht="20" customHeight="1">
      <c r="C120" s="1" t="s">
        <v>74</v>
      </c>
      <c r="D120" s="1"/>
      <c r="E120" s="8">
        <v>0.6</v>
      </c>
      <c r="F120" s="8">
        <v>0.6</v>
      </c>
      <c r="G120" s="8">
        <v>0.6</v>
      </c>
      <c r="H120" s="8">
        <v>0.6</v>
      </c>
      <c r="I120" s="8">
        <v>0.6</v>
      </c>
      <c r="J120" s="2"/>
      <c r="K120" s="2"/>
      <c r="L120" s="26"/>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row>
    <row r="121" spans="3:66" ht="20" customHeight="1">
      <c r="C121" s="1" t="s">
        <v>75</v>
      </c>
      <c r="D121" s="1"/>
      <c r="E121" s="8">
        <v>0.2</v>
      </c>
      <c r="F121" s="8">
        <v>0.2</v>
      </c>
      <c r="G121" s="8">
        <v>0.2</v>
      </c>
      <c r="H121" s="8">
        <v>0.2</v>
      </c>
      <c r="I121" s="8">
        <v>0.2</v>
      </c>
      <c r="J121" s="2"/>
      <c r="K121" s="2"/>
      <c r="L121" s="26"/>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row>
    <row r="122" spans="3:66" ht="20" customHeight="1">
      <c r="C122" s="1"/>
      <c r="D122" s="1"/>
      <c r="E122" s="2"/>
      <c r="F122" s="2"/>
      <c r="G122" s="2"/>
      <c r="H122" s="2"/>
      <c r="I122" s="2"/>
      <c r="J122" s="2"/>
      <c r="K122" s="2"/>
      <c r="L122" s="26"/>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row>
    <row r="123" spans="3:66" ht="52" customHeight="1">
      <c r="C123" s="28" t="s">
        <v>107</v>
      </c>
      <c r="D123" s="6"/>
      <c r="E123" s="15">
        <f>CHOOSE($E$5,E124,E125,E126)</f>
        <v>0.2</v>
      </c>
      <c r="F123" s="15">
        <f>CHOOSE($E$5,F124,F125,F126)</f>
        <v>0.2</v>
      </c>
      <c r="G123" s="15">
        <f>CHOOSE($E$5,G124,G125,G126)</f>
        <v>0.2</v>
      </c>
      <c r="H123" s="15">
        <f>CHOOSE($E$5,H124,H125,H126)</f>
        <v>0.2</v>
      </c>
      <c r="I123" s="15">
        <f>CHOOSE($E$5,I124,I125,I126)</f>
        <v>0.2</v>
      </c>
      <c r="J123" s="2"/>
      <c r="K123" s="2" t="s">
        <v>71</v>
      </c>
      <c r="L123" s="26" t="s">
        <v>72</v>
      </c>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row>
    <row r="124" spans="3:66" ht="20" customHeight="1">
      <c r="C124" s="1" t="s">
        <v>73</v>
      </c>
      <c r="D124" s="1"/>
      <c r="E124" s="8">
        <v>0.2</v>
      </c>
      <c r="F124" s="8">
        <v>0.2</v>
      </c>
      <c r="G124" s="8">
        <v>0.2</v>
      </c>
      <c r="H124" s="8">
        <v>0.2</v>
      </c>
      <c r="I124" s="8">
        <v>0.2</v>
      </c>
      <c r="J124" s="2"/>
      <c r="K124" s="2"/>
      <c r="L124" s="26"/>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row>
    <row r="125" spans="3:66" ht="20" customHeight="1">
      <c r="C125" s="1" t="s">
        <v>74</v>
      </c>
      <c r="D125" s="1"/>
      <c r="E125" s="8">
        <v>0.2</v>
      </c>
      <c r="F125" s="8">
        <v>0.2</v>
      </c>
      <c r="G125" s="8">
        <v>0.2</v>
      </c>
      <c r="H125" s="8">
        <v>0.2</v>
      </c>
      <c r="I125" s="8">
        <v>0.2</v>
      </c>
      <c r="J125" s="2"/>
      <c r="K125" s="2"/>
      <c r="L125" s="26"/>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row>
    <row r="126" spans="3:66" ht="20" customHeight="1">
      <c r="C126" s="1" t="s">
        <v>75</v>
      </c>
      <c r="D126" s="1"/>
      <c r="E126" s="8">
        <v>0.2</v>
      </c>
      <c r="F126" s="8">
        <v>0.2</v>
      </c>
      <c r="G126" s="8">
        <v>0.2</v>
      </c>
      <c r="H126" s="8">
        <v>0.2</v>
      </c>
      <c r="I126" s="8">
        <v>0.2</v>
      </c>
      <c r="J126" s="2"/>
      <c r="K126" s="2"/>
      <c r="L126" s="26"/>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row>
    <row r="127" spans="3:66" ht="20" customHeight="1">
      <c r="C127" s="1"/>
      <c r="D127" s="1"/>
      <c r="E127" s="2"/>
      <c r="F127" s="2"/>
      <c r="G127" s="2"/>
      <c r="H127" s="2"/>
      <c r="I127" s="2"/>
      <c r="J127" s="2"/>
      <c r="K127" s="2"/>
      <c r="L127" s="26"/>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row>
    <row r="128" spans="3:66" ht="52" customHeight="1">
      <c r="C128" s="28" t="s">
        <v>108</v>
      </c>
      <c r="D128" s="6"/>
      <c r="E128" s="15">
        <f>CHOOSE($E$5,E129,E130,E131)</f>
        <v>0.15</v>
      </c>
      <c r="F128" s="15">
        <f>CHOOSE($E$5,F129,F130,F131)</f>
        <v>0.15</v>
      </c>
      <c r="G128" s="15">
        <f>CHOOSE($E$5,G129,G130,G131)</f>
        <v>0.15</v>
      </c>
      <c r="H128" s="15">
        <f>CHOOSE($E$5,H129,H130,H131)</f>
        <v>0.15</v>
      </c>
      <c r="I128" s="15">
        <f>CHOOSE($E$5,I129,I130,I131)</f>
        <v>0.15</v>
      </c>
      <c r="J128" s="2"/>
      <c r="K128" s="2" t="s">
        <v>71</v>
      </c>
      <c r="L128" s="26" t="s">
        <v>72</v>
      </c>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row>
    <row r="129" spans="3:66" ht="20" customHeight="1">
      <c r="C129" s="1" t="s">
        <v>73</v>
      </c>
      <c r="D129" s="1"/>
      <c r="E129" s="8">
        <v>0.15</v>
      </c>
      <c r="F129" s="8">
        <v>0.15</v>
      </c>
      <c r="G129" s="8">
        <v>0.15</v>
      </c>
      <c r="H129" s="8">
        <v>0.15</v>
      </c>
      <c r="I129" s="8">
        <v>0.15</v>
      </c>
      <c r="J129" s="2"/>
      <c r="K129" s="2"/>
      <c r="L129" s="26"/>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row>
    <row r="130" spans="3:66" ht="20" customHeight="1">
      <c r="C130" s="1" t="s">
        <v>74</v>
      </c>
      <c r="D130" s="1"/>
      <c r="E130" s="8">
        <v>0.1</v>
      </c>
      <c r="F130" s="8">
        <v>0.1</v>
      </c>
      <c r="G130" s="8">
        <v>0.1</v>
      </c>
      <c r="H130" s="8">
        <v>0.1</v>
      </c>
      <c r="I130" s="8">
        <v>0.1</v>
      </c>
      <c r="J130" s="2"/>
      <c r="K130" s="2"/>
      <c r="L130" s="26"/>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row>
    <row r="131" spans="3:66" ht="20" customHeight="1">
      <c r="C131" s="1" t="s">
        <v>75</v>
      </c>
      <c r="D131" s="1"/>
      <c r="E131" s="8">
        <v>0.2</v>
      </c>
      <c r="F131" s="8">
        <v>0.2</v>
      </c>
      <c r="G131" s="8">
        <v>0.2</v>
      </c>
      <c r="H131" s="8">
        <v>0.2</v>
      </c>
      <c r="I131" s="8">
        <v>0.2</v>
      </c>
      <c r="J131" s="2"/>
      <c r="K131" s="2"/>
      <c r="L131" s="26"/>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row>
    <row r="132" spans="3:66" ht="20" customHeight="1">
      <c r="C132" s="1"/>
      <c r="D132" s="1"/>
      <c r="E132" s="2"/>
      <c r="F132" s="2"/>
      <c r="G132" s="2"/>
      <c r="H132" s="2"/>
      <c r="I132" s="2"/>
      <c r="J132" s="2"/>
      <c r="K132" s="2"/>
      <c r="L132" s="26"/>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row>
    <row r="133" spans="3:66" ht="52" customHeight="1">
      <c r="C133" s="28" t="s">
        <v>109</v>
      </c>
      <c r="D133" s="6"/>
      <c r="E133" s="15">
        <f>CHOOSE($E$5,E134,E135,E136)</f>
        <v>0.15</v>
      </c>
      <c r="F133" s="15">
        <f>CHOOSE($E$5,F134,F135,F136)</f>
        <v>0.15</v>
      </c>
      <c r="G133" s="15">
        <f>CHOOSE($E$5,G134,G135,G136)</f>
        <v>0.15</v>
      </c>
      <c r="H133" s="15">
        <f>CHOOSE($E$5,H134,H135,H136)</f>
        <v>0.15</v>
      </c>
      <c r="I133" s="15">
        <f>CHOOSE($E$5,I134,I135,I136)</f>
        <v>0.15</v>
      </c>
      <c r="J133" s="2"/>
      <c r="K133" s="2" t="s">
        <v>71</v>
      </c>
      <c r="L133" s="26" t="s">
        <v>72</v>
      </c>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row>
    <row r="134" spans="3:66" ht="20" customHeight="1">
      <c r="C134" s="1" t="s">
        <v>73</v>
      </c>
      <c r="D134" s="1"/>
      <c r="E134" s="8">
        <v>0.15</v>
      </c>
      <c r="F134" s="8">
        <v>0.15</v>
      </c>
      <c r="G134" s="8">
        <v>0.15</v>
      </c>
      <c r="H134" s="8">
        <v>0.15</v>
      </c>
      <c r="I134" s="8">
        <v>0.15</v>
      </c>
      <c r="J134" s="2"/>
      <c r="K134" s="2"/>
      <c r="L134" s="26"/>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row>
    <row r="135" spans="3:66" ht="20" customHeight="1">
      <c r="C135" s="1" t="s">
        <v>74</v>
      </c>
      <c r="D135" s="1"/>
      <c r="E135" s="8">
        <v>0.1</v>
      </c>
      <c r="F135" s="8">
        <v>0.1</v>
      </c>
      <c r="G135" s="8">
        <v>0.1</v>
      </c>
      <c r="H135" s="8">
        <v>0.1</v>
      </c>
      <c r="I135" s="8">
        <v>0.1</v>
      </c>
      <c r="J135" s="2"/>
      <c r="K135" s="2"/>
      <c r="L135" s="26"/>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row>
    <row r="136" spans="3:66" ht="20" customHeight="1">
      <c r="C136" s="1" t="s">
        <v>75</v>
      </c>
      <c r="D136" s="1"/>
      <c r="E136" s="8">
        <v>0.2</v>
      </c>
      <c r="F136" s="8">
        <v>0.2</v>
      </c>
      <c r="G136" s="8">
        <v>0.2</v>
      </c>
      <c r="H136" s="8">
        <v>0.2</v>
      </c>
      <c r="I136" s="8">
        <v>0.2</v>
      </c>
      <c r="J136" s="2"/>
      <c r="K136" s="2"/>
      <c r="L136" s="26"/>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row>
    <row r="137" spans="3:66" ht="20" customHeight="1">
      <c r="C137" s="1"/>
      <c r="D137" s="1"/>
      <c r="E137" s="2"/>
      <c r="F137" s="2"/>
      <c r="G137" s="2"/>
      <c r="H137" s="2"/>
      <c r="I137" s="2"/>
      <c r="J137" s="2"/>
      <c r="K137" s="2"/>
      <c r="L137" s="26"/>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row>
    <row r="138" spans="3:66" ht="52" customHeight="1">
      <c r="C138" s="28" t="s">
        <v>110</v>
      </c>
      <c r="D138" s="6"/>
      <c r="E138" s="15">
        <f>CHOOSE($E$5,E139,E140,E141)</f>
        <v>0.1</v>
      </c>
      <c r="F138" s="15">
        <f>CHOOSE($E$5,F139,F140,F141)</f>
        <v>0.1</v>
      </c>
      <c r="G138" s="15">
        <f>CHOOSE($E$5,G139,G140,G141)</f>
        <v>0.1</v>
      </c>
      <c r="H138" s="15">
        <f>CHOOSE($E$5,H139,H140,H141)</f>
        <v>0.1</v>
      </c>
      <c r="I138" s="15">
        <f>CHOOSE($E$5,I139,I140,I141)</f>
        <v>0.1</v>
      </c>
      <c r="J138" s="2"/>
      <c r="K138" s="2" t="s">
        <v>71</v>
      </c>
      <c r="L138" s="26" t="s">
        <v>72</v>
      </c>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row>
    <row r="139" spans="3:66" ht="20" customHeight="1">
      <c r="C139" s="1" t="s">
        <v>73</v>
      </c>
      <c r="D139" s="1"/>
      <c r="E139" s="8">
        <v>0.1</v>
      </c>
      <c r="F139" s="8">
        <v>0.1</v>
      </c>
      <c r="G139" s="8">
        <v>0.1</v>
      </c>
      <c r="H139" s="8">
        <v>0.1</v>
      </c>
      <c r="I139" s="8">
        <v>0.1</v>
      </c>
      <c r="J139" s="2"/>
      <c r="K139" s="2"/>
      <c r="L139" s="26"/>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row>
    <row r="140" spans="3:66" ht="20" customHeight="1">
      <c r="C140" s="1" t="s">
        <v>74</v>
      </c>
      <c r="D140" s="1"/>
      <c r="E140" s="8">
        <v>0</v>
      </c>
      <c r="F140" s="8">
        <v>0</v>
      </c>
      <c r="G140" s="8">
        <v>0</v>
      </c>
      <c r="H140" s="8">
        <v>0</v>
      </c>
      <c r="I140" s="8">
        <v>0</v>
      </c>
      <c r="J140" s="2"/>
      <c r="K140" s="2"/>
      <c r="L140" s="26"/>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row>
    <row r="141" spans="3:66" ht="20" customHeight="1">
      <c r="C141" s="1" t="s">
        <v>75</v>
      </c>
      <c r="D141" s="1"/>
      <c r="E141" s="8">
        <v>0.2</v>
      </c>
      <c r="F141" s="8">
        <v>0.2</v>
      </c>
      <c r="G141" s="8">
        <v>0.2</v>
      </c>
      <c r="H141" s="8">
        <v>0.2</v>
      </c>
      <c r="I141" s="8">
        <v>0.2</v>
      </c>
      <c r="J141" s="2"/>
      <c r="K141" s="2"/>
      <c r="L141" s="26"/>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row>
    <row r="142" spans="3:66" ht="20" customHeight="1">
      <c r="C142" s="1"/>
      <c r="D142" s="1"/>
      <c r="E142" s="2"/>
      <c r="F142" s="2"/>
      <c r="G142" s="2"/>
      <c r="H142" s="2"/>
      <c r="I142" s="2"/>
      <c r="J142" s="2"/>
      <c r="K142" s="2"/>
      <c r="L142" s="26"/>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row>
    <row r="143" spans="3:66" ht="52" customHeight="1">
      <c r="C143" s="28" t="s">
        <v>111</v>
      </c>
      <c r="D143" s="6"/>
      <c r="E143" s="14">
        <f>CHOOSE($E$5,E144,E145,E146)</f>
        <v>156.1</v>
      </c>
      <c r="F143" s="14">
        <f>CHOOSE($E$5,F144,F145,F146)</f>
        <v>125</v>
      </c>
      <c r="G143" s="14">
        <f>CHOOSE($E$5,G144,G145,G146)</f>
        <v>90</v>
      </c>
      <c r="H143" s="14">
        <f>CHOOSE($E$5,H144,H145,H146)</f>
        <v>55</v>
      </c>
      <c r="I143" s="14">
        <f>CHOOSE($E$5,I144,I145,I146)</f>
        <v>26.192</v>
      </c>
      <c r="J143" s="2"/>
      <c r="K143" s="2" t="s">
        <v>71</v>
      </c>
      <c r="L143" s="26" t="s">
        <v>112</v>
      </c>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row>
    <row r="144" spans="3:66" ht="20" customHeight="1">
      <c r="C144" s="1" t="s">
        <v>73</v>
      </c>
      <c r="D144" s="1"/>
      <c r="E144" s="7">
        <v>156.1</v>
      </c>
      <c r="F144" s="7">
        <v>125</v>
      </c>
      <c r="G144" s="7">
        <v>90</v>
      </c>
      <c r="H144" s="7">
        <v>55</v>
      </c>
      <c r="I144" s="7">
        <v>26.192</v>
      </c>
      <c r="J144" s="2"/>
      <c r="K144" s="2"/>
      <c r="L144" s="26"/>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row>
    <row r="145" spans="3:66" ht="20" customHeight="1">
      <c r="C145" s="1" t="s">
        <v>74</v>
      </c>
      <c r="D145" s="1"/>
      <c r="E145" s="7">
        <v>176.1</v>
      </c>
      <c r="F145" s="7">
        <v>125</v>
      </c>
      <c r="G145" s="7">
        <v>90</v>
      </c>
      <c r="H145" s="7">
        <v>45</v>
      </c>
      <c r="I145" s="7">
        <v>16.192</v>
      </c>
      <c r="J145" s="2"/>
      <c r="K145" s="2"/>
      <c r="L145" s="26"/>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row>
    <row r="146" spans="3:66" ht="20" customHeight="1">
      <c r="C146" s="1" t="s">
        <v>75</v>
      </c>
      <c r="D146" s="1"/>
      <c r="E146" s="7">
        <v>136.1</v>
      </c>
      <c r="F146" s="7">
        <v>125</v>
      </c>
      <c r="G146" s="7">
        <v>100</v>
      </c>
      <c r="H146" s="7">
        <v>65</v>
      </c>
      <c r="I146" s="7">
        <v>26.192</v>
      </c>
      <c r="J146" s="2"/>
      <c r="K146" s="2"/>
      <c r="L146" s="26"/>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row>
    <row r="147" spans="3:66" ht="20" customHeight="1">
      <c r="C147" s="1"/>
      <c r="D147" s="1"/>
      <c r="E147" s="2"/>
      <c r="F147" s="2"/>
      <c r="G147" s="2"/>
      <c r="H147" s="2"/>
      <c r="I147" s="2"/>
      <c r="J147" s="2"/>
      <c r="K147" s="2"/>
      <c r="L147" s="26"/>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row>
    <row r="148" spans="3:66" ht="52" customHeight="1">
      <c r="C148" s="28" t="s">
        <v>113</v>
      </c>
      <c r="D148" s="6"/>
      <c r="E148" s="14">
        <f>CHOOSE($E$5,E149,E150,E151)</f>
        <v>35</v>
      </c>
      <c r="F148" s="14">
        <f>CHOOSE($E$5,F149,F150,F151)</f>
        <v>35</v>
      </c>
      <c r="G148" s="14">
        <f>CHOOSE($E$5,G149,G150,G151)</f>
        <v>35</v>
      </c>
      <c r="H148" s="14">
        <f>CHOOSE($E$5,H149,H150,H151)</f>
        <v>35</v>
      </c>
      <c r="I148" s="14">
        <f>CHOOSE($E$5,I149,I150,I151)</f>
        <v>35</v>
      </c>
      <c r="J148" s="2"/>
      <c r="K148" s="2" t="s">
        <v>71</v>
      </c>
      <c r="L148" s="26" t="s">
        <v>114</v>
      </c>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row>
    <row r="149" spans="3:66" ht="20" customHeight="1">
      <c r="C149" s="1" t="s">
        <v>73</v>
      </c>
      <c r="D149" s="1"/>
      <c r="E149" s="7">
        <v>35</v>
      </c>
      <c r="F149" s="7">
        <v>35</v>
      </c>
      <c r="G149" s="7">
        <v>35</v>
      </c>
      <c r="H149" s="7">
        <v>35</v>
      </c>
      <c r="I149" s="7">
        <v>35</v>
      </c>
      <c r="J149" s="2"/>
      <c r="K149" s="2"/>
      <c r="L149" s="26"/>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row>
    <row r="150" spans="3:66" ht="20" customHeight="1">
      <c r="C150" s="1" t="s">
        <v>74</v>
      </c>
      <c r="D150" s="1"/>
      <c r="E150" s="7">
        <v>35</v>
      </c>
      <c r="F150" s="7">
        <v>35</v>
      </c>
      <c r="G150" s="7">
        <v>35</v>
      </c>
      <c r="H150" s="7">
        <v>35</v>
      </c>
      <c r="I150" s="7">
        <v>35</v>
      </c>
      <c r="J150" s="2"/>
      <c r="K150" s="2"/>
      <c r="L150" s="26"/>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row>
    <row r="151" spans="3:66" ht="20" customHeight="1">
      <c r="C151" s="1" t="s">
        <v>75</v>
      </c>
      <c r="D151" s="1"/>
      <c r="E151" s="7">
        <v>35</v>
      </c>
      <c r="F151" s="7">
        <v>35</v>
      </c>
      <c r="G151" s="7">
        <v>35</v>
      </c>
      <c r="H151" s="7">
        <v>35</v>
      </c>
      <c r="I151" s="7">
        <v>35</v>
      </c>
      <c r="J151" s="2"/>
      <c r="K151" s="2"/>
      <c r="L151" s="26"/>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row>
    <row r="152" spans="3:66" ht="20" customHeight="1">
      <c r="C152" s="1"/>
      <c r="D152" s="1"/>
      <c r="E152" s="2"/>
      <c r="F152" s="2"/>
      <c r="G152" s="2"/>
      <c r="H152" s="2"/>
      <c r="I152" s="2"/>
      <c r="J152" s="2"/>
      <c r="K152" s="2"/>
      <c r="L152" s="26"/>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row>
    <row r="153" spans="3:66" ht="52" customHeight="1">
      <c r="C153" s="28" t="s">
        <v>115</v>
      </c>
      <c r="D153" s="6"/>
      <c r="E153" s="15">
        <f>CHOOSE($E$5,E154,E155,E156)</f>
        <v>0.5</v>
      </c>
      <c r="F153" s="15">
        <f>CHOOSE($E$5,F154,F155,F156)</f>
        <v>0.5</v>
      </c>
      <c r="G153" s="15">
        <f>CHOOSE($E$5,G154,G155,G156)</f>
        <v>0.5</v>
      </c>
      <c r="H153" s="15">
        <f>CHOOSE($E$5,H154,H155,H156)</f>
        <v>0.5</v>
      </c>
      <c r="I153" s="15">
        <f>CHOOSE($E$5,I154,I155,I156)</f>
        <v>0.5</v>
      </c>
      <c r="J153" s="2"/>
      <c r="K153" s="2" t="s">
        <v>71</v>
      </c>
      <c r="L153" s="26" t="s">
        <v>72</v>
      </c>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row>
    <row r="154" spans="3:66" ht="20" customHeight="1">
      <c r="C154" s="1" t="s">
        <v>73</v>
      </c>
      <c r="D154" s="1"/>
      <c r="E154" s="8">
        <v>0.5</v>
      </c>
      <c r="F154" s="8">
        <v>0.5</v>
      </c>
      <c r="G154" s="8">
        <v>0.5</v>
      </c>
      <c r="H154" s="8">
        <v>0.5</v>
      </c>
      <c r="I154" s="8">
        <v>0.5</v>
      </c>
      <c r="J154" s="2"/>
      <c r="K154" s="2"/>
      <c r="L154" s="26"/>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row>
    <row r="155" spans="3:66" ht="20" customHeight="1">
      <c r="C155" s="1" t="s">
        <v>74</v>
      </c>
      <c r="D155" s="1"/>
      <c r="E155" s="8">
        <v>0.25</v>
      </c>
      <c r="F155" s="8">
        <v>0.25</v>
      </c>
      <c r="G155" s="8">
        <v>0.25</v>
      </c>
      <c r="H155" s="8">
        <v>0.25</v>
      </c>
      <c r="I155" s="8">
        <v>0.25</v>
      </c>
      <c r="J155" s="2"/>
      <c r="K155" s="2"/>
      <c r="L155" s="26"/>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row>
    <row r="156" spans="3:66" ht="20" customHeight="1">
      <c r="C156" s="1" t="s">
        <v>75</v>
      </c>
      <c r="D156" s="1"/>
      <c r="E156" s="8">
        <v>0.75</v>
      </c>
      <c r="F156" s="8">
        <v>0.75</v>
      </c>
      <c r="G156" s="8">
        <v>0.75</v>
      </c>
      <c r="H156" s="8">
        <v>0.75</v>
      </c>
      <c r="I156" s="8">
        <v>0.75</v>
      </c>
      <c r="J156" s="2"/>
      <c r="K156" s="2"/>
      <c r="L156" s="26"/>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row>
    <row r="157" spans="3:66" ht="20" customHeight="1">
      <c r="C157" s="1"/>
      <c r="D157" s="1"/>
      <c r="E157" s="2"/>
      <c r="F157" s="2"/>
      <c r="G157" s="2"/>
      <c r="H157" s="2"/>
      <c r="I157" s="2"/>
      <c r="J157" s="2"/>
      <c r="K157" s="2"/>
      <c r="L157" s="26"/>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row>
    <row r="158" spans="3:66" ht="52" customHeight="1">
      <c r="C158" s="28" t="s">
        <v>116</v>
      </c>
      <c r="D158" s="6"/>
      <c r="E158" s="15">
        <f>CHOOSE($E$5,E159,E160,E161)</f>
        <v>0.3</v>
      </c>
      <c r="F158" s="15">
        <f>CHOOSE($E$5,F159,F160,F161)</f>
        <v>0.3</v>
      </c>
      <c r="G158" s="15">
        <f>CHOOSE($E$5,G159,G160,G161)</f>
        <v>0.3</v>
      </c>
      <c r="H158" s="15">
        <f>CHOOSE($E$5,H159,H160,H161)</f>
        <v>0.3</v>
      </c>
      <c r="I158" s="15">
        <f>CHOOSE($E$5,I159,I160,I161)</f>
        <v>0.3</v>
      </c>
      <c r="J158" s="2"/>
      <c r="K158" s="2" t="s">
        <v>71</v>
      </c>
      <c r="L158" s="26" t="s">
        <v>72</v>
      </c>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row>
    <row r="159" spans="3:66" ht="20" customHeight="1">
      <c r="C159" s="1" t="s">
        <v>73</v>
      </c>
      <c r="D159" s="1"/>
      <c r="E159" s="8">
        <v>0.3</v>
      </c>
      <c r="F159" s="8">
        <v>0.3</v>
      </c>
      <c r="G159" s="8">
        <v>0.3</v>
      </c>
      <c r="H159" s="8">
        <v>0.3</v>
      </c>
      <c r="I159" s="8">
        <v>0.3</v>
      </c>
      <c r="J159" s="2"/>
      <c r="K159" s="2"/>
      <c r="L159" s="26"/>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row>
    <row r="160" spans="3:66" ht="20" customHeight="1">
      <c r="C160" s="1" t="s">
        <v>74</v>
      </c>
      <c r="D160" s="1"/>
      <c r="E160" s="8">
        <v>0.35</v>
      </c>
      <c r="F160" s="8">
        <v>0.35</v>
      </c>
      <c r="G160" s="8">
        <v>0.35</v>
      </c>
      <c r="H160" s="8">
        <v>0.35</v>
      </c>
      <c r="I160" s="8">
        <v>0.35</v>
      </c>
      <c r="J160" s="2"/>
      <c r="K160" s="2"/>
      <c r="L160" s="26"/>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row>
    <row r="161" spans="3:66" ht="20" customHeight="1">
      <c r="C161" s="1" t="s">
        <v>75</v>
      </c>
      <c r="D161" s="1"/>
      <c r="E161" s="8">
        <v>0.25</v>
      </c>
      <c r="F161" s="8">
        <v>0.25</v>
      </c>
      <c r="G161" s="8">
        <v>0.25</v>
      </c>
      <c r="H161" s="8">
        <v>0.25</v>
      </c>
      <c r="I161" s="8">
        <v>0.25</v>
      </c>
      <c r="J161" s="2"/>
      <c r="K161" s="2"/>
      <c r="L161" s="26"/>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row>
    <row r="162" spans="3:66" ht="20" customHeight="1">
      <c r="C162" s="1"/>
      <c r="D162" s="1"/>
      <c r="E162" s="2"/>
      <c r="F162" s="2"/>
      <c r="G162" s="2"/>
      <c r="H162" s="2"/>
      <c r="I162" s="2"/>
      <c r="J162" s="2"/>
      <c r="K162" s="2"/>
      <c r="L162" s="26"/>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row>
    <row r="163" spans="3:66" ht="52" customHeight="1">
      <c r="C163" s="28" t="s">
        <v>117</v>
      </c>
      <c r="D163" s="6"/>
      <c r="E163" s="15">
        <f>CHOOSE($E$5,E164,E165,E166)</f>
        <v>0.2</v>
      </c>
      <c r="F163" s="15">
        <f>CHOOSE($E$5,F164,F165,F166)</f>
        <v>0.2</v>
      </c>
      <c r="G163" s="15">
        <f>CHOOSE($E$5,G164,G165,G166)</f>
        <v>0.2</v>
      </c>
      <c r="H163" s="15">
        <f>CHOOSE($E$5,H164,H165,H166)</f>
        <v>0.2</v>
      </c>
      <c r="I163" s="15">
        <f>CHOOSE($E$5,I164,I165,I166)</f>
        <v>0.2</v>
      </c>
      <c r="J163" s="2"/>
      <c r="K163" s="2" t="s">
        <v>71</v>
      </c>
      <c r="L163" s="26" t="s">
        <v>72</v>
      </c>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row>
    <row r="164" spans="3:66" ht="20" customHeight="1">
      <c r="C164" s="1" t="s">
        <v>73</v>
      </c>
      <c r="D164" s="1"/>
      <c r="E164" s="8">
        <v>0.2</v>
      </c>
      <c r="F164" s="8">
        <v>0.2</v>
      </c>
      <c r="G164" s="8">
        <v>0.2</v>
      </c>
      <c r="H164" s="8">
        <v>0.2</v>
      </c>
      <c r="I164" s="8">
        <v>0.2</v>
      </c>
      <c r="J164" s="2"/>
      <c r="K164" s="2"/>
      <c r="L164" s="26"/>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row>
    <row r="165" spans="3:66" ht="20" customHeight="1">
      <c r="C165" s="1" t="s">
        <v>74</v>
      </c>
      <c r="D165" s="1"/>
      <c r="E165" s="8">
        <v>0.4</v>
      </c>
      <c r="F165" s="8">
        <v>0.4</v>
      </c>
      <c r="G165" s="8">
        <v>0.4</v>
      </c>
      <c r="H165" s="8">
        <v>0.4</v>
      </c>
      <c r="I165" s="8">
        <v>0.4</v>
      </c>
      <c r="J165" s="2"/>
      <c r="K165" s="2"/>
      <c r="L165" s="26"/>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row>
    <row r="166" spans="3:66" ht="20" customHeight="1">
      <c r="C166" s="1" t="s">
        <v>75</v>
      </c>
      <c r="D166" s="1"/>
      <c r="E166" s="8">
        <v>0</v>
      </c>
      <c r="F166" s="8">
        <v>0</v>
      </c>
      <c r="G166" s="8">
        <v>0</v>
      </c>
      <c r="H166" s="8">
        <v>0</v>
      </c>
      <c r="I166" s="8">
        <v>0</v>
      </c>
      <c r="J166" s="2"/>
      <c r="K166" s="2"/>
      <c r="L166" s="26"/>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row>
    <row r="167" spans="3:66" ht="20" customHeight="1">
      <c r="C167" s="1"/>
      <c r="D167" s="1"/>
      <c r="E167" s="2"/>
      <c r="F167" s="2"/>
      <c r="G167" s="2"/>
      <c r="H167" s="2"/>
      <c r="I167" s="2"/>
      <c r="J167" s="2"/>
      <c r="K167" s="2"/>
      <c r="L167" s="26"/>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row>
    <row r="168" spans="3:66" ht="52" customHeight="1">
      <c r="C168" s="28" t="s">
        <v>118</v>
      </c>
      <c r="D168" s="6"/>
      <c r="E168" s="14">
        <f>CHOOSE($E$5,E169,E170,E171)</f>
        <v>6</v>
      </c>
      <c r="F168" s="14">
        <f>CHOOSE($E$5,F169,F170,F171)</f>
        <v>6</v>
      </c>
      <c r="G168" s="14">
        <f>CHOOSE($E$5,G169,G170,G171)</f>
        <v>6</v>
      </c>
      <c r="H168" s="14">
        <f>CHOOSE($E$5,H169,H170,H171)</f>
        <v>6</v>
      </c>
      <c r="I168" s="14">
        <f>CHOOSE($E$5,I169,I170,I171)</f>
        <v>6</v>
      </c>
      <c r="J168" s="2"/>
      <c r="K168" s="2" t="s">
        <v>71</v>
      </c>
      <c r="L168" s="26" t="s">
        <v>119</v>
      </c>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row>
    <row r="169" spans="3:66" ht="20" customHeight="1">
      <c r="C169" s="1" t="s">
        <v>73</v>
      </c>
      <c r="D169" s="1"/>
      <c r="E169" s="7">
        <v>6</v>
      </c>
      <c r="F169" s="7">
        <v>6</v>
      </c>
      <c r="G169" s="7">
        <v>6</v>
      </c>
      <c r="H169" s="7">
        <v>6</v>
      </c>
      <c r="I169" s="7">
        <v>6</v>
      </c>
      <c r="J169" s="2"/>
      <c r="K169" s="2"/>
      <c r="L169" s="26"/>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row>
    <row r="170" spans="3:66" ht="20" customHeight="1">
      <c r="C170" s="1" t="s">
        <v>74</v>
      </c>
      <c r="D170" s="1"/>
      <c r="E170" s="7">
        <v>1</v>
      </c>
      <c r="F170" s="7">
        <v>1</v>
      </c>
      <c r="G170" s="7">
        <v>1</v>
      </c>
      <c r="H170" s="7">
        <v>1</v>
      </c>
      <c r="I170" s="7">
        <v>1</v>
      </c>
      <c r="J170" s="2"/>
      <c r="K170" s="2"/>
      <c r="L170" s="26"/>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row>
    <row r="171" spans="3:66" ht="20" customHeight="1">
      <c r="C171" s="1" t="s">
        <v>75</v>
      </c>
      <c r="D171" s="1"/>
      <c r="E171" s="7">
        <v>12</v>
      </c>
      <c r="F171" s="7">
        <v>12</v>
      </c>
      <c r="G171" s="7">
        <v>12</v>
      </c>
      <c r="H171" s="7">
        <v>12</v>
      </c>
      <c r="I171" s="7">
        <v>12</v>
      </c>
      <c r="J171" s="2"/>
      <c r="K171" s="2"/>
      <c r="L171" s="26"/>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row>
    <row r="172" spans="3:66" ht="20" customHeight="1">
      <c r="C172" s="1"/>
      <c r="D172" s="1"/>
      <c r="E172" s="2"/>
      <c r="F172" s="2"/>
      <c r="G172" s="2"/>
      <c r="H172" s="2"/>
      <c r="I172" s="2"/>
      <c r="J172" s="2"/>
      <c r="K172" s="2"/>
      <c r="L172" s="26"/>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row>
    <row r="173" spans="3:66" ht="52" customHeight="1">
      <c r="C173" s="28" t="s">
        <v>120</v>
      </c>
      <c r="D173" s="6"/>
      <c r="E173" s="14">
        <f>CHOOSE($E$5,E174,E175,E176)</f>
        <v>6</v>
      </c>
      <c r="F173" s="14">
        <f>CHOOSE($E$5,F174,F175,F176)</f>
        <v>6</v>
      </c>
      <c r="G173" s="14">
        <f>CHOOSE($E$5,G174,G175,G176)</f>
        <v>6</v>
      </c>
      <c r="H173" s="14">
        <f>CHOOSE($E$5,H174,H175,H176)</f>
        <v>6</v>
      </c>
      <c r="I173" s="14">
        <f>CHOOSE($E$5,I174,I175,I176)</f>
        <v>6</v>
      </c>
      <c r="J173" s="2"/>
      <c r="K173" s="2" t="s">
        <v>71</v>
      </c>
      <c r="L173" s="26" t="s">
        <v>121</v>
      </c>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row>
    <row r="174" spans="3:66" ht="20" customHeight="1">
      <c r="C174" s="1" t="s">
        <v>73</v>
      </c>
      <c r="D174" s="1"/>
      <c r="E174" s="7">
        <v>6</v>
      </c>
      <c r="F174" s="7">
        <v>6</v>
      </c>
      <c r="G174" s="7">
        <v>6</v>
      </c>
      <c r="H174" s="7">
        <v>6</v>
      </c>
      <c r="I174" s="7">
        <v>6</v>
      </c>
      <c r="J174" s="2"/>
      <c r="K174" s="2"/>
      <c r="L174" s="26"/>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row>
    <row r="175" spans="3:66" ht="20" customHeight="1">
      <c r="C175" s="1" t="s">
        <v>74</v>
      </c>
      <c r="D175" s="1"/>
      <c r="E175" s="7">
        <v>12</v>
      </c>
      <c r="F175" s="7">
        <v>12</v>
      </c>
      <c r="G175" s="7">
        <v>12</v>
      </c>
      <c r="H175" s="7">
        <v>12</v>
      </c>
      <c r="I175" s="7">
        <v>12</v>
      </c>
      <c r="J175" s="2"/>
      <c r="K175" s="2"/>
      <c r="L175" s="26"/>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row>
    <row r="176" spans="3:66" ht="20" customHeight="1">
      <c r="C176" s="1" t="s">
        <v>75</v>
      </c>
      <c r="D176" s="1"/>
      <c r="E176" s="7">
        <v>1</v>
      </c>
      <c r="F176" s="7">
        <v>1</v>
      </c>
      <c r="G176" s="7">
        <v>1</v>
      </c>
      <c r="H176" s="7">
        <v>1</v>
      </c>
      <c r="I176" s="7">
        <v>1</v>
      </c>
      <c r="J176" s="2"/>
      <c r="K176" s="2"/>
      <c r="L176" s="26"/>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row>
    <row r="177" spans="3:66" ht="20" customHeight="1">
      <c r="C177" s="1"/>
      <c r="D177" s="1"/>
      <c r="E177" s="2"/>
      <c r="F177" s="2"/>
      <c r="G177" s="2"/>
      <c r="H177" s="2"/>
      <c r="I177" s="2"/>
      <c r="J177" s="2"/>
      <c r="K177" s="2"/>
      <c r="L177" s="26"/>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row>
    <row r="178" spans="3:66" ht="52" customHeight="1">
      <c r="C178" s="28" t="s">
        <v>122</v>
      </c>
      <c r="D178" s="6"/>
      <c r="E178" s="14">
        <f>CHOOSE($E$5,E179,E180,E181)</f>
        <v>25</v>
      </c>
      <c r="F178" s="14">
        <f>CHOOSE($E$5,F179,F180,F181)</f>
        <v>25</v>
      </c>
      <c r="G178" s="14">
        <f>CHOOSE($E$5,G179,G180,G181)</f>
        <v>25</v>
      </c>
      <c r="H178" s="14">
        <f>CHOOSE($E$5,H179,H180,H181)</f>
        <v>25</v>
      </c>
      <c r="I178" s="14">
        <f>CHOOSE($E$5,I179,I180,I181)</f>
        <v>25</v>
      </c>
      <c r="J178" s="2"/>
      <c r="K178" s="2" t="s">
        <v>71</v>
      </c>
      <c r="L178" s="26" t="s">
        <v>72</v>
      </c>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row>
    <row r="179" spans="3:66" ht="20" customHeight="1">
      <c r="C179" s="1" t="s">
        <v>73</v>
      </c>
      <c r="D179" s="1"/>
      <c r="E179" s="7">
        <v>25</v>
      </c>
      <c r="F179" s="7">
        <v>25</v>
      </c>
      <c r="G179" s="7">
        <v>25</v>
      </c>
      <c r="H179" s="7">
        <v>25</v>
      </c>
      <c r="I179" s="7">
        <v>25</v>
      </c>
      <c r="J179" s="2"/>
      <c r="K179" s="2"/>
      <c r="L179" s="26"/>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row>
    <row r="180" spans="3:66" ht="20" customHeight="1">
      <c r="C180" s="1" t="s">
        <v>74</v>
      </c>
      <c r="D180" s="1"/>
      <c r="E180" s="7">
        <v>35</v>
      </c>
      <c r="F180" s="7">
        <v>35</v>
      </c>
      <c r="G180" s="7">
        <v>35</v>
      </c>
      <c r="H180" s="7">
        <v>35</v>
      </c>
      <c r="I180" s="7">
        <v>35</v>
      </c>
      <c r="J180" s="2"/>
      <c r="K180" s="2"/>
      <c r="L180" s="26"/>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row>
    <row r="181" spans="3:66" ht="20" customHeight="1">
      <c r="C181" s="1" t="s">
        <v>75</v>
      </c>
      <c r="D181" s="1"/>
      <c r="E181" s="7">
        <v>20</v>
      </c>
      <c r="F181" s="7">
        <v>20</v>
      </c>
      <c r="G181" s="7">
        <v>20</v>
      </c>
      <c r="H181" s="7">
        <v>20</v>
      </c>
      <c r="I181" s="7">
        <v>20</v>
      </c>
      <c r="J181" s="2"/>
      <c r="K181" s="2"/>
      <c r="L181" s="26"/>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row>
    <row r="182" spans="3:66" ht="20" customHeight="1">
      <c r="C182" s="1"/>
      <c r="D182" s="1"/>
      <c r="E182" s="2"/>
      <c r="F182" s="2"/>
      <c r="G182" s="2"/>
      <c r="H182" s="2"/>
      <c r="I182" s="2"/>
      <c r="J182" s="2"/>
      <c r="K182" s="2"/>
      <c r="L182" s="26"/>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row>
    <row r="183" spans="3:66" ht="52" customHeight="1">
      <c r="C183" s="28" t="s">
        <v>123</v>
      </c>
      <c r="D183" s="6"/>
      <c r="E183" s="14">
        <f>CHOOSE($E$5,E184,E185,E186)</f>
        <v>22</v>
      </c>
      <c r="F183" s="14">
        <f>CHOOSE($E$5,F184,F185,F186)</f>
        <v>22</v>
      </c>
      <c r="G183" s="14">
        <f>CHOOSE($E$5,G184,G185,G186)</f>
        <v>22</v>
      </c>
      <c r="H183" s="14">
        <f>CHOOSE($E$5,H184,H185,H186)</f>
        <v>22</v>
      </c>
      <c r="I183" s="14">
        <f>CHOOSE($E$5,I184,I185,I186)</f>
        <v>22</v>
      </c>
      <c r="J183" s="2"/>
      <c r="K183" s="2" t="s">
        <v>71</v>
      </c>
      <c r="L183" s="26" t="s">
        <v>72</v>
      </c>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row>
    <row r="184" spans="3:66" ht="20" customHeight="1">
      <c r="C184" s="1" t="s">
        <v>73</v>
      </c>
      <c r="D184" s="1"/>
      <c r="E184" s="7">
        <v>22</v>
      </c>
      <c r="F184" s="7">
        <v>22</v>
      </c>
      <c r="G184" s="7">
        <v>22</v>
      </c>
      <c r="H184" s="7">
        <v>22</v>
      </c>
      <c r="I184" s="7">
        <v>22</v>
      </c>
      <c r="J184" s="2"/>
      <c r="K184" s="2"/>
      <c r="L184" s="26"/>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row>
    <row r="185" spans="3:66" ht="20" customHeight="1">
      <c r="C185" s="1" t="s">
        <v>74</v>
      </c>
      <c r="D185" s="1"/>
      <c r="E185" s="7">
        <v>23</v>
      </c>
      <c r="F185" s="7">
        <v>23</v>
      </c>
      <c r="G185" s="7">
        <v>23</v>
      </c>
      <c r="H185" s="7">
        <v>23</v>
      </c>
      <c r="I185" s="7">
        <v>23</v>
      </c>
      <c r="J185" s="2"/>
      <c r="K185" s="2"/>
      <c r="L185" s="26"/>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row>
    <row r="186" spans="3:66" ht="20" customHeight="1">
      <c r="C186" s="1" t="s">
        <v>75</v>
      </c>
      <c r="D186" s="1"/>
      <c r="E186" s="7">
        <v>22</v>
      </c>
      <c r="F186" s="7">
        <v>22</v>
      </c>
      <c r="G186" s="7">
        <v>22</v>
      </c>
      <c r="H186" s="7">
        <v>22</v>
      </c>
      <c r="I186" s="7">
        <v>22</v>
      </c>
      <c r="J186" s="2"/>
      <c r="K186" s="2"/>
      <c r="L186" s="26"/>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row>
    <row r="187" spans="3:66" ht="20" customHeight="1">
      <c r="C187" s="1"/>
      <c r="D187" s="1"/>
      <c r="E187" s="2"/>
      <c r="F187" s="2"/>
      <c r="G187" s="2"/>
      <c r="H187" s="2"/>
      <c r="I187" s="2"/>
      <c r="J187" s="2"/>
      <c r="K187" s="2"/>
      <c r="L187" s="26"/>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row>
    <row r="188" spans="3:66" ht="52" customHeight="1">
      <c r="C188" s="28" t="s">
        <v>124</v>
      </c>
      <c r="D188" s="6"/>
      <c r="E188" s="14">
        <f>CHOOSE($E$5,E189,E190,E191)</f>
        <v>3.4</v>
      </c>
      <c r="F188" s="14">
        <f>CHOOSE($E$5,F189,F190,F191)</f>
        <v>3.4</v>
      </c>
      <c r="G188" s="14">
        <f>CHOOSE($E$5,G189,G190,G191)</f>
        <v>3.4</v>
      </c>
      <c r="H188" s="14">
        <f>CHOOSE($E$5,H189,H190,H191)</f>
        <v>3.4</v>
      </c>
      <c r="I188" s="14">
        <f>CHOOSE($E$5,I189,I190,I191)</f>
        <v>3.4</v>
      </c>
      <c r="J188" s="2"/>
      <c r="K188" s="2" t="s">
        <v>71</v>
      </c>
      <c r="L188" s="26" t="s">
        <v>72</v>
      </c>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row>
    <row r="189" spans="3:66" ht="20" customHeight="1">
      <c r="C189" s="1" t="s">
        <v>73</v>
      </c>
      <c r="D189" s="1"/>
      <c r="E189" s="7">
        <v>3.4</v>
      </c>
      <c r="F189" s="7">
        <v>3.4</v>
      </c>
      <c r="G189" s="7">
        <v>3.4</v>
      </c>
      <c r="H189" s="7">
        <v>3.4</v>
      </c>
      <c r="I189" s="7">
        <v>3.4</v>
      </c>
      <c r="J189" s="2"/>
      <c r="K189" s="2"/>
      <c r="L189" s="26"/>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row>
    <row r="190" spans="3:66" ht="20" customHeight="1">
      <c r="C190" s="1" t="s">
        <v>74</v>
      </c>
      <c r="D190" s="1"/>
      <c r="E190" s="7">
        <v>3.4</v>
      </c>
      <c r="F190" s="7">
        <v>3.4</v>
      </c>
      <c r="G190" s="7">
        <v>3.4</v>
      </c>
      <c r="H190" s="7">
        <v>3.4</v>
      </c>
      <c r="I190" s="7">
        <v>3.4</v>
      </c>
      <c r="J190" s="2"/>
      <c r="K190" s="2"/>
      <c r="L190" s="26"/>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row>
    <row r="191" spans="3:66" ht="20" customHeight="1">
      <c r="C191" s="1" t="s">
        <v>75</v>
      </c>
      <c r="D191" s="1"/>
      <c r="E191" s="7">
        <v>3.4</v>
      </c>
      <c r="F191" s="7">
        <v>3.4</v>
      </c>
      <c r="G191" s="7">
        <v>3.4</v>
      </c>
      <c r="H191" s="7">
        <v>3.4</v>
      </c>
      <c r="I191" s="7">
        <v>3.4</v>
      </c>
      <c r="J191" s="2"/>
      <c r="K191" s="2"/>
      <c r="L191" s="26"/>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row>
    <row r="192" spans="3:66" ht="20" customHeight="1">
      <c r="C192" s="1"/>
      <c r="D192" s="1"/>
      <c r="E192" s="2"/>
      <c r="F192" s="2"/>
      <c r="G192" s="2"/>
      <c r="H192" s="2"/>
      <c r="I192" s="2"/>
      <c r="J192" s="2"/>
      <c r="K192" s="2"/>
      <c r="L192" s="26"/>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row>
    <row r="193" spans="3:66" ht="52" customHeight="1">
      <c r="C193" s="28" t="s">
        <v>125</v>
      </c>
      <c r="D193" s="6"/>
      <c r="E193" s="14">
        <f>CHOOSE($E$5,E194,E195,E196)</f>
        <v>3.4</v>
      </c>
      <c r="F193" s="14">
        <f>CHOOSE($E$5,F194,F195,F196)</f>
        <v>3.4</v>
      </c>
      <c r="G193" s="14">
        <f>CHOOSE($E$5,G194,G195,G196)</f>
        <v>3.4</v>
      </c>
      <c r="H193" s="14">
        <f>CHOOSE($E$5,H194,H195,H196)</f>
        <v>3.4</v>
      </c>
      <c r="I193" s="14">
        <f>CHOOSE($E$5,I194,I195,I196)</f>
        <v>3.4</v>
      </c>
      <c r="J193" s="2"/>
      <c r="K193" s="2" t="s">
        <v>71</v>
      </c>
      <c r="L193" s="26" t="s">
        <v>72</v>
      </c>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row>
    <row r="194" spans="3:66" ht="20" customHeight="1">
      <c r="C194" s="1" t="s">
        <v>73</v>
      </c>
      <c r="D194" s="1"/>
      <c r="E194" s="7">
        <v>3.4</v>
      </c>
      <c r="F194" s="7">
        <v>3.4</v>
      </c>
      <c r="G194" s="7">
        <v>3.4</v>
      </c>
      <c r="H194" s="7">
        <v>3.4</v>
      </c>
      <c r="I194" s="7">
        <v>3.4</v>
      </c>
      <c r="J194" s="2"/>
      <c r="K194" s="2"/>
      <c r="L194" s="26"/>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row>
    <row r="195" spans="3:66" ht="20" customHeight="1">
      <c r="C195" s="1" t="s">
        <v>74</v>
      </c>
      <c r="D195" s="1"/>
      <c r="E195" s="7">
        <v>3.4</v>
      </c>
      <c r="F195" s="7">
        <v>3.4</v>
      </c>
      <c r="G195" s="7">
        <v>3.4</v>
      </c>
      <c r="H195" s="7">
        <v>3.4</v>
      </c>
      <c r="I195" s="7">
        <v>3.4</v>
      </c>
      <c r="J195" s="2"/>
      <c r="K195" s="2"/>
      <c r="L195" s="26"/>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row>
    <row r="196" spans="3:66" ht="20" customHeight="1">
      <c r="C196" s="1" t="s">
        <v>75</v>
      </c>
      <c r="D196" s="1"/>
      <c r="E196" s="7">
        <v>3.4</v>
      </c>
      <c r="F196" s="7">
        <v>3.4</v>
      </c>
      <c r="G196" s="7">
        <v>3.4</v>
      </c>
      <c r="H196" s="7">
        <v>3.4</v>
      </c>
      <c r="I196" s="7">
        <v>3.4</v>
      </c>
      <c r="J196" s="2"/>
      <c r="K196" s="2"/>
      <c r="L196" s="26"/>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row>
    <row r="197" spans="3:66" ht="20" customHeight="1">
      <c r="C197" s="1"/>
      <c r="D197" s="1"/>
      <c r="E197" s="2"/>
      <c r="F197" s="2"/>
      <c r="G197" s="2"/>
      <c r="H197" s="2"/>
      <c r="I197" s="2"/>
      <c r="J197" s="2"/>
      <c r="K197" s="2"/>
      <c r="L197" s="26"/>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row>
    <row r="198" spans="3:66" ht="52" customHeight="1">
      <c r="C198" s="28" t="s">
        <v>126</v>
      </c>
      <c r="D198" s="6"/>
      <c r="E198" s="14">
        <f>CHOOSE($E$5,E199,E200,E201)</f>
        <v>5</v>
      </c>
      <c r="F198" s="14">
        <f>CHOOSE($E$5,F199,F200,F201)</f>
        <v>5</v>
      </c>
      <c r="G198" s="14">
        <f>CHOOSE($E$5,G199,G200,G201)</f>
        <v>5</v>
      </c>
      <c r="H198" s="14">
        <f>CHOOSE($E$5,H199,H200,H201)</f>
        <v>5</v>
      </c>
      <c r="I198" s="14">
        <f>CHOOSE($E$5,I199,I200,I201)</f>
        <v>5</v>
      </c>
      <c r="J198" s="2"/>
      <c r="K198" s="2" t="s">
        <v>71</v>
      </c>
      <c r="L198" s="26" t="s">
        <v>127</v>
      </c>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row>
    <row r="199" spans="3:66" ht="20" customHeight="1">
      <c r="C199" s="1" t="s">
        <v>73</v>
      </c>
      <c r="D199" s="1"/>
      <c r="E199" s="7">
        <v>5</v>
      </c>
      <c r="F199" s="7">
        <v>5</v>
      </c>
      <c r="G199" s="7">
        <v>5</v>
      </c>
      <c r="H199" s="7">
        <v>5</v>
      </c>
      <c r="I199" s="7">
        <v>5</v>
      </c>
      <c r="J199" s="2"/>
      <c r="K199" s="2"/>
      <c r="L199" s="26"/>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row>
    <row r="200" spans="3:66" ht="20" customHeight="1">
      <c r="C200" s="1" t="s">
        <v>74</v>
      </c>
      <c r="D200" s="1"/>
      <c r="E200" s="7">
        <v>25</v>
      </c>
      <c r="F200" s="7">
        <v>25</v>
      </c>
      <c r="G200" s="7">
        <v>25</v>
      </c>
      <c r="H200" s="7">
        <v>25</v>
      </c>
      <c r="I200" s="7">
        <v>21.683</v>
      </c>
      <c r="J200" s="2"/>
      <c r="K200" s="2"/>
      <c r="L200" s="26"/>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row>
    <row r="201" spans="3:66">
      <c r="C201" s="19" t="s">
        <v>75</v>
      </c>
      <c r="D201" s="19"/>
      <c r="E201" s="20">
        <v>0</v>
      </c>
      <c r="F201" s="20">
        <v>0</v>
      </c>
      <c r="G201" s="20">
        <v>0</v>
      </c>
      <c r="H201" s="20">
        <v>0</v>
      </c>
      <c r="I201" s="20">
        <v>0</v>
      </c>
      <c r="J201" s="19"/>
      <c r="K201" s="19"/>
      <c r="L201" s="27"/>
    </row>
    <row r="202" spans="3:66">
      <c r="C202" s="19"/>
      <c r="D202" s="19"/>
      <c r="E202" s="19"/>
      <c r="F202" s="19"/>
      <c r="G202" s="19"/>
      <c r="H202" s="19"/>
      <c r="I202" s="19"/>
      <c r="J202" s="19"/>
      <c r="K202" s="19"/>
      <c r="L202" s="27"/>
    </row>
    <row r="203" spans="3:66" ht="52" customHeight="1">
      <c r="C203" s="29" t="s">
        <v>128</v>
      </c>
      <c r="D203" s="21"/>
      <c r="E203" s="22">
        <f>CHOOSE($E$5,E204,E205,E206)</f>
        <v>25</v>
      </c>
      <c r="F203" s="22">
        <f>CHOOSE($E$5,F204,F205,F206)</f>
        <v>25</v>
      </c>
      <c r="G203" s="22">
        <f>CHOOSE($E$5,G204,G205,G206)</f>
        <v>25</v>
      </c>
      <c r="H203" s="22">
        <f>CHOOSE($E$5,H204,H205,H206)</f>
        <v>25</v>
      </c>
      <c r="I203" s="22">
        <f>CHOOSE($E$5,I204,I205,I206)</f>
        <v>25</v>
      </c>
      <c r="J203" s="19"/>
      <c r="K203" s="19" t="s">
        <v>71</v>
      </c>
      <c r="L203" s="27" t="s">
        <v>72</v>
      </c>
    </row>
    <row r="204" spans="3:66">
      <c r="C204" s="19" t="s">
        <v>73</v>
      </c>
      <c r="D204" s="19"/>
      <c r="E204" s="20">
        <v>25</v>
      </c>
      <c r="F204" s="20">
        <v>25</v>
      </c>
      <c r="G204" s="20">
        <v>25</v>
      </c>
      <c r="H204" s="20">
        <v>25</v>
      </c>
      <c r="I204" s="20">
        <v>25</v>
      </c>
      <c r="J204" s="19"/>
      <c r="K204" s="19"/>
      <c r="L204" s="27"/>
    </row>
    <row r="205" spans="3:66">
      <c r="C205" s="19" t="s">
        <v>74</v>
      </c>
      <c r="D205" s="19"/>
      <c r="E205" s="20">
        <v>50</v>
      </c>
      <c r="F205" s="20">
        <v>50</v>
      </c>
      <c r="G205" s="20">
        <v>50</v>
      </c>
      <c r="H205" s="20">
        <v>50</v>
      </c>
      <c r="I205" s="20">
        <v>50</v>
      </c>
      <c r="J205" s="19"/>
      <c r="K205" s="19"/>
      <c r="L205" s="27"/>
    </row>
    <row r="206" spans="3:66">
      <c r="C206" s="19" t="s">
        <v>75</v>
      </c>
      <c r="D206" s="19"/>
      <c r="E206" s="20">
        <v>25</v>
      </c>
      <c r="F206" s="20">
        <v>25</v>
      </c>
      <c r="G206" s="20">
        <v>25</v>
      </c>
      <c r="H206" s="20">
        <v>25</v>
      </c>
      <c r="I206" s="20">
        <v>25</v>
      </c>
      <c r="J206" s="19"/>
      <c r="K206" s="19"/>
      <c r="L206" s="27"/>
    </row>
    <row r="207" spans="3:66">
      <c r="C207" s="19"/>
      <c r="D207" s="19"/>
      <c r="E207" s="19"/>
      <c r="F207" s="19"/>
      <c r="G207" s="19"/>
      <c r="H207" s="19"/>
      <c r="I207" s="19"/>
      <c r="J207" s="19"/>
      <c r="K207" s="19"/>
      <c r="L207" s="27"/>
    </row>
    <row r="208" spans="3:66" ht="52" customHeight="1">
      <c r="C208" s="29" t="s">
        <v>129</v>
      </c>
      <c r="D208" s="21"/>
      <c r="E208" s="22">
        <f>CHOOSE($E$5,E209,E210,E211)</f>
        <v>1.33</v>
      </c>
      <c r="F208" s="22">
        <f>CHOOSE($E$5,F209,F210,F211)</f>
        <v>1.33</v>
      </c>
      <c r="G208" s="22">
        <f>CHOOSE($E$5,G209,G210,G211)</f>
        <v>1.33</v>
      </c>
      <c r="H208" s="22">
        <f>CHOOSE($E$5,H209,H210,H211)</f>
        <v>1.33</v>
      </c>
      <c r="I208" s="22">
        <f>CHOOSE($E$5,I209,I210,I211)</f>
        <v>1.33</v>
      </c>
      <c r="J208" s="19"/>
      <c r="K208" s="19" t="s">
        <v>71</v>
      </c>
      <c r="L208" s="27" t="s">
        <v>130</v>
      </c>
    </row>
    <row r="209" spans="3:12">
      <c r="C209" s="19" t="s">
        <v>73</v>
      </c>
      <c r="D209" s="19"/>
      <c r="E209" s="20">
        <v>1.33</v>
      </c>
      <c r="F209" s="20">
        <v>1.33</v>
      </c>
      <c r="G209" s="20">
        <v>1.33</v>
      </c>
      <c r="H209" s="20">
        <v>1.33</v>
      </c>
      <c r="I209" s="20">
        <v>1.33</v>
      </c>
      <c r="J209" s="19"/>
      <c r="K209" s="19"/>
      <c r="L209" s="27"/>
    </row>
    <row r="210" spans="3:12">
      <c r="C210" s="19" t="s">
        <v>74</v>
      </c>
      <c r="D210" s="19"/>
      <c r="E210" s="20">
        <v>1.2</v>
      </c>
      <c r="F210" s="20">
        <v>1.2</v>
      </c>
      <c r="G210" s="20">
        <v>1.2</v>
      </c>
      <c r="H210" s="20">
        <v>1.2</v>
      </c>
      <c r="I210" s="20">
        <v>1.2</v>
      </c>
      <c r="J210" s="19"/>
      <c r="K210" s="19"/>
      <c r="L210" s="27"/>
    </row>
    <row r="211" spans="3:12">
      <c r="C211" s="19" t="s">
        <v>75</v>
      </c>
      <c r="D211" s="19"/>
      <c r="E211" s="20">
        <v>1.45</v>
      </c>
      <c r="F211" s="20">
        <v>1.45</v>
      </c>
      <c r="G211" s="20">
        <v>1.45</v>
      </c>
      <c r="H211" s="20">
        <v>1.45</v>
      </c>
      <c r="I211" s="20">
        <v>1.45</v>
      </c>
      <c r="J211" s="19"/>
      <c r="K211" s="19"/>
      <c r="L211" s="27"/>
    </row>
    <row r="212" spans="3:12">
      <c r="C212" s="19"/>
      <c r="D212" s="19"/>
      <c r="E212" s="19"/>
      <c r="F212" s="19"/>
      <c r="G212" s="19"/>
      <c r="H212" s="19"/>
      <c r="I212" s="19"/>
      <c r="J212" s="19"/>
      <c r="K212" s="19"/>
      <c r="L212" s="27"/>
    </row>
    <row r="213" spans="3:12" ht="52" customHeight="1">
      <c r="C213" s="29" t="s">
        <v>131</v>
      </c>
      <c r="D213" s="21"/>
      <c r="E213" s="23">
        <f>CHOOSE($E$5,E214,E215,E216)</f>
        <v>0.04</v>
      </c>
      <c r="F213" s="23">
        <f>CHOOSE($E$5,F214,F215,F216)</f>
        <v>0.04</v>
      </c>
      <c r="G213" s="23">
        <f>CHOOSE($E$5,G214,G215,G216)</f>
        <v>0.04</v>
      </c>
      <c r="H213" s="23">
        <f>CHOOSE($E$5,H214,H215,H216)</f>
        <v>0.04</v>
      </c>
      <c r="I213" s="23">
        <f>CHOOSE($E$5,I214,I215,I216)</f>
        <v>0.04</v>
      </c>
      <c r="J213" s="19"/>
      <c r="K213" s="19" t="s">
        <v>71</v>
      </c>
      <c r="L213" s="27" t="s">
        <v>132</v>
      </c>
    </row>
    <row r="214" spans="3:12">
      <c r="C214" s="19" t="s">
        <v>73</v>
      </c>
      <c r="D214" s="19"/>
      <c r="E214" s="24">
        <v>0.04</v>
      </c>
      <c r="F214" s="24">
        <v>0.04</v>
      </c>
      <c r="G214" s="24">
        <v>0.04</v>
      </c>
      <c r="H214" s="24">
        <v>0.04</v>
      </c>
      <c r="I214" s="24">
        <v>0.04</v>
      </c>
      <c r="J214" s="19"/>
      <c r="K214" s="19"/>
      <c r="L214" s="27"/>
    </row>
    <row r="215" spans="3:12">
      <c r="C215" s="19" t="s">
        <v>74</v>
      </c>
      <c r="D215" s="19"/>
      <c r="E215" s="24">
        <v>0.05</v>
      </c>
      <c r="F215" s="24">
        <v>0.05</v>
      </c>
      <c r="G215" s="24">
        <v>0.05</v>
      </c>
      <c r="H215" s="24">
        <v>0.05</v>
      </c>
      <c r="I215" s="24">
        <v>0.05</v>
      </c>
      <c r="J215" s="19"/>
      <c r="K215" s="19"/>
      <c r="L215" s="27"/>
    </row>
    <row r="216" spans="3:12">
      <c r="C216" s="19" t="s">
        <v>75</v>
      </c>
      <c r="D216" s="19"/>
      <c r="E216" s="24">
        <v>0.03</v>
      </c>
      <c r="F216" s="24">
        <v>0.03</v>
      </c>
      <c r="G216" s="24">
        <v>0.03</v>
      </c>
      <c r="H216" s="24">
        <v>0.03</v>
      </c>
      <c r="I216" s="24">
        <v>0.03</v>
      </c>
      <c r="J216" s="19"/>
      <c r="K216" s="19"/>
      <c r="L216" s="27"/>
    </row>
    <row r="217" spans="3:12">
      <c r="C217" s="19"/>
      <c r="D217" s="19"/>
      <c r="E217" s="19"/>
      <c r="F217" s="19"/>
      <c r="G217" s="19"/>
      <c r="H217" s="19"/>
      <c r="I217" s="19"/>
      <c r="J217" s="19"/>
      <c r="K217" s="19"/>
      <c r="L217" s="27"/>
    </row>
    <row r="218" spans="3:12" ht="52" customHeight="1">
      <c r="C218" s="29" t="s">
        <v>133</v>
      </c>
      <c r="D218" s="21"/>
      <c r="E218" s="23">
        <f>CHOOSE($E$5,E219,E220,E221)</f>
        <v>1.7500000000000002E-2</v>
      </c>
      <c r="F218" s="23">
        <f>CHOOSE($E$5,F219,F220,F221)</f>
        <v>1.7500000000000002E-2</v>
      </c>
      <c r="G218" s="23">
        <f>CHOOSE($E$5,G219,G220,G221)</f>
        <v>1.7500000000000002E-2</v>
      </c>
      <c r="H218" s="23">
        <f>CHOOSE($E$5,H219,H220,H221)</f>
        <v>1.7500000000000002E-2</v>
      </c>
      <c r="I218" s="23">
        <f>CHOOSE($E$5,I219,I220,I221)</f>
        <v>1.7500000000000002E-2</v>
      </c>
      <c r="J218" s="19"/>
      <c r="K218" s="19" t="s">
        <v>71</v>
      </c>
      <c r="L218" s="27" t="s">
        <v>134</v>
      </c>
    </row>
    <row r="219" spans="3:12">
      <c r="C219" s="19" t="s">
        <v>73</v>
      </c>
      <c r="D219" s="19"/>
      <c r="E219" s="24">
        <v>1.7500000000000002E-2</v>
      </c>
      <c r="F219" s="24">
        <v>1.7500000000000002E-2</v>
      </c>
      <c r="G219" s="24">
        <v>1.7500000000000002E-2</v>
      </c>
      <c r="H219" s="24">
        <v>1.7500000000000002E-2</v>
      </c>
      <c r="I219" s="24">
        <v>1.7500000000000002E-2</v>
      </c>
      <c r="J219" s="19"/>
      <c r="K219" s="19"/>
      <c r="L219" s="27"/>
    </row>
    <row r="220" spans="3:12">
      <c r="C220" s="19" t="s">
        <v>74</v>
      </c>
      <c r="D220" s="19"/>
      <c r="E220" s="24">
        <v>1.7500000000000002E-2</v>
      </c>
      <c r="F220" s="24">
        <v>1.7500000000000002E-2</v>
      </c>
      <c r="G220" s="24">
        <v>1.7500000000000002E-2</v>
      </c>
      <c r="H220" s="24">
        <v>1.7500000000000002E-2</v>
      </c>
      <c r="I220" s="24">
        <v>1.7500000000000002E-2</v>
      </c>
      <c r="J220" s="19"/>
      <c r="K220" s="19"/>
      <c r="L220" s="27"/>
    </row>
    <row r="221" spans="3:12">
      <c r="C221" s="19" t="s">
        <v>75</v>
      </c>
      <c r="D221" s="19"/>
      <c r="E221" s="24">
        <v>1.7500000000000002E-2</v>
      </c>
      <c r="F221" s="24">
        <v>1.7500000000000002E-2</v>
      </c>
      <c r="G221" s="24">
        <v>1.7500000000000002E-2</v>
      </c>
      <c r="H221" s="24">
        <v>1.7500000000000002E-2</v>
      </c>
      <c r="I221" s="24">
        <v>1.7500000000000002E-2</v>
      </c>
      <c r="J221" s="19"/>
      <c r="K221" s="19"/>
      <c r="L221" s="27"/>
    </row>
    <row r="222" spans="3:12">
      <c r="C222" s="19"/>
      <c r="D222" s="19"/>
      <c r="E222" s="19"/>
      <c r="F222" s="19"/>
      <c r="G222" s="19"/>
      <c r="H222" s="19"/>
      <c r="I222" s="19"/>
      <c r="J222" s="19"/>
      <c r="K222" s="19"/>
      <c r="L222" s="27"/>
    </row>
    <row r="223" spans="3:12" ht="52" customHeight="1">
      <c r="C223" s="29" t="s">
        <v>135</v>
      </c>
      <c r="D223" s="21"/>
      <c r="E223" s="23">
        <f>CHOOSE($E$5,E224,E225,E226)</f>
        <v>2.5000000000000001E-2</v>
      </c>
      <c r="F223" s="23">
        <f>CHOOSE($E$5,F224,F225,F226)</f>
        <v>2.5000000000000001E-2</v>
      </c>
      <c r="G223" s="23">
        <f>CHOOSE($E$5,G224,G225,G226)</f>
        <v>2.5000000000000001E-2</v>
      </c>
      <c r="H223" s="23">
        <f>CHOOSE($E$5,H224,H225,H226)</f>
        <v>2.5000000000000001E-2</v>
      </c>
      <c r="I223" s="23">
        <f>CHOOSE($E$5,I224,I225,I226)</f>
        <v>2.5000000000000001E-2</v>
      </c>
      <c r="J223" s="19"/>
      <c r="K223" s="19" t="s">
        <v>71</v>
      </c>
      <c r="L223" s="27" t="s">
        <v>136</v>
      </c>
    </row>
    <row r="224" spans="3:12">
      <c r="C224" s="19" t="s">
        <v>73</v>
      </c>
      <c r="D224" s="19"/>
      <c r="E224" s="24">
        <v>2.5000000000000001E-2</v>
      </c>
      <c r="F224" s="24">
        <v>2.5000000000000001E-2</v>
      </c>
      <c r="G224" s="24">
        <v>2.5000000000000001E-2</v>
      </c>
      <c r="H224" s="24">
        <v>2.5000000000000001E-2</v>
      </c>
      <c r="I224" s="24">
        <v>2.5000000000000001E-2</v>
      </c>
      <c r="J224" s="19"/>
      <c r="K224" s="19"/>
      <c r="L224" s="27"/>
    </row>
    <row r="225" spans="3:12">
      <c r="C225" s="19" t="s">
        <v>74</v>
      </c>
      <c r="D225" s="19"/>
      <c r="E225" s="24">
        <v>0.03</v>
      </c>
      <c r="F225" s="24">
        <v>0.03</v>
      </c>
      <c r="G225" s="24">
        <v>0.03</v>
      </c>
      <c r="H225" s="24">
        <v>0.03</v>
      </c>
      <c r="I225" s="24">
        <v>0.03</v>
      </c>
      <c r="J225" s="19"/>
      <c r="K225" s="19"/>
      <c r="L225" s="27"/>
    </row>
    <row r="226" spans="3:12">
      <c r="C226" s="19" t="s">
        <v>75</v>
      </c>
      <c r="D226" s="19"/>
      <c r="E226" s="24">
        <v>0.02</v>
      </c>
      <c r="F226" s="24">
        <v>0.02</v>
      </c>
      <c r="G226" s="24">
        <v>0.02</v>
      </c>
      <c r="H226" s="24">
        <v>0.02</v>
      </c>
      <c r="I226" s="24">
        <v>0.02</v>
      </c>
      <c r="J226" s="19"/>
      <c r="K226" s="19"/>
      <c r="L226" s="27"/>
    </row>
    <row r="227" spans="3:12">
      <c r="C227" s="19"/>
      <c r="D227" s="19"/>
      <c r="E227" s="19"/>
      <c r="F227" s="19"/>
      <c r="G227" s="19"/>
      <c r="H227" s="19"/>
      <c r="I227" s="19"/>
      <c r="J227" s="19"/>
      <c r="K227" s="19"/>
      <c r="L227" s="27"/>
    </row>
    <row r="228" spans="3:12" ht="52" customHeight="1">
      <c r="C228" s="29" t="s">
        <v>137</v>
      </c>
      <c r="D228" s="21"/>
      <c r="E228" s="22">
        <f>CHOOSE($E$5,E229,E230,E231)</f>
        <v>1</v>
      </c>
      <c r="F228" s="22">
        <f>CHOOSE($E$5,F229,F230,F231)</f>
        <v>1</v>
      </c>
      <c r="G228" s="22">
        <f>CHOOSE($E$5,G229,G230,G231)</f>
        <v>1</v>
      </c>
      <c r="H228" s="22">
        <f>CHOOSE($E$5,H229,H230,H231)</f>
        <v>1</v>
      </c>
      <c r="I228" s="22">
        <f>CHOOSE($E$5,I229,I230,I231)</f>
        <v>1</v>
      </c>
      <c r="J228" s="19"/>
      <c r="K228" s="19" t="s">
        <v>71</v>
      </c>
      <c r="L228" s="27" t="s">
        <v>138</v>
      </c>
    </row>
    <row r="229" spans="3:12">
      <c r="C229" s="19" t="s">
        <v>73</v>
      </c>
      <c r="D229" s="19"/>
      <c r="E229" s="20">
        <v>1</v>
      </c>
      <c r="F229" s="20">
        <v>1</v>
      </c>
      <c r="G229" s="20">
        <v>1</v>
      </c>
      <c r="H229" s="20">
        <v>1</v>
      </c>
      <c r="I229" s="20">
        <v>1</v>
      </c>
      <c r="J229" s="19"/>
      <c r="K229" s="19"/>
      <c r="L229" s="27"/>
    </row>
    <row r="230" spans="3:12">
      <c r="C230" s="19" t="s">
        <v>74</v>
      </c>
      <c r="D230" s="19"/>
      <c r="E230" s="20">
        <v>1</v>
      </c>
      <c r="F230" s="20">
        <v>1</v>
      </c>
      <c r="G230" s="20">
        <v>1</v>
      </c>
      <c r="H230" s="20">
        <v>1</v>
      </c>
      <c r="I230" s="20">
        <v>1</v>
      </c>
      <c r="J230" s="19"/>
      <c r="K230" s="19"/>
      <c r="L230" s="27"/>
    </row>
    <row r="231" spans="3:12">
      <c r="C231" s="19" t="s">
        <v>75</v>
      </c>
      <c r="D231" s="19"/>
      <c r="E231" s="20">
        <v>2</v>
      </c>
      <c r="F231" s="20">
        <v>2</v>
      </c>
      <c r="G231" s="20">
        <v>2</v>
      </c>
      <c r="H231" s="20">
        <v>2</v>
      </c>
      <c r="I231" s="20">
        <v>2</v>
      </c>
      <c r="J231" s="19"/>
      <c r="K231" s="19"/>
      <c r="L231" s="27"/>
    </row>
    <row r="232" spans="3:12">
      <c r="C232" s="19"/>
      <c r="D232" s="19"/>
      <c r="E232" s="19"/>
      <c r="F232" s="19"/>
      <c r="G232" s="19"/>
      <c r="H232" s="19"/>
      <c r="I232" s="19"/>
      <c r="J232" s="19"/>
      <c r="K232" s="19"/>
      <c r="L232" s="27"/>
    </row>
    <row r="233" spans="3:12" ht="52" customHeight="1">
      <c r="C233" s="29" t="s">
        <v>139</v>
      </c>
      <c r="D233" s="21"/>
      <c r="E233" s="22">
        <f>CHOOSE($E$5,E234,E235,E236)</f>
        <v>0</v>
      </c>
      <c r="F233" s="22">
        <f>CHOOSE($E$5,F234,F235,F236)</f>
        <v>0</v>
      </c>
      <c r="G233" s="22">
        <f>CHOOSE($E$5,G234,G235,G236)</f>
        <v>0</v>
      </c>
      <c r="H233" s="22">
        <f>CHOOSE($E$5,H234,H235,H236)</f>
        <v>0</v>
      </c>
      <c r="I233" s="22">
        <f>CHOOSE($E$5,I234,I235,I236)</f>
        <v>0</v>
      </c>
      <c r="J233" s="19"/>
      <c r="K233" s="19" t="s">
        <v>71</v>
      </c>
      <c r="L233" s="27" t="s">
        <v>140</v>
      </c>
    </row>
    <row r="234" spans="3:12">
      <c r="C234" s="19" t="s">
        <v>73</v>
      </c>
      <c r="D234" s="19"/>
      <c r="E234" s="20">
        <v>0</v>
      </c>
      <c r="F234" s="20">
        <v>0</v>
      </c>
      <c r="G234" s="20">
        <v>0</v>
      </c>
      <c r="H234" s="20">
        <v>0</v>
      </c>
      <c r="I234" s="20">
        <v>0</v>
      </c>
      <c r="J234" s="19"/>
      <c r="K234" s="19"/>
      <c r="L234" s="27"/>
    </row>
    <row r="235" spans="3:12">
      <c r="C235" s="19" t="s">
        <v>74</v>
      </c>
      <c r="D235" s="19"/>
      <c r="E235" s="20">
        <v>10</v>
      </c>
      <c r="F235" s="20">
        <v>10</v>
      </c>
      <c r="G235" s="20">
        <v>10</v>
      </c>
      <c r="H235" s="20">
        <v>10</v>
      </c>
      <c r="I235" s="20">
        <v>10</v>
      </c>
      <c r="J235" s="19"/>
      <c r="K235" s="19"/>
      <c r="L235" s="27"/>
    </row>
    <row r="236" spans="3:12">
      <c r="C236" s="19" t="s">
        <v>75</v>
      </c>
      <c r="D236" s="19"/>
      <c r="E236" s="20">
        <v>0</v>
      </c>
      <c r="F236" s="20">
        <v>0</v>
      </c>
      <c r="G236" s="20">
        <v>0</v>
      </c>
      <c r="H236" s="20">
        <v>0</v>
      </c>
      <c r="I236" s="20">
        <v>0</v>
      </c>
      <c r="J236" s="19"/>
      <c r="K236" s="19"/>
      <c r="L236" s="27"/>
    </row>
    <row r="237" spans="3:12">
      <c r="C237" s="19"/>
      <c r="D237" s="19"/>
      <c r="E237" s="19"/>
      <c r="F237" s="19"/>
      <c r="G237" s="19"/>
      <c r="H237" s="19"/>
      <c r="I237" s="19"/>
      <c r="J237" s="19"/>
      <c r="K237" s="19"/>
      <c r="L237" s="27"/>
    </row>
    <row r="238" spans="3:12" ht="52" customHeight="1">
      <c r="C238" s="29" t="s">
        <v>141</v>
      </c>
      <c r="D238" s="21"/>
      <c r="E238" s="22">
        <f>CHOOSE($E$5,E239,E240,E241)</f>
        <v>25</v>
      </c>
      <c r="F238" s="22">
        <f>CHOOSE($E$5,F239,F240,F241)</f>
        <v>25</v>
      </c>
      <c r="G238" s="22">
        <f>CHOOSE($E$5,G239,G240,G241)</f>
        <v>25</v>
      </c>
      <c r="H238" s="22">
        <f>CHOOSE($E$5,H239,H240,H241)</f>
        <v>25</v>
      </c>
      <c r="I238" s="22">
        <f>CHOOSE($E$5,I239,I240,I241)</f>
        <v>25</v>
      </c>
      <c r="J238" s="19"/>
      <c r="K238" s="19" t="s">
        <v>71</v>
      </c>
      <c r="L238" s="27" t="s">
        <v>142</v>
      </c>
    </row>
    <row r="239" spans="3:12">
      <c r="C239" s="19" t="s">
        <v>73</v>
      </c>
      <c r="D239" s="19"/>
      <c r="E239" s="20">
        <v>25</v>
      </c>
      <c r="F239" s="20">
        <v>25</v>
      </c>
      <c r="G239" s="20">
        <v>25</v>
      </c>
      <c r="H239" s="20">
        <v>25</v>
      </c>
      <c r="I239" s="20">
        <v>25</v>
      </c>
      <c r="J239" s="19"/>
      <c r="K239" s="19"/>
      <c r="L239" s="27"/>
    </row>
    <row r="240" spans="3:12">
      <c r="C240" s="19" t="s">
        <v>74</v>
      </c>
      <c r="D240" s="19"/>
      <c r="E240" s="20">
        <v>40</v>
      </c>
      <c r="F240" s="20">
        <v>40</v>
      </c>
      <c r="G240" s="20">
        <v>40</v>
      </c>
      <c r="H240" s="20">
        <v>40</v>
      </c>
      <c r="I240" s="20">
        <v>40</v>
      </c>
      <c r="J240" s="19"/>
      <c r="K240" s="19"/>
      <c r="L240" s="27"/>
    </row>
    <row r="241" spans="3:12">
      <c r="C241" s="19" t="s">
        <v>75</v>
      </c>
      <c r="D241" s="19"/>
      <c r="E241" s="20">
        <v>15</v>
      </c>
      <c r="F241" s="20">
        <v>15</v>
      </c>
      <c r="G241" s="20">
        <v>15</v>
      </c>
      <c r="H241" s="20">
        <v>15</v>
      </c>
      <c r="I241" s="20">
        <v>15</v>
      </c>
      <c r="J241" s="19"/>
      <c r="K241" s="19"/>
      <c r="L241" s="27"/>
    </row>
    <row r="242" spans="3:12">
      <c r="C242" s="19"/>
      <c r="D242" s="19"/>
      <c r="E242" s="19"/>
      <c r="F242" s="19"/>
      <c r="G242" s="19"/>
      <c r="H242" s="19"/>
      <c r="I242" s="19"/>
      <c r="J242" s="19"/>
      <c r="K242" s="19"/>
      <c r="L242" s="27"/>
    </row>
    <row r="243" spans="3:12" ht="52" customHeight="1">
      <c r="C243" s="29" t="s">
        <v>143</v>
      </c>
      <c r="D243" s="21"/>
      <c r="E243" s="22">
        <f>CHOOSE($E$5,E244,E245,E246)</f>
        <v>5</v>
      </c>
      <c r="F243" s="22">
        <f>CHOOSE($E$5,F244,F245,F246)</f>
        <v>5</v>
      </c>
      <c r="G243" s="22">
        <f>CHOOSE($E$5,G244,G245,G246)</f>
        <v>5</v>
      </c>
      <c r="H243" s="22">
        <f>CHOOSE($E$5,H244,H245,H246)</f>
        <v>5</v>
      </c>
      <c r="I243" s="22">
        <f>CHOOSE($E$5,I244,I245,I246)</f>
        <v>5</v>
      </c>
      <c r="J243" s="19"/>
      <c r="K243" s="19" t="s">
        <v>71</v>
      </c>
      <c r="L243" s="27" t="s">
        <v>144</v>
      </c>
    </row>
    <row r="244" spans="3:12">
      <c r="C244" s="19" t="s">
        <v>73</v>
      </c>
      <c r="D244" s="19"/>
      <c r="E244" s="20">
        <v>5</v>
      </c>
      <c r="F244" s="20">
        <v>5</v>
      </c>
      <c r="G244" s="20">
        <v>5</v>
      </c>
      <c r="H244" s="20">
        <v>5</v>
      </c>
      <c r="I244" s="20">
        <v>5</v>
      </c>
      <c r="J244" s="19"/>
      <c r="K244" s="19"/>
      <c r="L244" s="27"/>
    </row>
    <row r="245" spans="3:12">
      <c r="C245" s="19" t="s">
        <v>74</v>
      </c>
      <c r="D245" s="19"/>
      <c r="E245" s="20">
        <v>15</v>
      </c>
      <c r="F245" s="20">
        <v>15</v>
      </c>
      <c r="G245" s="20">
        <v>15</v>
      </c>
      <c r="H245" s="20">
        <v>15</v>
      </c>
      <c r="I245" s="20">
        <v>15</v>
      </c>
      <c r="J245" s="19"/>
      <c r="K245" s="19"/>
      <c r="L245" s="27"/>
    </row>
    <row r="246" spans="3:12">
      <c r="C246" s="19" t="s">
        <v>75</v>
      </c>
      <c r="D246" s="19"/>
      <c r="E246" s="20">
        <v>0</v>
      </c>
      <c r="F246" s="20">
        <v>0</v>
      </c>
      <c r="G246" s="20">
        <v>0</v>
      </c>
      <c r="H246" s="20">
        <v>0</v>
      </c>
      <c r="I246" s="20">
        <v>0</v>
      </c>
      <c r="J246" s="19"/>
      <c r="K246" s="19"/>
      <c r="L246" s="27"/>
    </row>
    <row r="247" spans="3:12">
      <c r="C247" s="19"/>
      <c r="D247" s="19"/>
      <c r="E247" s="19"/>
      <c r="F247" s="19"/>
      <c r="G247" s="19"/>
      <c r="H247" s="19"/>
      <c r="I247" s="19"/>
      <c r="J247" s="19"/>
      <c r="K247" s="19"/>
      <c r="L247" s="27"/>
    </row>
    <row r="248" spans="3:12" ht="52" customHeight="1">
      <c r="C248" s="29" t="s">
        <v>145</v>
      </c>
      <c r="D248" s="21"/>
      <c r="E248" s="22">
        <f>CHOOSE($E$5,E249,E250,E251)</f>
        <v>-15</v>
      </c>
      <c r="F248" s="22">
        <f>CHOOSE($E$5,F249,F250,F251)</f>
        <v>-15</v>
      </c>
      <c r="G248" s="22">
        <f>CHOOSE($E$5,G249,G250,G251)</f>
        <v>-15</v>
      </c>
      <c r="H248" s="22">
        <f>CHOOSE($E$5,H249,H250,H251)</f>
        <v>-15</v>
      </c>
      <c r="I248" s="22">
        <f>CHOOSE($E$5,I249,I250,I251)</f>
        <v>-15</v>
      </c>
      <c r="J248" s="19"/>
      <c r="K248" s="19" t="s">
        <v>71</v>
      </c>
      <c r="L248" s="27" t="s">
        <v>146</v>
      </c>
    </row>
    <row r="249" spans="3:12">
      <c r="C249" s="19" t="s">
        <v>73</v>
      </c>
      <c r="D249" s="19"/>
      <c r="E249" s="20">
        <v>-15</v>
      </c>
      <c r="F249" s="20">
        <v>-15</v>
      </c>
      <c r="G249" s="20">
        <v>-15</v>
      </c>
      <c r="H249" s="20">
        <v>-15</v>
      </c>
      <c r="I249" s="20">
        <v>-15</v>
      </c>
      <c r="J249" s="19"/>
      <c r="K249" s="19"/>
      <c r="L249" s="27"/>
    </row>
    <row r="250" spans="3:12">
      <c r="C250" s="19" t="s">
        <v>74</v>
      </c>
      <c r="D250" s="19"/>
      <c r="E250" s="20">
        <v>-35</v>
      </c>
      <c r="F250" s="20">
        <v>-35</v>
      </c>
      <c r="G250" s="20">
        <v>-35</v>
      </c>
      <c r="H250" s="20">
        <v>-35</v>
      </c>
      <c r="I250" s="20">
        <v>-35</v>
      </c>
      <c r="J250" s="19"/>
      <c r="K250" s="19"/>
      <c r="L250" s="27"/>
    </row>
    <row r="251" spans="3:12">
      <c r="C251" s="19" t="s">
        <v>75</v>
      </c>
      <c r="D251" s="19"/>
      <c r="E251" s="20">
        <v>0</v>
      </c>
      <c r="F251" s="20">
        <v>0</v>
      </c>
      <c r="G251" s="20">
        <v>0</v>
      </c>
      <c r="H251" s="20">
        <v>0</v>
      </c>
      <c r="I251" s="20">
        <v>0</v>
      </c>
      <c r="J251" s="19"/>
      <c r="K251" s="19"/>
      <c r="L251" s="27"/>
    </row>
    <row r="252" spans="3:12">
      <c r="C252" s="19"/>
      <c r="D252" s="19"/>
      <c r="E252" s="19"/>
      <c r="F252" s="19"/>
      <c r="G252" s="19"/>
      <c r="H252" s="19"/>
      <c r="I252" s="19"/>
      <c r="J252" s="19"/>
      <c r="K252" s="19"/>
      <c r="L252" s="27"/>
    </row>
    <row r="253" spans="3:12" ht="52" customHeight="1">
      <c r="C253" s="29" t="s">
        <v>147</v>
      </c>
      <c r="D253" s="21"/>
      <c r="E253" s="22">
        <f>CHOOSE($E$5,E254,E255,E256)</f>
        <v>0</v>
      </c>
      <c r="F253" s="22">
        <f>CHOOSE($E$5,F254,F255,F256)</f>
        <v>0</v>
      </c>
      <c r="G253" s="22">
        <f>CHOOSE($E$5,G254,G255,G256)</f>
        <v>0</v>
      </c>
      <c r="H253" s="22">
        <f>CHOOSE($E$5,H254,H255,H256)</f>
        <v>0</v>
      </c>
      <c r="I253" s="22">
        <f>CHOOSE($E$5,I254,I255,I256)</f>
        <v>0</v>
      </c>
      <c r="J253" s="19"/>
      <c r="K253" s="19" t="s">
        <v>71</v>
      </c>
      <c r="L253" s="27" t="s">
        <v>148</v>
      </c>
    </row>
    <row r="254" spans="3:12">
      <c r="C254" s="19" t="s">
        <v>73</v>
      </c>
      <c r="D254" s="19"/>
      <c r="E254" s="20">
        <v>0</v>
      </c>
      <c r="F254" s="20">
        <v>0</v>
      </c>
      <c r="G254" s="20">
        <v>0</v>
      </c>
      <c r="H254" s="20">
        <v>0</v>
      </c>
      <c r="I254" s="20">
        <v>0</v>
      </c>
      <c r="J254" s="19"/>
      <c r="K254" s="19"/>
      <c r="L254" s="27"/>
    </row>
    <row r="255" spans="3:12">
      <c r="C255" s="19" t="s">
        <v>74</v>
      </c>
      <c r="D255" s="19"/>
      <c r="E255" s="20">
        <v>-10</v>
      </c>
      <c r="F255" s="20">
        <v>-10</v>
      </c>
      <c r="G255" s="20">
        <v>-10</v>
      </c>
      <c r="H255" s="20">
        <v>-10</v>
      </c>
      <c r="I255" s="20">
        <v>-10</v>
      </c>
      <c r="J255" s="19"/>
      <c r="K255" s="19"/>
      <c r="L255" s="27"/>
    </row>
    <row r="256" spans="3:12">
      <c r="C256" s="19" t="s">
        <v>75</v>
      </c>
      <c r="D256" s="19"/>
      <c r="E256" s="20">
        <v>10</v>
      </c>
      <c r="F256" s="20">
        <v>10</v>
      </c>
      <c r="G256" s="20">
        <v>10</v>
      </c>
      <c r="H256" s="20">
        <v>10</v>
      </c>
      <c r="I256" s="20">
        <v>10</v>
      </c>
      <c r="J256" s="19"/>
      <c r="K256" s="19"/>
      <c r="L256" s="27"/>
    </row>
    <row r="257" spans="3:12">
      <c r="C257" s="19"/>
      <c r="D257" s="19"/>
      <c r="E257" s="19"/>
      <c r="F257" s="19"/>
      <c r="G257" s="19"/>
      <c r="H257" s="19"/>
      <c r="I257" s="19"/>
      <c r="J257" s="19"/>
      <c r="K257" s="19"/>
      <c r="L257" s="27"/>
    </row>
    <row r="258" spans="3:12" ht="52" customHeight="1">
      <c r="C258" s="29" t="s">
        <v>149</v>
      </c>
      <c r="D258" s="21"/>
      <c r="E258" s="22">
        <f>CHOOSE($E$5,E259,E260,E261)</f>
        <v>3</v>
      </c>
      <c r="F258" s="22">
        <f>CHOOSE($E$5,F259,F260,F261)</f>
        <v>3</v>
      </c>
      <c r="G258" s="22">
        <f>CHOOSE($E$5,G259,G260,G261)</f>
        <v>3</v>
      </c>
      <c r="H258" s="22">
        <f>CHOOSE($E$5,H259,H260,H261)</f>
        <v>3</v>
      </c>
      <c r="I258" s="22">
        <f>CHOOSE($E$5,I259,I260,I261)</f>
        <v>3</v>
      </c>
      <c r="J258" s="19"/>
      <c r="K258" s="19" t="s">
        <v>71</v>
      </c>
      <c r="L258" s="27" t="s">
        <v>150</v>
      </c>
    </row>
    <row r="259" spans="3:12">
      <c r="C259" s="19" t="s">
        <v>73</v>
      </c>
      <c r="D259" s="19"/>
      <c r="E259" s="20">
        <v>3</v>
      </c>
      <c r="F259" s="20">
        <v>3</v>
      </c>
      <c r="G259" s="20">
        <v>3</v>
      </c>
      <c r="H259" s="20">
        <v>3</v>
      </c>
      <c r="I259" s="20">
        <v>3</v>
      </c>
      <c r="J259" s="19"/>
      <c r="K259" s="19"/>
      <c r="L259" s="27"/>
    </row>
    <row r="260" spans="3:12">
      <c r="C260" s="19" t="s">
        <v>74</v>
      </c>
      <c r="D260" s="19"/>
      <c r="E260" s="20">
        <v>6</v>
      </c>
      <c r="F260" s="20">
        <v>6</v>
      </c>
      <c r="G260" s="20">
        <v>6</v>
      </c>
      <c r="H260" s="20">
        <v>6</v>
      </c>
      <c r="I260" s="20">
        <v>6</v>
      </c>
      <c r="J260" s="19"/>
      <c r="K260" s="19"/>
      <c r="L260" s="27"/>
    </row>
    <row r="261" spans="3:12">
      <c r="C261" s="19" t="s">
        <v>75</v>
      </c>
      <c r="D261" s="19"/>
      <c r="E261" s="20">
        <v>1</v>
      </c>
      <c r="F261" s="20">
        <v>1</v>
      </c>
      <c r="G261" s="20">
        <v>1</v>
      </c>
      <c r="H261" s="20">
        <v>1</v>
      </c>
      <c r="I261" s="20">
        <v>1</v>
      </c>
      <c r="J261" s="19"/>
      <c r="K261" s="19"/>
      <c r="L261" s="27"/>
    </row>
    <row r="262" spans="3:12">
      <c r="C262" s="19"/>
      <c r="D262" s="19"/>
      <c r="E262" s="19"/>
      <c r="F262" s="19"/>
      <c r="G262" s="19"/>
      <c r="H262" s="19"/>
      <c r="I262" s="19"/>
      <c r="J262" s="19"/>
      <c r="K262" s="19"/>
      <c r="L262" s="27"/>
    </row>
    <row r="263" spans="3:12" ht="52" customHeight="1">
      <c r="C263" s="29" t="s">
        <v>151</v>
      </c>
      <c r="D263" s="21"/>
      <c r="E263" s="22">
        <f>CHOOSE($E$5,E264,E265,E266)</f>
        <v>0</v>
      </c>
      <c r="F263" s="22">
        <f>CHOOSE($E$5,F264,F265,F266)</f>
        <v>0</v>
      </c>
      <c r="G263" s="22">
        <f>CHOOSE($E$5,G264,G265,G266)</f>
        <v>0</v>
      </c>
      <c r="H263" s="22">
        <f>CHOOSE($E$5,H264,H265,H266)</f>
        <v>0</v>
      </c>
      <c r="I263" s="22">
        <f>CHOOSE($E$5,I264,I265,I266)</f>
        <v>0</v>
      </c>
      <c r="J263" s="19"/>
      <c r="K263" s="19" t="s">
        <v>71</v>
      </c>
      <c r="L263" s="27" t="s">
        <v>152</v>
      </c>
    </row>
    <row r="264" spans="3:12">
      <c r="C264" s="19" t="s">
        <v>73</v>
      </c>
      <c r="D264" s="19"/>
      <c r="E264" s="20">
        <v>0</v>
      </c>
      <c r="F264" s="20">
        <v>0</v>
      </c>
      <c r="G264" s="20">
        <v>0</v>
      </c>
      <c r="H264" s="20">
        <v>0</v>
      </c>
      <c r="I264" s="20">
        <v>0</v>
      </c>
      <c r="J264" s="19"/>
      <c r="K264" s="19"/>
      <c r="L264" s="27"/>
    </row>
    <row r="265" spans="3:12">
      <c r="C265" s="19" t="s">
        <v>74</v>
      </c>
      <c r="D265" s="19"/>
      <c r="E265" s="20">
        <v>5</v>
      </c>
      <c r="F265" s="20">
        <v>5</v>
      </c>
      <c r="G265" s="20">
        <v>5</v>
      </c>
      <c r="H265" s="20">
        <v>5</v>
      </c>
      <c r="I265" s="20">
        <v>5</v>
      </c>
      <c r="J265" s="19"/>
      <c r="K265" s="19"/>
      <c r="L265" s="27"/>
    </row>
    <row r="266" spans="3:12">
      <c r="C266" s="19" t="s">
        <v>75</v>
      </c>
      <c r="D266" s="19"/>
      <c r="E266" s="20">
        <v>0</v>
      </c>
      <c r="F266" s="20">
        <v>0</v>
      </c>
      <c r="G266" s="20">
        <v>0</v>
      </c>
      <c r="H266" s="20">
        <v>0</v>
      </c>
      <c r="I266" s="20">
        <v>0</v>
      </c>
      <c r="J266" s="19"/>
      <c r="K266" s="19"/>
      <c r="L266" s="27"/>
    </row>
    <row r="267" spans="3:12">
      <c r="C267" s="19"/>
      <c r="D267" s="19"/>
      <c r="E267" s="19"/>
      <c r="F267" s="19"/>
      <c r="G267" s="19"/>
      <c r="H267" s="19"/>
      <c r="I267" s="19"/>
      <c r="J267" s="19"/>
      <c r="K267" s="19"/>
      <c r="L267" s="27"/>
    </row>
    <row r="268" spans="3:12" ht="52" customHeight="1">
      <c r="C268" s="29" t="s">
        <v>153</v>
      </c>
      <c r="D268" s="21"/>
      <c r="E268" s="22">
        <f>CHOOSE($E$5,E269,E270,E271)</f>
        <v>700</v>
      </c>
      <c r="F268" s="22">
        <f>CHOOSE($E$5,F269,F270,F271)</f>
        <v>700</v>
      </c>
      <c r="G268" s="22">
        <f>CHOOSE($E$5,G269,G270,G271)</f>
        <v>700</v>
      </c>
      <c r="H268" s="22">
        <f>CHOOSE($E$5,H269,H270,H271)</f>
        <v>700</v>
      </c>
      <c r="I268" s="22">
        <f>CHOOSE($E$5,I269,I270,I271)</f>
        <v>700</v>
      </c>
      <c r="J268" s="19"/>
      <c r="K268" s="19" t="s">
        <v>71</v>
      </c>
      <c r="L268" s="27" t="s">
        <v>154</v>
      </c>
    </row>
    <row r="269" spans="3:12">
      <c r="C269" s="19" t="s">
        <v>73</v>
      </c>
      <c r="D269" s="19"/>
      <c r="E269" s="20">
        <v>700</v>
      </c>
      <c r="F269" s="20">
        <v>700</v>
      </c>
      <c r="G269" s="20">
        <v>700</v>
      </c>
      <c r="H269" s="20">
        <v>700</v>
      </c>
      <c r="I269" s="20">
        <v>700</v>
      </c>
      <c r="J269" s="19"/>
      <c r="K269" s="19"/>
      <c r="L269" s="27"/>
    </row>
    <row r="270" spans="3:12">
      <c r="C270" s="19" t="s">
        <v>74</v>
      </c>
      <c r="D270" s="19"/>
      <c r="E270" s="20">
        <v>450</v>
      </c>
      <c r="F270" s="20">
        <v>450</v>
      </c>
      <c r="G270" s="20">
        <v>450</v>
      </c>
      <c r="H270" s="20">
        <v>450</v>
      </c>
      <c r="I270" s="20">
        <v>450</v>
      </c>
      <c r="J270" s="19"/>
      <c r="K270" s="19"/>
      <c r="L270" s="27"/>
    </row>
    <row r="271" spans="3:12">
      <c r="C271" s="19" t="s">
        <v>75</v>
      </c>
      <c r="D271" s="19"/>
      <c r="E271" s="20">
        <v>950</v>
      </c>
      <c r="F271" s="20">
        <v>950</v>
      </c>
      <c r="G271" s="20">
        <v>950</v>
      </c>
      <c r="H271" s="20">
        <v>950</v>
      </c>
      <c r="I271" s="20">
        <v>950</v>
      </c>
      <c r="J271" s="19"/>
      <c r="K271" s="19"/>
      <c r="L271" s="27"/>
    </row>
    <row r="272" spans="3:12">
      <c r="C272" s="19"/>
      <c r="D272" s="19"/>
      <c r="E272" s="19"/>
      <c r="F272" s="19"/>
      <c r="G272" s="19"/>
      <c r="H272" s="19"/>
      <c r="I272" s="19"/>
      <c r="J272" s="19"/>
      <c r="K272" s="19"/>
      <c r="L272" s="27"/>
    </row>
    <row r="273" spans="3:12" ht="52" customHeight="1">
      <c r="C273" s="29" t="s">
        <v>155</v>
      </c>
      <c r="D273" s="21"/>
      <c r="E273" s="23">
        <f>CHOOSE($E$5,E274,E275,E276)</f>
        <v>1</v>
      </c>
      <c r="F273" s="23">
        <f>CHOOSE($E$5,F274,F275,F276)</f>
        <v>1</v>
      </c>
      <c r="G273" s="23">
        <f>CHOOSE($E$5,G274,G275,G276)</f>
        <v>1</v>
      </c>
      <c r="H273" s="23">
        <f>CHOOSE($E$5,H274,H275,H276)</f>
        <v>1</v>
      </c>
      <c r="I273" s="23">
        <f>CHOOSE($E$5,I274,I275,I276)</f>
        <v>1</v>
      </c>
      <c r="J273" s="19"/>
      <c r="K273" s="19" t="s">
        <v>71</v>
      </c>
      <c r="L273" s="27" t="s">
        <v>156</v>
      </c>
    </row>
    <row r="274" spans="3:12">
      <c r="C274" s="19" t="s">
        <v>73</v>
      </c>
      <c r="D274" s="19"/>
      <c r="E274" s="24">
        <v>1</v>
      </c>
      <c r="F274" s="24">
        <v>1</v>
      </c>
      <c r="G274" s="24">
        <v>1</v>
      </c>
      <c r="H274" s="24">
        <v>1</v>
      </c>
      <c r="I274" s="24">
        <v>1</v>
      </c>
      <c r="J274" s="19"/>
      <c r="K274" s="19"/>
      <c r="L274" s="27"/>
    </row>
    <row r="275" spans="3:12">
      <c r="C275" s="19" t="s">
        <v>74</v>
      </c>
      <c r="D275" s="19"/>
      <c r="E275" s="24">
        <v>0.75</v>
      </c>
      <c r="F275" s="24">
        <v>0.75</v>
      </c>
      <c r="G275" s="24">
        <v>0.75</v>
      </c>
      <c r="H275" s="24">
        <v>0.75</v>
      </c>
      <c r="I275" s="24">
        <v>0.75</v>
      </c>
      <c r="J275" s="19"/>
      <c r="K275" s="19"/>
      <c r="L275" s="27"/>
    </row>
    <row r="276" spans="3:12">
      <c r="C276" s="19" t="s">
        <v>75</v>
      </c>
      <c r="D276" s="19"/>
      <c r="E276" s="24">
        <v>1</v>
      </c>
      <c r="F276" s="24">
        <v>1</v>
      </c>
      <c r="G276" s="24">
        <v>1</v>
      </c>
      <c r="H276" s="24">
        <v>1</v>
      </c>
      <c r="I276" s="24">
        <v>1</v>
      </c>
      <c r="J276" s="19"/>
      <c r="K276" s="19"/>
      <c r="L276" s="27"/>
    </row>
    <row r="277" spans="3:12">
      <c r="C277" s="19"/>
      <c r="D277" s="19"/>
      <c r="E277" s="19"/>
      <c r="F277" s="19"/>
      <c r="G277" s="19"/>
      <c r="H277" s="19"/>
      <c r="I277" s="19"/>
      <c r="J277" s="19"/>
      <c r="K277" s="19"/>
      <c r="L277" s="27"/>
    </row>
    <row r="278" spans="3:12" ht="52" customHeight="1">
      <c r="C278" s="29" t="s">
        <v>157</v>
      </c>
      <c r="D278" s="21"/>
      <c r="E278" s="22">
        <f>CHOOSE($E$5,E279,E280,E281)</f>
        <v>0</v>
      </c>
      <c r="F278" s="22">
        <f>CHOOSE($E$5,F279,F280,F281)</f>
        <v>0</v>
      </c>
      <c r="G278" s="22">
        <f>CHOOSE($E$5,G279,G280,G281)</f>
        <v>0</v>
      </c>
      <c r="H278" s="22">
        <f>CHOOSE($E$5,H279,H280,H281)</f>
        <v>0</v>
      </c>
      <c r="I278" s="22">
        <f>CHOOSE($E$5,I279,I280,I281)</f>
        <v>0</v>
      </c>
      <c r="J278" s="19"/>
      <c r="K278" s="19" t="s">
        <v>71</v>
      </c>
      <c r="L278" s="27" t="s">
        <v>158</v>
      </c>
    </row>
    <row r="279" spans="3:12">
      <c r="C279" s="19" t="s">
        <v>73</v>
      </c>
      <c r="D279" s="19"/>
      <c r="E279" s="20">
        <v>0</v>
      </c>
      <c r="F279" s="20">
        <v>0</v>
      </c>
      <c r="G279" s="20">
        <v>0</v>
      </c>
      <c r="H279" s="20">
        <v>0</v>
      </c>
      <c r="I279" s="20">
        <v>0</v>
      </c>
      <c r="J279" s="19"/>
      <c r="K279" s="19"/>
      <c r="L279" s="27"/>
    </row>
    <row r="280" spans="3:12">
      <c r="C280" s="19" t="s">
        <v>74</v>
      </c>
      <c r="D280" s="19"/>
      <c r="E280" s="20">
        <v>30</v>
      </c>
      <c r="F280" s="20">
        <v>30</v>
      </c>
      <c r="G280" s="20">
        <v>30</v>
      </c>
      <c r="H280" s="20">
        <v>30</v>
      </c>
      <c r="I280" s="20">
        <v>30</v>
      </c>
      <c r="J280" s="19"/>
      <c r="K280" s="19"/>
      <c r="L280" s="27"/>
    </row>
    <row r="281" spans="3:12">
      <c r="C281" s="19" t="s">
        <v>75</v>
      </c>
      <c r="D281" s="19"/>
      <c r="E281" s="20">
        <v>0</v>
      </c>
      <c r="F281" s="20">
        <v>0</v>
      </c>
      <c r="G281" s="20">
        <v>0</v>
      </c>
      <c r="H281" s="20">
        <v>0</v>
      </c>
      <c r="I281" s="20">
        <v>0</v>
      </c>
      <c r="J281" s="19"/>
      <c r="K281" s="19"/>
      <c r="L281" s="27"/>
    </row>
    <row r="282" spans="3:12">
      <c r="C282" s="19"/>
      <c r="D282" s="19"/>
      <c r="E282" s="19"/>
      <c r="F282" s="19"/>
      <c r="G282" s="19"/>
      <c r="H282" s="19"/>
      <c r="I282" s="19"/>
      <c r="J282" s="19"/>
      <c r="K282" s="19"/>
      <c r="L282" s="27"/>
    </row>
    <row r="283" spans="3:12" ht="52" customHeight="1">
      <c r="C283" s="29" t="s">
        <v>159</v>
      </c>
      <c r="D283" s="21"/>
      <c r="E283" s="23">
        <f>CHOOSE($E$5,E284,E285,E286)</f>
        <v>0.02</v>
      </c>
      <c r="F283" s="23">
        <f>CHOOSE($E$5,F284,F285,F286)</f>
        <v>0.02</v>
      </c>
      <c r="G283" s="23">
        <f>CHOOSE($E$5,G284,G285,G286)</f>
        <v>0.02</v>
      </c>
      <c r="H283" s="23">
        <f>CHOOSE($E$5,H284,H285,H286)</f>
        <v>0.02</v>
      </c>
      <c r="I283" s="23">
        <f>CHOOSE($E$5,I284,I285,I286)</f>
        <v>0.02</v>
      </c>
      <c r="J283" s="19"/>
      <c r="K283" s="19" t="s">
        <v>71</v>
      </c>
      <c r="L283" s="27" t="s">
        <v>160</v>
      </c>
    </row>
    <row r="284" spans="3:12">
      <c r="C284" s="19" t="s">
        <v>73</v>
      </c>
      <c r="D284" s="19"/>
      <c r="E284" s="24">
        <v>0.02</v>
      </c>
      <c r="F284" s="24">
        <v>0.02</v>
      </c>
      <c r="G284" s="24">
        <v>0.02</v>
      </c>
      <c r="H284" s="24">
        <v>0.02</v>
      </c>
      <c r="I284" s="24">
        <v>0.02</v>
      </c>
      <c r="J284" s="19"/>
      <c r="K284" s="19"/>
      <c r="L284" s="27"/>
    </row>
    <row r="285" spans="3:12">
      <c r="C285" s="19" t="s">
        <v>74</v>
      </c>
      <c r="D285" s="19"/>
      <c r="E285" s="24">
        <v>0</v>
      </c>
      <c r="F285" s="24">
        <v>0</v>
      </c>
      <c r="G285" s="24">
        <v>0</v>
      </c>
      <c r="H285" s="24">
        <v>0</v>
      </c>
      <c r="I285" s="24">
        <v>0</v>
      </c>
      <c r="J285" s="19"/>
      <c r="K285" s="19"/>
      <c r="L285" s="27"/>
    </row>
    <row r="286" spans="3:12">
      <c r="C286" s="19" t="s">
        <v>75</v>
      </c>
      <c r="D286" s="19"/>
      <c r="E286" s="24">
        <v>0.04</v>
      </c>
      <c r="F286" s="24">
        <v>0.04</v>
      </c>
      <c r="G286" s="24">
        <v>0.04</v>
      </c>
      <c r="H286" s="24">
        <v>0.04</v>
      </c>
      <c r="I286" s="24">
        <v>0.04</v>
      </c>
      <c r="J286" s="19"/>
      <c r="K286" s="19"/>
      <c r="L286" s="27"/>
    </row>
    <row r="287" spans="3:12">
      <c r="C287" s="19"/>
      <c r="D287" s="19"/>
      <c r="E287" s="19"/>
      <c r="F287" s="19"/>
      <c r="G287" s="19"/>
      <c r="H287" s="19"/>
      <c r="I287" s="19"/>
      <c r="J287" s="19"/>
      <c r="K287" s="19"/>
      <c r="L287" s="27"/>
    </row>
    <row r="288" spans="3:12" ht="52" customHeight="1">
      <c r="C288" s="29" t="s">
        <v>161</v>
      </c>
      <c r="D288" s="21"/>
      <c r="E288" s="22">
        <f>CHOOSE($E$5,E289,E290,E291)</f>
        <v>35</v>
      </c>
      <c r="F288" s="22">
        <f>CHOOSE($E$5,F289,F290,F291)</f>
        <v>35</v>
      </c>
      <c r="G288" s="22">
        <f>CHOOSE($E$5,G289,G290,G291)</f>
        <v>35</v>
      </c>
      <c r="H288" s="22">
        <f>CHOOSE($E$5,H289,H290,H291)</f>
        <v>35</v>
      </c>
      <c r="I288" s="22">
        <f>CHOOSE($E$5,I289,I290,I291)</f>
        <v>35</v>
      </c>
      <c r="J288" s="19"/>
      <c r="K288" s="19" t="s">
        <v>71</v>
      </c>
      <c r="L288" s="27" t="s">
        <v>162</v>
      </c>
    </row>
    <row r="289" spans="3:12">
      <c r="C289" s="19" t="s">
        <v>73</v>
      </c>
      <c r="D289" s="19"/>
      <c r="E289" s="20">
        <v>35</v>
      </c>
      <c r="F289" s="20">
        <v>35</v>
      </c>
      <c r="G289" s="20">
        <v>35</v>
      </c>
      <c r="H289" s="20">
        <v>35</v>
      </c>
      <c r="I289" s="20">
        <v>35</v>
      </c>
      <c r="J289" s="19"/>
      <c r="K289" s="19"/>
      <c r="L289" s="27"/>
    </row>
    <row r="290" spans="3:12">
      <c r="C290" s="19" t="s">
        <v>74</v>
      </c>
      <c r="D290" s="19"/>
      <c r="E290" s="20">
        <v>20</v>
      </c>
      <c r="F290" s="20">
        <v>20</v>
      </c>
      <c r="G290" s="20">
        <v>20</v>
      </c>
      <c r="H290" s="20">
        <v>20</v>
      </c>
      <c r="I290" s="20">
        <v>20</v>
      </c>
      <c r="J290" s="19"/>
      <c r="K290" s="19"/>
      <c r="L290" s="27"/>
    </row>
    <row r="291" spans="3:12">
      <c r="C291" s="19" t="s">
        <v>75</v>
      </c>
      <c r="D291" s="19"/>
      <c r="E291" s="20">
        <v>50</v>
      </c>
      <c r="F291" s="20">
        <v>50</v>
      </c>
      <c r="G291" s="20">
        <v>50</v>
      </c>
      <c r="H291" s="20">
        <v>50</v>
      </c>
      <c r="I291" s="20">
        <v>50</v>
      </c>
      <c r="J291" s="19"/>
      <c r="K291" s="19"/>
      <c r="L291" s="27"/>
    </row>
    <row r="292" spans="3:12">
      <c r="C292" s="19"/>
      <c r="D292" s="19"/>
      <c r="E292" s="19"/>
      <c r="F292" s="19"/>
      <c r="G292" s="19"/>
      <c r="H292" s="19"/>
      <c r="I292" s="19"/>
      <c r="J292" s="19"/>
      <c r="K292" s="19"/>
      <c r="L292" s="27"/>
    </row>
    <row r="293" spans="3:12" ht="52" customHeight="1">
      <c r="C293" s="29" t="s">
        <v>163</v>
      </c>
      <c r="D293" s="21"/>
      <c r="E293" s="22">
        <f>CHOOSE($E$5,E294,E295,E296)</f>
        <v>0.86</v>
      </c>
      <c r="F293" s="22">
        <f>CHOOSE($E$5,F294,F295,F296)</f>
        <v>0.86</v>
      </c>
      <c r="G293" s="22">
        <f>CHOOSE($E$5,G294,G295,G296)</f>
        <v>0.86</v>
      </c>
      <c r="H293" s="22">
        <f>CHOOSE($E$5,H294,H295,H296)</f>
        <v>0.86</v>
      </c>
      <c r="I293" s="22">
        <f>CHOOSE($E$5,I294,I295,I296)</f>
        <v>0.86</v>
      </c>
      <c r="J293" s="19"/>
      <c r="K293" s="19" t="s">
        <v>71</v>
      </c>
      <c r="L293" s="27" t="s">
        <v>164</v>
      </c>
    </row>
    <row r="294" spans="3:12">
      <c r="C294" s="19" t="s">
        <v>73</v>
      </c>
      <c r="D294" s="19"/>
      <c r="E294" s="20">
        <v>0.86</v>
      </c>
      <c r="F294" s="20">
        <v>0.86</v>
      </c>
      <c r="G294" s="20">
        <v>0.86</v>
      </c>
      <c r="H294" s="20">
        <v>0.86</v>
      </c>
      <c r="I294" s="20">
        <v>0.86</v>
      </c>
      <c r="J294" s="19"/>
      <c r="K294" s="19"/>
      <c r="L294" s="27"/>
    </row>
    <row r="295" spans="3:12">
      <c r="C295" s="19" t="s">
        <v>74</v>
      </c>
      <c r="D295" s="19"/>
      <c r="E295" s="20">
        <v>0.9</v>
      </c>
      <c r="F295" s="20">
        <v>0.9</v>
      </c>
      <c r="G295" s="20">
        <v>0.9</v>
      </c>
      <c r="H295" s="20">
        <v>0.9</v>
      </c>
      <c r="I295" s="20">
        <v>0.9</v>
      </c>
      <c r="J295" s="19"/>
      <c r="K295" s="19"/>
      <c r="L295" s="27"/>
    </row>
    <row r="296" spans="3:12">
      <c r="C296" s="19" t="s">
        <v>75</v>
      </c>
      <c r="D296" s="19"/>
      <c r="E296" s="20">
        <v>0.82</v>
      </c>
      <c r="F296" s="20">
        <v>0.82</v>
      </c>
      <c r="G296" s="20">
        <v>0.82</v>
      </c>
      <c r="H296" s="20">
        <v>0.82</v>
      </c>
      <c r="I296" s="20">
        <v>0.82</v>
      </c>
      <c r="J296" s="19"/>
      <c r="K296" s="19"/>
      <c r="L296" s="27"/>
    </row>
    <row r="297" spans="3:12">
      <c r="C297" s="19"/>
      <c r="D297" s="19"/>
      <c r="E297" s="19"/>
      <c r="F297" s="19"/>
      <c r="G297" s="19"/>
      <c r="H297" s="19"/>
      <c r="I297" s="19"/>
      <c r="J297" s="19"/>
      <c r="K297" s="19"/>
      <c r="L297" s="27"/>
    </row>
    <row r="298" spans="3:12" ht="52" customHeight="1">
      <c r="C298" s="29" t="s">
        <v>165</v>
      </c>
      <c r="D298" s="21"/>
      <c r="E298" s="22">
        <f>CHOOSE($E$5,E299,E300,E301)</f>
        <v>0</v>
      </c>
      <c r="F298" s="22">
        <f>CHOOSE($E$5,F299,F300,F301)</f>
        <v>0</v>
      </c>
      <c r="G298" s="22">
        <f>CHOOSE($E$5,G299,G300,G301)</f>
        <v>0</v>
      </c>
      <c r="H298" s="22">
        <f>CHOOSE($E$5,H299,H300,H301)</f>
        <v>0</v>
      </c>
      <c r="I298" s="22">
        <f>CHOOSE($E$5,I299,I300,I301)</f>
        <v>0</v>
      </c>
      <c r="J298" s="19"/>
      <c r="K298" s="19" t="s">
        <v>71</v>
      </c>
      <c r="L298" s="27" t="s">
        <v>166</v>
      </c>
    </row>
    <row r="299" spans="3:12">
      <c r="C299" s="19" t="s">
        <v>73</v>
      </c>
      <c r="D299" s="19"/>
      <c r="E299" s="20">
        <v>0</v>
      </c>
      <c r="F299" s="20">
        <v>0</v>
      </c>
      <c r="G299" s="20">
        <v>0</v>
      </c>
      <c r="H299" s="20">
        <v>0</v>
      </c>
      <c r="I299" s="20">
        <v>0</v>
      </c>
      <c r="J299" s="19"/>
      <c r="K299" s="19"/>
      <c r="L299" s="27"/>
    </row>
    <row r="300" spans="3:12">
      <c r="C300" s="19" t="s">
        <v>74</v>
      </c>
      <c r="D300" s="19"/>
      <c r="E300" s="20">
        <v>0</v>
      </c>
      <c r="F300" s="20">
        <v>0</v>
      </c>
      <c r="G300" s="20">
        <v>0</v>
      </c>
      <c r="H300" s="20">
        <v>0</v>
      </c>
      <c r="I300" s="20">
        <v>0</v>
      </c>
      <c r="J300" s="19"/>
      <c r="K300" s="19"/>
      <c r="L300" s="27"/>
    </row>
    <row r="301" spans="3:12">
      <c r="C301" s="19" t="s">
        <v>75</v>
      </c>
      <c r="D301" s="19"/>
      <c r="E301" s="20">
        <v>0</v>
      </c>
      <c r="F301" s="20">
        <v>0</v>
      </c>
      <c r="G301" s="20">
        <v>0</v>
      </c>
      <c r="H301" s="20">
        <v>0</v>
      </c>
      <c r="I301" s="20">
        <v>0</v>
      </c>
      <c r="J301" s="19"/>
      <c r="K301" s="19"/>
      <c r="L301" s="27"/>
    </row>
    <row r="302" spans="3:12">
      <c r="C302" s="19"/>
      <c r="D302" s="19"/>
      <c r="E302" s="19"/>
      <c r="F302" s="19"/>
      <c r="G302" s="19"/>
      <c r="H302" s="19"/>
      <c r="I302" s="19"/>
      <c r="J302" s="19"/>
      <c r="K302" s="19"/>
      <c r="L302" s="27"/>
    </row>
    <row r="303" spans="3:12" ht="52" customHeight="1">
      <c r="C303" s="29" t="s">
        <v>167</v>
      </c>
      <c r="D303" s="21"/>
      <c r="E303" s="22">
        <f>CHOOSE($E$5,E304,E305,E306)</f>
        <v>1</v>
      </c>
      <c r="F303" s="22">
        <f>CHOOSE($E$5,F304,F305,F306)</f>
        <v>1</v>
      </c>
      <c r="G303" s="22">
        <f>CHOOSE($E$5,G304,G305,G306)</f>
        <v>1</v>
      </c>
      <c r="H303" s="22">
        <f>CHOOSE($E$5,H304,H305,H306)</f>
        <v>1</v>
      </c>
      <c r="I303" s="22">
        <f>CHOOSE($E$5,I304,I305,I306)</f>
        <v>1</v>
      </c>
      <c r="J303" s="19"/>
      <c r="K303" s="19" t="s">
        <v>71</v>
      </c>
      <c r="L303" s="27" t="s">
        <v>168</v>
      </c>
    </row>
    <row r="304" spans="3:12">
      <c r="C304" s="19" t="s">
        <v>73</v>
      </c>
      <c r="D304" s="19"/>
      <c r="E304" s="20">
        <v>1</v>
      </c>
      <c r="F304" s="20">
        <v>1</v>
      </c>
      <c r="G304" s="20">
        <v>1</v>
      </c>
      <c r="H304" s="20">
        <v>1</v>
      </c>
      <c r="I304" s="20">
        <v>1</v>
      </c>
      <c r="J304" s="19"/>
      <c r="K304" s="19"/>
      <c r="L304" s="27"/>
    </row>
    <row r="305" spans="3:12">
      <c r="C305" s="19" t="s">
        <v>74</v>
      </c>
      <c r="D305" s="19"/>
      <c r="E305" s="20">
        <v>1</v>
      </c>
      <c r="F305" s="20">
        <v>0</v>
      </c>
      <c r="G305" s="20">
        <v>0</v>
      </c>
      <c r="H305" s="20">
        <v>0</v>
      </c>
      <c r="I305" s="20">
        <v>0</v>
      </c>
      <c r="J305" s="19"/>
      <c r="K305" s="19"/>
      <c r="L305" s="27"/>
    </row>
    <row r="306" spans="3:12">
      <c r="C306" s="19" t="s">
        <v>75</v>
      </c>
      <c r="D306" s="19"/>
      <c r="E306" s="20">
        <v>1</v>
      </c>
      <c r="F306" s="20">
        <v>1</v>
      </c>
      <c r="G306" s="20">
        <v>1</v>
      </c>
      <c r="H306" s="20">
        <v>1</v>
      </c>
      <c r="I306" s="20">
        <v>1</v>
      </c>
      <c r="J306" s="19"/>
      <c r="K306" s="19"/>
      <c r="L306" s="27"/>
    </row>
    <row r="307" spans="3:12">
      <c r="C307" s="19"/>
      <c r="D307" s="19"/>
      <c r="E307" s="19"/>
      <c r="F307" s="19"/>
      <c r="G307" s="19"/>
      <c r="H307" s="19"/>
      <c r="I307" s="19"/>
      <c r="J307" s="19"/>
      <c r="K307" s="19"/>
      <c r="L307" s="27"/>
    </row>
    <row r="308" spans="3:12" ht="52" customHeight="1">
      <c r="C308" s="25"/>
      <c r="D308" s="19"/>
      <c r="E308" s="19"/>
      <c r="F308" s="19"/>
      <c r="G308" s="19"/>
      <c r="H308" s="19"/>
      <c r="I308" s="19"/>
      <c r="J308" s="19"/>
      <c r="K308" s="19"/>
      <c r="L308" s="27"/>
    </row>
    <row r="309" spans="3:12" ht="15">
      <c r="C309" s="19" t="s">
        <v>169</v>
      </c>
      <c r="D309" s="19"/>
      <c r="E309" s="58">
        <v>0.25</v>
      </c>
      <c r="F309" s="58">
        <v>0.25</v>
      </c>
      <c r="G309" s="58">
        <v>0.25</v>
      </c>
      <c r="H309" s="58">
        <v>0.25</v>
      </c>
      <c r="I309" s="58">
        <v>0.25</v>
      </c>
      <c r="J309" s="19"/>
      <c r="K309" s="19" t="s">
        <v>71</v>
      </c>
      <c r="L309" s="27" t="s">
        <v>170</v>
      </c>
    </row>
    <row r="310" spans="3:12" ht="30">
      <c r="C310" s="19" t="s">
        <v>171</v>
      </c>
      <c r="D310" s="19"/>
      <c r="E310" s="20">
        <v>0</v>
      </c>
      <c r="F310" s="20"/>
      <c r="G310" s="20"/>
      <c r="H310" s="20"/>
      <c r="I310" s="20"/>
      <c r="J310" s="19"/>
      <c r="K310" s="19" t="s">
        <v>71</v>
      </c>
      <c r="L310" s="27" t="s">
        <v>172</v>
      </c>
    </row>
    <row r="311" spans="3:12" ht="30">
      <c r="C311" s="19" t="s">
        <v>173</v>
      </c>
      <c r="D311" s="19"/>
      <c r="E311" s="20">
        <v>7.5620000000000003</v>
      </c>
      <c r="F311" s="20"/>
      <c r="G311" s="20"/>
      <c r="H311" s="20"/>
      <c r="I311" s="20"/>
      <c r="J311" s="19"/>
      <c r="K311" s="19" t="s">
        <v>71</v>
      </c>
      <c r="L311" s="27" t="s">
        <v>174</v>
      </c>
    </row>
    <row r="312" spans="3:12">
      <c r="C312" s="19"/>
      <c r="D312" s="19"/>
      <c r="E312" s="19"/>
      <c r="F312" s="19"/>
      <c r="G312" s="19"/>
      <c r="H312" s="19"/>
      <c r="I312" s="19"/>
      <c r="J312" s="19"/>
      <c r="K312" s="19"/>
      <c r="L312" s="27"/>
    </row>
    <row r="313" spans="3:12" ht="52" customHeight="1">
      <c r="C313" s="25"/>
      <c r="D313" s="19"/>
      <c r="E313" s="19"/>
      <c r="F313" s="19"/>
      <c r="G313" s="19"/>
      <c r="H313" s="19"/>
      <c r="I313" s="19"/>
      <c r="J313" s="19"/>
      <c r="K313" s="19"/>
      <c r="L313" s="27"/>
    </row>
    <row r="314" spans="3:12">
      <c r="C314" s="19"/>
      <c r="D314" s="19"/>
      <c r="E314" s="19"/>
      <c r="F314" s="19"/>
      <c r="G314" s="19"/>
      <c r="H314" s="19"/>
      <c r="I314" s="19"/>
      <c r="J314" s="19"/>
      <c r="K314" s="19"/>
      <c r="L314" s="27"/>
    </row>
    <row r="315" spans="3:12">
      <c r="C315" s="19"/>
      <c r="D315" s="19"/>
      <c r="E315" s="19"/>
      <c r="F315" s="19"/>
      <c r="G315" s="19"/>
      <c r="H315" s="19"/>
      <c r="I315" s="19"/>
      <c r="J315" s="19"/>
      <c r="K315" s="19"/>
      <c r="L315" s="27"/>
    </row>
    <row r="316" spans="3:12">
      <c r="C316" s="19"/>
      <c r="D316" s="19"/>
      <c r="E316" s="19"/>
      <c r="F316" s="19"/>
      <c r="G316" s="19"/>
      <c r="H316" s="19"/>
      <c r="I316" s="19"/>
      <c r="J316" s="19"/>
      <c r="K316" s="19"/>
      <c r="L316" s="27"/>
    </row>
    <row r="317" spans="3:12">
      <c r="C317" s="19"/>
      <c r="D317" s="19"/>
      <c r="E317" s="19"/>
      <c r="F317" s="19"/>
      <c r="G317" s="19"/>
      <c r="H317" s="19"/>
      <c r="I317" s="19"/>
      <c r="J317" s="19"/>
      <c r="K317" s="19"/>
      <c r="L317" s="27"/>
    </row>
    <row r="318" spans="3:12" ht="52" customHeight="1">
      <c r="C318" s="25"/>
      <c r="D318" s="19"/>
      <c r="E318" s="19"/>
      <c r="F318" s="19"/>
      <c r="G318" s="19"/>
      <c r="H318" s="19"/>
      <c r="I318" s="19"/>
      <c r="J318" s="19"/>
      <c r="K318" s="19"/>
      <c r="L318" s="27"/>
    </row>
    <row r="319" spans="3:12">
      <c r="C319" s="19"/>
      <c r="D319" s="19"/>
      <c r="E319" s="19"/>
      <c r="F319" s="19"/>
      <c r="G319" s="19"/>
      <c r="H319" s="19"/>
      <c r="I319" s="19"/>
      <c r="J319" s="19"/>
      <c r="K319" s="19"/>
      <c r="L319" s="27"/>
    </row>
    <row r="320" spans="3:12">
      <c r="C320" s="19"/>
      <c r="D320" s="19"/>
      <c r="E320" s="19"/>
      <c r="F320" s="19"/>
      <c r="G320" s="19"/>
      <c r="H320" s="19"/>
      <c r="I320" s="19"/>
      <c r="J320" s="19"/>
      <c r="K320" s="19"/>
      <c r="L320" s="27"/>
    </row>
    <row r="321" spans="3:12">
      <c r="C321" s="19"/>
      <c r="D321" s="19"/>
      <c r="E321" s="19"/>
      <c r="F321" s="19"/>
      <c r="G321" s="19"/>
      <c r="H321" s="19"/>
      <c r="I321" s="19"/>
      <c r="J321" s="19"/>
      <c r="K321" s="19"/>
      <c r="L321" s="27"/>
    </row>
    <row r="322" spans="3:12">
      <c r="C322" s="19"/>
      <c r="D322" s="19"/>
      <c r="E322" s="19"/>
      <c r="F322" s="19"/>
      <c r="G322" s="19"/>
      <c r="H322" s="19"/>
      <c r="I322" s="19"/>
      <c r="J322" s="19"/>
      <c r="K322" s="19"/>
      <c r="L322" s="27"/>
    </row>
    <row r="323" spans="3:12" ht="52" customHeight="1">
      <c r="C323" s="25"/>
      <c r="D323" s="19"/>
      <c r="E323" s="19"/>
      <c r="F323" s="19"/>
      <c r="G323" s="19"/>
      <c r="H323" s="19"/>
      <c r="I323" s="19"/>
      <c r="J323" s="19"/>
      <c r="K323" s="19"/>
      <c r="L323" s="27"/>
    </row>
    <row r="324" spans="3:12">
      <c r="C324" s="19"/>
      <c r="D324" s="19"/>
      <c r="E324" s="19"/>
      <c r="F324" s="19"/>
      <c r="G324" s="19"/>
      <c r="H324" s="19"/>
      <c r="I324" s="19"/>
      <c r="J324" s="19"/>
      <c r="K324" s="19"/>
      <c r="L324" s="27"/>
    </row>
    <row r="325" spans="3:12">
      <c r="C325" s="19"/>
      <c r="D325" s="19"/>
      <c r="E325" s="19"/>
      <c r="F325" s="19"/>
      <c r="G325" s="19"/>
      <c r="H325" s="19"/>
      <c r="I325" s="19"/>
      <c r="J325" s="19"/>
      <c r="K325" s="19"/>
      <c r="L325" s="27"/>
    </row>
    <row r="326" spans="3:12">
      <c r="C326" s="19"/>
      <c r="D326" s="19"/>
      <c r="E326" s="19"/>
      <c r="F326" s="19"/>
      <c r="G326" s="19"/>
      <c r="H326" s="19"/>
      <c r="I326" s="19"/>
      <c r="J326" s="19"/>
      <c r="K326" s="19"/>
      <c r="L326" s="27"/>
    </row>
    <row r="327" spans="3:12">
      <c r="C327" s="19"/>
      <c r="D327" s="19"/>
      <c r="E327" s="19"/>
      <c r="F327" s="19"/>
      <c r="G327" s="19"/>
      <c r="H327" s="19"/>
      <c r="I327" s="19"/>
      <c r="J327" s="19"/>
      <c r="K327" s="19"/>
      <c r="L327" s="27"/>
    </row>
    <row r="328" spans="3:12" ht="52" customHeight="1">
      <c r="C328" s="25"/>
      <c r="D328" s="19"/>
      <c r="E328" s="19"/>
      <c r="F328" s="19"/>
      <c r="G328" s="19"/>
      <c r="H328" s="19"/>
      <c r="I328" s="19"/>
      <c r="J328" s="19"/>
      <c r="K328" s="19"/>
      <c r="L328" s="27"/>
    </row>
    <row r="329" spans="3:12">
      <c r="C329" s="19"/>
      <c r="D329" s="19"/>
      <c r="E329" s="19"/>
      <c r="F329" s="19"/>
      <c r="G329" s="19"/>
      <c r="H329" s="19"/>
      <c r="I329" s="19"/>
      <c r="J329" s="19"/>
      <c r="K329" s="19"/>
      <c r="L329" s="27"/>
    </row>
    <row r="330" spans="3:12">
      <c r="C330" s="19"/>
      <c r="D330" s="19"/>
      <c r="E330" s="19"/>
      <c r="F330" s="19"/>
      <c r="G330" s="19"/>
      <c r="H330" s="19"/>
      <c r="I330" s="19"/>
      <c r="J330" s="19"/>
      <c r="K330" s="19"/>
      <c r="L330" s="27"/>
    </row>
    <row r="331" spans="3:12">
      <c r="C331" s="19"/>
      <c r="D331" s="19"/>
      <c r="E331" s="19"/>
      <c r="F331" s="19"/>
      <c r="G331" s="19"/>
      <c r="H331" s="19"/>
      <c r="I331" s="19"/>
      <c r="J331" s="19"/>
      <c r="K331" s="19"/>
      <c r="L331" s="27"/>
    </row>
    <row r="332" spans="3:12">
      <c r="C332" s="19"/>
      <c r="D332" s="19"/>
      <c r="E332" s="19"/>
      <c r="F332" s="19"/>
      <c r="G332" s="19"/>
      <c r="H332" s="19"/>
      <c r="I332" s="19"/>
      <c r="J332" s="19"/>
      <c r="K332" s="19"/>
      <c r="L332" s="27"/>
    </row>
    <row r="333" spans="3:12" ht="52" customHeight="1">
      <c r="C333" s="25"/>
      <c r="D333" s="19"/>
      <c r="E333" s="19"/>
      <c r="F333" s="19"/>
      <c r="G333" s="19"/>
      <c r="H333" s="19"/>
      <c r="I333" s="19"/>
      <c r="J333" s="19"/>
      <c r="K333" s="19"/>
      <c r="L333" s="27"/>
    </row>
    <row r="334" spans="3:12">
      <c r="C334" s="19"/>
      <c r="D334" s="19"/>
      <c r="E334" s="19"/>
      <c r="F334" s="19"/>
      <c r="G334" s="19"/>
      <c r="H334" s="19"/>
      <c r="I334" s="19"/>
      <c r="J334" s="19"/>
      <c r="K334" s="19"/>
      <c r="L334" s="27"/>
    </row>
    <row r="335" spans="3:12">
      <c r="C335" s="19"/>
      <c r="D335" s="19"/>
      <c r="E335" s="19"/>
      <c r="F335" s="19"/>
      <c r="G335" s="19"/>
      <c r="H335" s="19"/>
      <c r="I335" s="19"/>
      <c r="J335" s="19"/>
      <c r="K335" s="19"/>
      <c r="L335" s="27"/>
    </row>
    <row r="336" spans="3:12">
      <c r="C336" s="19"/>
      <c r="D336" s="19"/>
      <c r="E336" s="19"/>
      <c r="F336" s="19"/>
      <c r="G336" s="19"/>
      <c r="H336" s="19"/>
      <c r="I336" s="19"/>
      <c r="J336" s="19"/>
      <c r="K336" s="19"/>
      <c r="L336" s="27"/>
    </row>
    <row r="337" spans="3:12">
      <c r="C337" s="19"/>
      <c r="D337" s="19"/>
      <c r="E337" s="19"/>
      <c r="F337" s="19"/>
      <c r="G337" s="19"/>
      <c r="H337" s="19"/>
      <c r="I337" s="19"/>
      <c r="J337" s="19"/>
      <c r="K337" s="19"/>
      <c r="L337" s="27"/>
    </row>
    <row r="338" spans="3:12" ht="52" customHeight="1">
      <c r="C338" s="25"/>
      <c r="D338" s="19"/>
      <c r="E338" s="19"/>
      <c r="F338" s="19"/>
      <c r="G338" s="19"/>
      <c r="H338" s="19"/>
      <c r="I338" s="19"/>
      <c r="J338" s="19"/>
      <c r="K338" s="19"/>
      <c r="L338" s="27"/>
    </row>
    <row r="339" spans="3:12">
      <c r="C339" s="19"/>
      <c r="D339" s="19"/>
      <c r="E339" s="19"/>
      <c r="F339" s="19"/>
      <c r="G339" s="19"/>
      <c r="H339" s="19"/>
      <c r="I339" s="19"/>
      <c r="J339" s="19"/>
      <c r="K339" s="19"/>
      <c r="L339" s="27"/>
    </row>
    <row r="340" spans="3:12">
      <c r="C340" s="19"/>
      <c r="D340" s="19"/>
      <c r="E340" s="19"/>
      <c r="F340" s="19"/>
      <c r="G340" s="19"/>
      <c r="H340" s="19"/>
      <c r="I340" s="19"/>
      <c r="J340" s="19"/>
      <c r="K340" s="19"/>
      <c r="L340" s="27"/>
    </row>
    <row r="341" spans="3:12">
      <c r="C341" s="19"/>
      <c r="D341" s="19"/>
      <c r="E341" s="19"/>
      <c r="F341" s="19"/>
      <c r="G341" s="19"/>
      <c r="H341" s="19"/>
      <c r="I341" s="19"/>
      <c r="J341" s="19"/>
      <c r="K341" s="19"/>
      <c r="L341" s="27"/>
    </row>
    <row r="342" spans="3:12">
      <c r="C342" s="19"/>
      <c r="D342" s="19"/>
      <c r="E342" s="19"/>
      <c r="F342" s="19"/>
      <c r="G342" s="19"/>
      <c r="H342" s="19"/>
      <c r="I342" s="19"/>
      <c r="J342" s="19"/>
      <c r="K342" s="19"/>
      <c r="L342" s="27"/>
    </row>
    <row r="343" spans="3:12" ht="52" customHeight="1">
      <c r="C343" s="25"/>
      <c r="D343" s="19"/>
      <c r="E343" s="19"/>
      <c r="F343" s="19"/>
      <c r="G343" s="19"/>
      <c r="H343" s="19"/>
      <c r="I343" s="19"/>
      <c r="J343" s="19"/>
      <c r="K343" s="19"/>
      <c r="L343" s="27"/>
    </row>
    <row r="344" spans="3:12">
      <c r="C344" s="19"/>
      <c r="D344" s="19"/>
      <c r="E344" s="19"/>
      <c r="F344" s="19"/>
      <c r="G344" s="19"/>
      <c r="H344" s="19"/>
      <c r="I344" s="19"/>
      <c r="J344" s="19"/>
      <c r="K344" s="19"/>
      <c r="L344" s="27"/>
    </row>
    <row r="345" spans="3:12">
      <c r="C345" s="19"/>
      <c r="D345" s="19"/>
      <c r="E345" s="19"/>
      <c r="F345" s="19"/>
      <c r="G345" s="19"/>
      <c r="H345" s="19"/>
      <c r="I345" s="19"/>
      <c r="J345" s="19"/>
      <c r="K345" s="19"/>
      <c r="L345" s="27"/>
    </row>
    <row r="346" spans="3:12">
      <c r="C346" s="19"/>
      <c r="D346" s="19"/>
      <c r="E346" s="19"/>
      <c r="F346" s="19"/>
      <c r="G346" s="19"/>
      <c r="H346" s="19"/>
      <c r="I346" s="19"/>
      <c r="J346" s="19"/>
      <c r="K346" s="19"/>
      <c r="L346" s="27"/>
    </row>
    <row r="347" spans="3:12">
      <c r="C347" s="19"/>
      <c r="D347" s="19"/>
      <c r="E347" s="19"/>
      <c r="F347" s="19"/>
      <c r="G347" s="19"/>
      <c r="H347" s="19"/>
      <c r="I347" s="19"/>
      <c r="J347" s="19"/>
      <c r="K347" s="19"/>
      <c r="L347" s="27"/>
    </row>
    <row r="348" spans="3:12" ht="52" customHeight="1">
      <c r="C348" s="25"/>
      <c r="D348" s="19"/>
      <c r="E348" s="19"/>
      <c r="F348" s="19"/>
      <c r="G348" s="19"/>
      <c r="H348" s="19"/>
      <c r="I348" s="19"/>
      <c r="J348" s="19"/>
      <c r="K348" s="19"/>
      <c r="L348" s="27"/>
    </row>
    <row r="349" spans="3:12">
      <c r="C349" s="19"/>
      <c r="D349" s="19"/>
      <c r="E349" s="19"/>
      <c r="F349" s="19"/>
      <c r="G349" s="19"/>
      <c r="H349" s="19"/>
      <c r="I349" s="19"/>
      <c r="J349" s="19"/>
      <c r="K349" s="19"/>
      <c r="L349" s="27"/>
    </row>
    <row r="350" spans="3:12">
      <c r="C350" s="19"/>
      <c r="D350" s="19"/>
      <c r="E350" s="19"/>
      <c r="F350" s="19"/>
      <c r="G350" s="19"/>
      <c r="H350" s="19"/>
      <c r="I350" s="19"/>
      <c r="J350" s="19"/>
      <c r="K350" s="19"/>
      <c r="L350" s="27"/>
    </row>
    <row r="351" spans="3:12">
      <c r="C351" s="19"/>
      <c r="D351" s="19"/>
      <c r="E351" s="19"/>
      <c r="F351" s="19"/>
      <c r="G351" s="19"/>
      <c r="H351" s="19"/>
      <c r="I351" s="19"/>
      <c r="J351" s="19"/>
      <c r="K351" s="19"/>
      <c r="L351" s="27"/>
    </row>
    <row r="352" spans="3:12">
      <c r="C352" s="19"/>
      <c r="D352" s="19"/>
      <c r="E352" s="19"/>
      <c r="F352" s="19"/>
      <c r="G352" s="19"/>
      <c r="H352" s="19"/>
      <c r="I352" s="19"/>
      <c r="J352" s="19"/>
      <c r="K352" s="19"/>
      <c r="L352" s="27"/>
    </row>
    <row r="353" spans="3:12" ht="52" customHeight="1">
      <c r="C353" s="25"/>
      <c r="D353" s="19"/>
      <c r="E353" s="19"/>
      <c r="F353" s="19"/>
      <c r="G353" s="19"/>
      <c r="H353" s="19"/>
      <c r="I353" s="19"/>
      <c r="J353" s="19"/>
      <c r="K353" s="19"/>
      <c r="L353" s="27"/>
    </row>
    <row r="354" spans="3:12">
      <c r="C354" s="19"/>
      <c r="D354" s="19"/>
      <c r="E354" s="19"/>
      <c r="F354" s="19"/>
      <c r="G354" s="19"/>
      <c r="H354" s="19"/>
      <c r="I354" s="19"/>
      <c r="J354" s="19"/>
      <c r="K354" s="19"/>
      <c r="L354" s="27"/>
    </row>
    <row r="355" spans="3:12">
      <c r="C355" s="19"/>
      <c r="D355" s="19"/>
      <c r="E355" s="19"/>
      <c r="F355" s="19"/>
      <c r="G355" s="19"/>
      <c r="H355" s="19"/>
      <c r="I355" s="19"/>
      <c r="J355" s="19"/>
      <c r="K355" s="19"/>
      <c r="L355" s="27"/>
    </row>
    <row r="356" spans="3:12">
      <c r="C356" s="19"/>
      <c r="D356" s="19"/>
      <c r="E356" s="19"/>
      <c r="F356" s="19"/>
      <c r="G356" s="19"/>
      <c r="H356" s="19"/>
      <c r="I356" s="19"/>
      <c r="J356" s="19"/>
      <c r="K356" s="19"/>
      <c r="L356" s="27"/>
    </row>
    <row r="357" spans="3:12">
      <c r="C357" s="19"/>
      <c r="D357" s="19"/>
      <c r="E357" s="19"/>
      <c r="F357" s="19"/>
      <c r="G357" s="19"/>
      <c r="H357" s="19"/>
      <c r="I357" s="19"/>
      <c r="J357" s="19"/>
      <c r="K357" s="19"/>
      <c r="L357" s="27"/>
    </row>
    <row r="358" spans="3:12" ht="52" customHeight="1">
      <c r="C358" s="25"/>
      <c r="D358" s="19"/>
      <c r="E358" s="19"/>
      <c r="F358" s="19"/>
      <c r="G358" s="19"/>
      <c r="H358" s="19"/>
      <c r="I358" s="19"/>
      <c r="J358" s="19"/>
      <c r="K358" s="19"/>
      <c r="L358" s="27"/>
    </row>
    <row r="359" spans="3:12">
      <c r="C359" s="19"/>
      <c r="D359" s="19"/>
      <c r="E359" s="19"/>
      <c r="F359" s="19"/>
      <c r="G359" s="19"/>
      <c r="H359" s="19"/>
      <c r="I359" s="19"/>
      <c r="J359" s="19"/>
      <c r="K359" s="19"/>
      <c r="L359" s="27"/>
    </row>
    <row r="360" spans="3:12">
      <c r="C360" s="19"/>
      <c r="D360" s="19"/>
      <c r="E360" s="19"/>
      <c r="F360" s="19"/>
      <c r="G360" s="19"/>
      <c r="H360" s="19"/>
      <c r="I360" s="19"/>
      <c r="J360" s="19"/>
      <c r="K360" s="19"/>
      <c r="L360" s="27"/>
    </row>
    <row r="361" spans="3:12">
      <c r="C361" s="19"/>
      <c r="D361" s="19"/>
      <c r="E361" s="19"/>
      <c r="F361" s="19"/>
      <c r="G361" s="19"/>
      <c r="H361" s="19"/>
      <c r="I361" s="19"/>
      <c r="J361" s="19"/>
      <c r="K361" s="19"/>
      <c r="L361" s="27"/>
    </row>
    <row r="362" spans="3:12">
      <c r="C362" s="19"/>
      <c r="D362" s="19"/>
      <c r="E362" s="19"/>
      <c r="F362" s="19"/>
      <c r="G362" s="19"/>
      <c r="H362" s="19"/>
      <c r="I362" s="19"/>
      <c r="J362" s="19"/>
      <c r="K362" s="19"/>
      <c r="L362" s="27"/>
    </row>
    <row r="363" spans="3:12" ht="52" customHeight="1">
      <c r="C363" s="25"/>
      <c r="D363" s="19"/>
      <c r="E363" s="19"/>
      <c r="F363" s="19"/>
      <c r="G363" s="19"/>
      <c r="H363" s="19"/>
      <c r="I363" s="19"/>
      <c r="J363" s="19"/>
      <c r="K363" s="19"/>
      <c r="L363" s="27"/>
    </row>
    <row r="364" spans="3:12">
      <c r="C364" s="19"/>
      <c r="D364" s="19"/>
      <c r="E364" s="19"/>
      <c r="F364" s="19"/>
      <c r="G364" s="19"/>
      <c r="H364" s="19"/>
      <c r="I364" s="19"/>
      <c r="J364" s="19"/>
      <c r="K364" s="19"/>
      <c r="L364" s="27"/>
    </row>
    <row r="365" spans="3:12">
      <c r="C365" s="19"/>
      <c r="D365" s="19"/>
      <c r="E365" s="19"/>
      <c r="F365" s="19"/>
      <c r="G365" s="19"/>
      <c r="H365" s="19"/>
      <c r="I365" s="19"/>
      <c r="J365" s="19"/>
      <c r="K365" s="19"/>
      <c r="L365" s="27"/>
    </row>
    <row r="366" spans="3:12">
      <c r="C366" s="19"/>
      <c r="D366" s="19"/>
      <c r="E366" s="19"/>
      <c r="F366" s="19"/>
      <c r="G366" s="19"/>
      <c r="H366" s="19"/>
      <c r="I366" s="19"/>
      <c r="J366" s="19"/>
      <c r="K366" s="19"/>
      <c r="L366" s="27"/>
    </row>
    <row r="367" spans="3:12">
      <c r="C367" s="19"/>
      <c r="D367" s="19"/>
      <c r="E367" s="19"/>
      <c r="F367" s="19"/>
      <c r="G367" s="19"/>
      <c r="H367" s="19"/>
      <c r="I367" s="19"/>
      <c r="J367" s="19"/>
      <c r="K367" s="19"/>
      <c r="L367" s="27"/>
    </row>
    <row r="368" spans="3:12" ht="52" customHeight="1">
      <c r="C368" s="25"/>
      <c r="D368" s="19"/>
      <c r="E368" s="19"/>
      <c r="F368" s="19"/>
      <c r="G368" s="19"/>
      <c r="H368" s="19"/>
      <c r="I368" s="19"/>
      <c r="J368" s="19"/>
      <c r="K368" s="19"/>
      <c r="L368" s="27"/>
    </row>
    <row r="369" spans="3:12">
      <c r="C369" s="19"/>
      <c r="D369" s="19"/>
      <c r="E369" s="19"/>
      <c r="F369" s="19"/>
      <c r="G369" s="19"/>
      <c r="H369" s="19"/>
      <c r="I369" s="19"/>
      <c r="J369" s="19"/>
      <c r="K369" s="19"/>
      <c r="L369" s="27"/>
    </row>
    <row r="370" spans="3:12">
      <c r="C370" s="19"/>
      <c r="D370" s="19"/>
      <c r="E370" s="19"/>
      <c r="F370" s="19"/>
      <c r="G370" s="19"/>
      <c r="H370" s="19"/>
      <c r="I370" s="19"/>
      <c r="J370" s="19"/>
      <c r="K370" s="19"/>
      <c r="L370" s="27"/>
    </row>
    <row r="371" spans="3:12">
      <c r="C371" s="19"/>
      <c r="D371" s="19"/>
      <c r="E371" s="19"/>
      <c r="F371" s="19"/>
      <c r="G371" s="19"/>
      <c r="H371" s="19"/>
      <c r="I371" s="19"/>
      <c r="J371" s="19"/>
      <c r="K371" s="19"/>
      <c r="L371" s="27"/>
    </row>
    <row r="372" spans="3:12">
      <c r="C372" s="19"/>
      <c r="D372" s="19"/>
      <c r="E372" s="19"/>
      <c r="F372" s="19"/>
      <c r="G372" s="19"/>
      <c r="H372" s="19"/>
      <c r="I372" s="19"/>
      <c r="J372" s="19"/>
      <c r="K372" s="19"/>
      <c r="L372" s="27"/>
    </row>
    <row r="373" spans="3:12" ht="52" customHeight="1">
      <c r="C373" s="25"/>
      <c r="D373" s="19"/>
      <c r="E373" s="19"/>
      <c r="F373" s="19"/>
      <c r="G373" s="19"/>
      <c r="H373" s="19"/>
      <c r="I373" s="19"/>
      <c r="J373" s="19"/>
      <c r="K373" s="19"/>
      <c r="L373" s="27"/>
    </row>
    <row r="374" spans="3:12">
      <c r="C374" s="19"/>
      <c r="D374" s="19"/>
      <c r="E374" s="19"/>
      <c r="F374" s="19"/>
      <c r="G374" s="19"/>
      <c r="H374" s="19"/>
      <c r="I374" s="19"/>
      <c r="J374" s="19"/>
      <c r="K374" s="19"/>
      <c r="L374" s="27"/>
    </row>
    <row r="375" spans="3:12">
      <c r="C375" s="19"/>
      <c r="D375" s="19"/>
      <c r="E375" s="19"/>
      <c r="F375" s="19"/>
      <c r="G375" s="19"/>
      <c r="H375" s="19"/>
      <c r="I375" s="19"/>
      <c r="J375" s="19"/>
      <c r="K375" s="19"/>
      <c r="L375" s="27"/>
    </row>
    <row r="376" spans="3:12">
      <c r="C376" s="19"/>
      <c r="D376" s="19"/>
      <c r="E376" s="19"/>
      <c r="F376" s="19"/>
      <c r="G376" s="19"/>
      <c r="H376" s="19"/>
      <c r="I376" s="19"/>
      <c r="J376" s="19"/>
      <c r="K376" s="19"/>
      <c r="L376" s="27"/>
    </row>
    <row r="377" spans="3:12">
      <c r="C377" s="19"/>
      <c r="D377" s="19"/>
      <c r="E377" s="19"/>
      <c r="F377" s="19"/>
      <c r="G377" s="19"/>
      <c r="H377" s="19"/>
      <c r="I377" s="19"/>
      <c r="J377" s="19"/>
      <c r="K377" s="19"/>
      <c r="L377" s="27"/>
    </row>
    <row r="378" spans="3:12" ht="52" customHeight="1">
      <c r="C378" s="25"/>
      <c r="D378" s="19"/>
      <c r="E378" s="19"/>
      <c r="F378" s="19"/>
      <c r="G378" s="19"/>
      <c r="H378" s="19"/>
      <c r="I378" s="19"/>
      <c r="J378" s="19"/>
      <c r="K378" s="19"/>
      <c r="L378" s="27"/>
    </row>
    <row r="379" spans="3:12">
      <c r="C379" s="19"/>
      <c r="D379" s="19"/>
      <c r="E379" s="19"/>
      <c r="F379" s="19"/>
      <c r="G379" s="19"/>
      <c r="H379" s="19"/>
      <c r="I379" s="19"/>
      <c r="J379" s="19"/>
      <c r="K379" s="19"/>
      <c r="L379" s="27"/>
    </row>
    <row r="380" spans="3:12">
      <c r="C380" s="19"/>
      <c r="D380" s="19"/>
      <c r="E380" s="19"/>
      <c r="F380" s="19"/>
      <c r="G380" s="19"/>
      <c r="H380" s="19"/>
      <c r="I380" s="19"/>
      <c r="J380" s="19"/>
      <c r="K380" s="19"/>
      <c r="L380" s="27"/>
    </row>
    <row r="381" spans="3:12">
      <c r="C381" s="19"/>
      <c r="D381" s="19"/>
      <c r="E381" s="19"/>
      <c r="F381" s="19"/>
      <c r="G381" s="19"/>
      <c r="H381" s="19"/>
      <c r="I381" s="19"/>
      <c r="J381" s="19"/>
      <c r="K381" s="19"/>
      <c r="L381" s="27"/>
    </row>
    <row r="382" spans="3:12">
      <c r="C382" s="19"/>
      <c r="D382" s="19"/>
      <c r="E382" s="19"/>
      <c r="F382" s="19"/>
      <c r="G382" s="19"/>
      <c r="H382" s="19"/>
      <c r="I382" s="19"/>
      <c r="J382" s="19"/>
      <c r="K382" s="19"/>
      <c r="L382" s="27"/>
    </row>
    <row r="383" spans="3:12" ht="52" customHeight="1">
      <c r="C383" s="25"/>
      <c r="D383" s="19"/>
      <c r="E383" s="19"/>
      <c r="F383" s="19"/>
      <c r="G383" s="19"/>
      <c r="H383" s="19"/>
      <c r="I383" s="19"/>
      <c r="J383" s="19"/>
      <c r="K383" s="19"/>
      <c r="L383" s="27"/>
    </row>
    <row r="384" spans="3:12">
      <c r="C384" s="19"/>
      <c r="D384" s="19"/>
      <c r="E384" s="19"/>
      <c r="F384" s="19"/>
      <c r="G384" s="19"/>
      <c r="H384" s="19"/>
      <c r="I384" s="19"/>
      <c r="J384" s="19"/>
      <c r="K384" s="19"/>
      <c r="L384" s="27"/>
    </row>
    <row r="385" spans="3:12">
      <c r="C385" s="19"/>
      <c r="D385" s="19"/>
      <c r="E385" s="19"/>
      <c r="F385" s="19"/>
      <c r="G385" s="19"/>
      <c r="H385" s="19"/>
      <c r="I385" s="19"/>
      <c r="J385" s="19"/>
      <c r="K385" s="19"/>
      <c r="L385" s="27"/>
    </row>
    <row r="386" spans="3:12">
      <c r="C386" s="19"/>
      <c r="D386" s="19"/>
      <c r="E386" s="19"/>
      <c r="F386" s="19"/>
      <c r="G386" s="19"/>
      <c r="H386" s="19"/>
      <c r="I386" s="19"/>
      <c r="J386" s="19"/>
      <c r="K386" s="19"/>
      <c r="L386" s="27"/>
    </row>
    <row r="387" spans="3:12">
      <c r="C387" s="19"/>
      <c r="D387" s="19"/>
      <c r="E387" s="19"/>
      <c r="F387" s="19"/>
      <c r="G387" s="19"/>
      <c r="H387" s="19"/>
      <c r="I387" s="19"/>
      <c r="J387" s="19"/>
      <c r="K387" s="19"/>
      <c r="L387" s="27"/>
    </row>
    <row r="388" spans="3:12" ht="52" customHeight="1">
      <c r="C388" s="25"/>
      <c r="D388" s="19"/>
      <c r="E388" s="19"/>
      <c r="F388" s="19"/>
      <c r="G388" s="19"/>
      <c r="H388" s="19"/>
      <c r="I388" s="19"/>
      <c r="J388" s="19"/>
      <c r="K388" s="19"/>
      <c r="L388" s="27"/>
    </row>
    <row r="389" spans="3:12">
      <c r="C389" s="19"/>
      <c r="D389" s="19"/>
      <c r="E389" s="19"/>
      <c r="F389" s="19"/>
      <c r="G389" s="19"/>
      <c r="H389" s="19"/>
      <c r="I389" s="19"/>
      <c r="J389" s="19"/>
      <c r="K389" s="19"/>
      <c r="L389" s="27"/>
    </row>
    <row r="390" spans="3:12">
      <c r="C390" s="19"/>
      <c r="D390" s="19"/>
      <c r="E390" s="19"/>
      <c r="F390" s="19"/>
      <c r="G390" s="19"/>
      <c r="H390" s="19"/>
      <c r="I390" s="19"/>
      <c r="J390" s="19"/>
      <c r="K390" s="19"/>
      <c r="L390" s="27"/>
    </row>
    <row r="391" spans="3:12">
      <c r="C391" s="19"/>
      <c r="D391" s="19"/>
      <c r="E391" s="19"/>
      <c r="F391" s="19"/>
      <c r="G391" s="19"/>
      <c r="H391" s="19"/>
      <c r="I391" s="19"/>
      <c r="J391" s="19"/>
      <c r="K391" s="19"/>
      <c r="L391" s="27"/>
    </row>
    <row r="392" spans="3:12">
      <c r="C392" s="19"/>
      <c r="D392" s="19"/>
      <c r="E392" s="19"/>
      <c r="F392" s="19"/>
      <c r="G392" s="19"/>
      <c r="H392" s="19"/>
      <c r="I392" s="19"/>
      <c r="J392" s="19"/>
      <c r="K392" s="19"/>
      <c r="L392" s="27"/>
    </row>
    <row r="393" spans="3:12" ht="52" customHeight="1">
      <c r="C393" s="25"/>
      <c r="D393" s="19"/>
      <c r="E393" s="19"/>
      <c r="F393" s="19"/>
      <c r="G393" s="19"/>
      <c r="H393" s="19"/>
      <c r="I393" s="19"/>
      <c r="J393" s="19"/>
      <c r="K393" s="19"/>
      <c r="L393" s="27"/>
    </row>
    <row r="394" spans="3:12">
      <c r="C394" s="19"/>
      <c r="D394" s="19"/>
      <c r="E394" s="19"/>
      <c r="F394" s="19"/>
      <c r="G394" s="19"/>
      <c r="H394" s="19"/>
      <c r="I394" s="19"/>
      <c r="J394" s="19"/>
      <c r="K394" s="19"/>
      <c r="L394" s="27"/>
    </row>
    <row r="395" spans="3:12">
      <c r="C395" s="19"/>
      <c r="D395" s="19"/>
      <c r="E395" s="19"/>
      <c r="F395" s="19"/>
      <c r="G395" s="19"/>
      <c r="H395" s="19"/>
      <c r="I395" s="19"/>
      <c r="J395" s="19"/>
      <c r="K395" s="19"/>
      <c r="L395" s="27"/>
    </row>
    <row r="396" spans="3:12">
      <c r="C396" s="19"/>
      <c r="D396" s="19"/>
      <c r="E396" s="19"/>
      <c r="F396" s="19"/>
      <c r="G396" s="19"/>
      <c r="H396" s="19"/>
      <c r="I396" s="19"/>
      <c r="J396" s="19"/>
      <c r="K396" s="19"/>
      <c r="L396" s="27"/>
    </row>
    <row r="397" spans="3:12">
      <c r="C397" s="19"/>
      <c r="D397" s="19"/>
      <c r="E397" s="19"/>
      <c r="F397" s="19"/>
      <c r="G397" s="19"/>
      <c r="H397" s="19"/>
      <c r="I397" s="19"/>
      <c r="J397" s="19"/>
      <c r="K397" s="19"/>
      <c r="L397" s="27"/>
    </row>
    <row r="398" spans="3:12" ht="52" customHeight="1">
      <c r="C398" s="25"/>
      <c r="D398" s="19"/>
      <c r="E398" s="19"/>
      <c r="F398" s="19"/>
      <c r="G398" s="19"/>
      <c r="H398" s="19"/>
      <c r="I398" s="19"/>
      <c r="J398" s="19"/>
      <c r="K398" s="19"/>
      <c r="L398" s="27"/>
    </row>
    <row r="399" spans="3:12">
      <c r="C399" s="19"/>
      <c r="D399" s="19"/>
      <c r="E399" s="19"/>
      <c r="F399" s="19"/>
      <c r="G399" s="19"/>
      <c r="H399" s="19"/>
      <c r="I399" s="19"/>
      <c r="J399" s="19"/>
      <c r="K399" s="19"/>
      <c r="L399" s="27"/>
    </row>
    <row r="400" spans="3:12">
      <c r="C400" s="19"/>
      <c r="D400" s="19"/>
      <c r="E400" s="19"/>
      <c r="F400" s="19"/>
      <c r="G400" s="19"/>
      <c r="H400" s="19"/>
      <c r="I400" s="19"/>
      <c r="J400" s="19"/>
      <c r="K400" s="19"/>
      <c r="L400" s="27"/>
    </row>
  </sheetData>
  <dataValidations count="1">
    <dataValidation type="whole" sqref="E5" xr:uid="{00000000-0002-0000-0200-000000000000}">
      <formula1>1</formula1>
      <formula2>3</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51D2D"/>
  </sheetPr>
  <dimension ref="A1:BN200"/>
  <sheetViews>
    <sheetView showGridLines="0" workbookViewId="0">
      <pane xSplit="4" ySplit="7" topLeftCell="E8" activePane="bottomRight" state="frozen"/>
      <selection pane="topRight"/>
      <selection pane="bottomLeft"/>
      <selection pane="bottomRight" activeCell="E8" sqref="E8"/>
    </sheetView>
  </sheetViews>
  <sheetFormatPr baseColWidth="10" defaultColWidth="8.83203125" defaultRowHeight="14"/>
  <cols>
    <col min="1" max="2" width="2" customWidth="1"/>
    <col min="3" max="3" width="48" customWidth="1"/>
    <col min="4" max="4" width="3" customWidth="1"/>
    <col min="5" max="66" width="14" customWidth="1"/>
  </cols>
  <sheetData>
    <row r="1" spans="1:66" ht="20" customHeight="1">
      <c r="A1" s="30"/>
      <c r="B1" s="30"/>
      <c r="C1" s="31"/>
      <c r="D1" s="31"/>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row>
    <row r="2" spans="1:66" ht="20" customHeight="1">
      <c r="A2" s="30"/>
      <c r="B2" s="30"/>
      <c r="C2" s="33" t="s">
        <v>175</v>
      </c>
      <c r="D2" s="31"/>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row>
    <row r="3" spans="1:66" ht="20" customHeight="1">
      <c r="A3" s="30"/>
      <c r="B3" s="30"/>
      <c r="C3" s="34" t="s">
        <v>49</v>
      </c>
      <c r="D3" s="31"/>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row>
    <row r="4" spans="1:66" ht="20" customHeight="1">
      <c r="A4" s="30"/>
      <c r="B4" s="30"/>
      <c r="C4" s="31" t="s">
        <v>2</v>
      </c>
      <c r="D4" s="31"/>
      <c r="E4" s="35" t="str">
        <f>CHOOSE(Assumptions!$E$5,"Base","Downside","Upside")</f>
        <v>Base</v>
      </c>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row>
    <row r="5" spans="1:66" ht="20" customHeight="1">
      <c r="A5" s="30"/>
      <c r="B5" s="30"/>
      <c r="C5" s="31"/>
      <c r="D5" s="31"/>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row>
    <row r="6" spans="1:66" ht="20" customHeight="1">
      <c r="A6" s="30"/>
      <c r="B6" s="30"/>
      <c r="C6" s="31"/>
      <c r="D6" s="31"/>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row>
    <row r="7" spans="1:66" ht="24" customHeight="1">
      <c r="A7" s="30"/>
      <c r="B7" s="30"/>
      <c r="C7" s="36" t="s">
        <v>176</v>
      </c>
      <c r="D7" s="36"/>
      <c r="E7" s="37">
        <v>2027</v>
      </c>
      <c r="F7" s="37">
        <v>2028</v>
      </c>
      <c r="G7" s="37">
        <v>2029</v>
      </c>
      <c r="H7" s="37">
        <v>2030</v>
      </c>
      <c r="I7" s="37">
        <v>2031</v>
      </c>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2"/>
      <c r="BN7" s="32"/>
    </row>
    <row r="8" spans="1:66" ht="20" customHeight="1">
      <c r="A8" s="30"/>
      <c r="B8" s="30"/>
      <c r="C8" s="31" t="s">
        <v>4</v>
      </c>
      <c r="D8" s="31"/>
      <c r="E8" s="44">
        <f>SUM('Revenue costs'!E14:P14)</f>
        <v>750</v>
      </c>
      <c r="F8" s="44">
        <f>SUM('Revenue costs'!Q14:AB14)</f>
        <v>714.70000000000027</v>
      </c>
      <c r="G8" s="44">
        <f>SUM('Revenue costs'!AC14:AN14)</f>
        <v>728.71500000000015</v>
      </c>
      <c r="H8" s="44">
        <f>SUM('Revenue costs'!AO14:AZ14)</f>
        <v>743.11845000000005</v>
      </c>
      <c r="I8" s="44">
        <f>SUM('Revenue costs'!BA14:BL14)</f>
        <v>757.92136349999998</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row>
    <row r="9" spans="1:66" ht="20" customHeight="1">
      <c r="A9" s="30"/>
      <c r="B9" s="30"/>
      <c r="C9" s="31" t="s">
        <v>177</v>
      </c>
      <c r="D9" s="31"/>
      <c r="E9" s="44">
        <f>SUM('Revenue costs'!E19:P19)</f>
        <v>350.00000000000006</v>
      </c>
      <c r="F9" s="44">
        <f>SUM('Revenue costs'!Q19:AB19)</f>
        <v>348.99999999999994</v>
      </c>
      <c r="G9" s="44">
        <f>SUM('Revenue costs'!AC19:AN19)</f>
        <v>352.73999999999995</v>
      </c>
      <c r="H9" s="44">
        <f>SUM('Revenue costs'!AO19:AZ19)</f>
        <v>361.3148000000001</v>
      </c>
      <c r="I9" s="44">
        <f>SUM('Revenue costs'!BA19:BL19)</f>
        <v>374.82109600000007</v>
      </c>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row>
    <row r="10" spans="1:66" ht="20" customHeight="1">
      <c r="A10" s="30"/>
      <c r="B10" s="30"/>
      <c r="C10" s="31" t="s">
        <v>178</v>
      </c>
      <c r="D10" s="31"/>
      <c r="E10" s="44">
        <f>SUM('Revenue costs'!E21:P21)</f>
        <v>184.99999999999997</v>
      </c>
      <c r="F10" s="44">
        <f>SUM('Revenue costs'!Q21:AB21)</f>
        <v>188.69999999999996</v>
      </c>
      <c r="G10" s="44">
        <f>SUM('Revenue costs'!AC21:AN21)</f>
        <v>192.47400000000002</v>
      </c>
      <c r="H10" s="44">
        <f>SUM('Revenue costs'!AO21:AZ21)</f>
        <v>196.32347999999993</v>
      </c>
      <c r="I10" s="44">
        <f>SUM('Revenue costs'!BA21:BL21)</f>
        <v>200.24994959999995</v>
      </c>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row>
    <row r="11" spans="1:66" ht="23" customHeight="1">
      <c r="A11" s="30"/>
      <c r="B11" s="30"/>
      <c r="C11" s="39" t="s">
        <v>5</v>
      </c>
      <c r="D11" s="39"/>
      <c r="E11" s="40">
        <f>SUM('Revenue costs'!E22:P22)</f>
        <v>214.99999999999991</v>
      </c>
      <c r="F11" s="40">
        <f>SUM('Revenue costs'!Q22:AB22)</f>
        <v>177.00000000000003</v>
      </c>
      <c r="G11" s="40">
        <f>SUM('Revenue costs'!AC22:AN22)</f>
        <v>183.50100000000006</v>
      </c>
      <c r="H11" s="40">
        <f>SUM('Revenue costs'!AO22:AZ22)</f>
        <v>185.48017000000002</v>
      </c>
      <c r="I11" s="40">
        <f>SUM('Revenue costs'!BA22:BL22)</f>
        <v>182.85031789999982</v>
      </c>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row>
    <row r="12" spans="1:66" ht="20" customHeight="1">
      <c r="A12" s="30"/>
      <c r="B12" s="30"/>
      <c r="C12" s="31" t="s">
        <v>179</v>
      </c>
      <c r="D12" s="31"/>
      <c r="E12" s="44">
        <f>SUM(Registrations!E89:P89)</f>
        <v>183.95475099493953</v>
      </c>
      <c r="F12" s="44">
        <f>SUM(Registrations!Q89:AB89)</f>
        <v>167.57380561043786</v>
      </c>
      <c r="G12" s="44">
        <f>SUM(Registrations!AC89:AN89)</f>
        <v>141.08090116526321</v>
      </c>
      <c r="H12" s="44">
        <f>SUM(Registrations!AO89:AZ89)</f>
        <v>115.34467756398099</v>
      </c>
      <c r="I12" s="44">
        <f>SUM(Registrations!BA89:BL89)</f>
        <v>95.989273957312321</v>
      </c>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row>
    <row r="13" spans="1:66" ht="20" customHeight="1">
      <c r="A13" s="30"/>
      <c r="B13" s="30"/>
      <c r="C13" s="31" t="s">
        <v>180</v>
      </c>
      <c r="D13" s="31"/>
      <c r="E13" s="44">
        <f>SUM('Revenue costs'!E24:P24)</f>
        <v>21.999999999999996</v>
      </c>
      <c r="F13" s="44">
        <f>SUM('Revenue costs'!Q24:AB24)</f>
        <v>21.999999999999996</v>
      </c>
      <c r="G13" s="44">
        <f>SUM('Revenue costs'!AC24:AN24)</f>
        <v>21.999999999999996</v>
      </c>
      <c r="H13" s="44">
        <f>SUM('Revenue costs'!AO24:AZ24)</f>
        <v>21.999999999999996</v>
      </c>
      <c r="I13" s="44">
        <f>SUM('Revenue costs'!BA24:BL24)</f>
        <v>21.999999999999996</v>
      </c>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row>
    <row r="14" spans="1:66" ht="20" customHeight="1">
      <c r="A14" s="30"/>
      <c r="B14" s="30"/>
      <c r="C14" s="31" t="s">
        <v>181</v>
      </c>
      <c r="D14" s="31"/>
      <c r="E14" s="44">
        <f>SUM('Revenue costs'!E25:P25)</f>
        <v>3.399999999999999</v>
      </c>
      <c r="F14" s="44">
        <f>SUM('Revenue costs'!Q25:AB25)</f>
        <v>3.399999999999999</v>
      </c>
      <c r="G14" s="44">
        <f>SUM('Revenue costs'!AC25:AN25)</f>
        <v>3.399999999999999</v>
      </c>
      <c r="H14" s="44">
        <f>SUM('Revenue costs'!AO25:AZ25)</f>
        <v>3.399999999999999</v>
      </c>
      <c r="I14" s="44">
        <f>SUM('Revenue costs'!BA25:BL25)</f>
        <v>3.399999999999999</v>
      </c>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row>
    <row r="15" spans="1:66" ht="20" customHeight="1">
      <c r="A15" s="30"/>
      <c r="B15" s="30"/>
      <c r="C15" s="31" t="s">
        <v>182</v>
      </c>
      <c r="D15" s="31"/>
      <c r="E15" s="44">
        <f>SUM(Transfers!E25:P25)</f>
        <v>40.632523809523811</v>
      </c>
      <c r="F15" s="44">
        <f>SUM(Transfers!Q25:AB25)</f>
        <v>33.849206349206348</v>
      </c>
      <c r="G15" s="44">
        <f>SUM(Transfers!AC25:AN25)</f>
        <v>33.849206349206348</v>
      </c>
      <c r="H15" s="44">
        <f>SUM(Transfers!AO25:AZ25)</f>
        <v>33.849206349206348</v>
      </c>
      <c r="I15" s="44">
        <f>SUM(Transfers!BA25:BL25)</f>
        <v>33.849206349206348</v>
      </c>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row>
    <row r="16" spans="1:66" ht="23" customHeight="1">
      <c r="A16" s="30"/>
      <c r="B16" s="30"/>
      <c r="C16" s="39" t="s">
        <v>183</v>
      </c>
      <c r="D16" s="39"/>
      <c r="E16" s="40">
        <f>E11-E12-E13-E14+E15</f>
        <v>46.277772814584196</v>
      </c>
      <c r="F16" s="40">
        <f>F11-F12-F13-F14+F15</f>
        <v>17.875400738768523</v>
      </c>
      <c r="G16" s="40">
        <f>G11-G12-G13-G14+G15</f>
        <v>50.869305183943197</v>
      </c>
      <c r="H16" s="40">
        <f>H11-H12-H13-H14+H15</f>
        <v>78.58469878522537</v>
      </c>
      <c r="I16" s="40">
        <f>I11-I12-I13-I14+I15</f>
        <v>95.310250291893851</v>
      </c>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row>
    <row r="17" spans="1:66" ht="20" customHeight="1">
      <c r="A17" s="30"/>
      <c r="B17" s="30"/>
      <c r="C17" s="31" t="s">
        <v>184</v>
      </c>
      <c r="D17" s="31"/>
      <c r="E17" s="35">
        <f>SUM('Debt cash'!E22:P22)-SUM('Debt cash'!E57:P57)+SUM('Debt cash'!E48:P48)-SUM('Debt cash'!E49:P49)</f>
        <v>43.61358295067545</v>
      </c>
      <c r="F17" s="35">
        <f>SUM('Debt cash'!Q22:AB22)-SUM('Debt cash'!Q57:AB57)+SUM('Debt cash'!Q48:AB48)-SUM('Debt cash'!Q49:AB49)</f>
        <v>45.790408923062358</v>
      </c>
      <c r="G17" s="35">
        <f>SUM('Debt cash'!AC22:AN22)-SUM('Debt cash'!AC57:AN57)+SUM('Debt cash'!AC48:AN48)-SUM('Debt cash'!AC49:AN49)</f>
        <v>44.253325224245259</v>
      </c>
      <c r="H17" s="35">
        <f>SUM('Debt cash'!AO22:AZ22)-SUM('Debt cash'!AO57:AZ57)+SUM('Debt cash'!AO48:AZ48)-SUM('Debt cash'!AO49:AZ49)</f>
        <v>39.82844205331898</v>
      </c>
      <c r="I17" s="35">
        <f>SUM('Debt cash'!BA22:BL22)-SUM('Debt cash'!BA57:BL57)+SUM('Debt cash'!BA48:BL48)-SUM('Debt cash'!BA49:BL49)</f>
        <v>35.911469281341539</v>
      </c>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row>
    <row r="18" spans="1:66" ht="20" customHeight="1">
      <c r="A18" s="30"/>
      <c r="B18" s="30"/>
      <c r="C18" s="31" t="s">
        <v>185</v>
      </c>
      <c r="D18" s="31"/>
      <c r="E18" s="44">
        <f>SUM(Transfers!E31:P31)-SUM(Transfers!E35:P35)</f>
        <v>13.72793281491591</v>
      </c>
      <c r="F18" s="44">
        <f>SUM(Transfers!Q31:AB31)-SUM(Transfers!Q35:AB35)</f>
        <v>7.8757992597481241</v>
      </c>
      <c r="G18" s="44">
        <f>SUM(Transfers!AC31:AN31)-SUM(Transfers!AC35:AN35)</f>
        <v>5.1743750223970064</v>
      </c>
      <c r="H18" s="44">
        <f>SUM(Transfers!AO31:AZ31)-SUM(Transfers!AO35:AZ35)</f>
        <v>3.8673645876484217</v>
      </c>
      <c r="I18" s="44">
        <f>SUM(Transfers!BA31:BL31)-SUM(Transfers!BA35:BL35)</f>
        <v>1.8973110949650913</v>
      </c>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row>
    <row r="19" spans="1:66" ht="20" customHeight="1">
      <c r="A19" s="30"/>
      <c r="B19" s="30"/>
      <c r="C19" s="31" t="s">
        <v>186</v>
      </c>
      <c r="D19" s="31"/>
      <c r="E19" s="44">
        <f>SUM('Debt cash'!E19:P19)</f>
        <v>-1.2192330827068645</v>
      </c>
      <c r="F19" s="44">
        <f>SUM('Debt cash'!Q19:AB19)</f>
        <v>0</v>
      </c>
      <c r="G19" s="44">
        <f>SUM('Debt cash'!AC19:AN19)</f>
        <v>0</v>
      </c>
      <c r="H19" s="44">
        <f>SUM('Debt cash'!AO19:AZ19)</f>
        <v>0</v>
      </c>
      <c r="I19" s="44">
        <f>SUM('Debt cash'!BA19:BL19)</f>
        <v>0</v>
      </c>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row>
    <row r="20" spans="1:66" ht="20" customHeight="1">
      <c r="A20" s="30"/>
      <c r="B20" s="30"/>
      <c r="C20" s="31" t="s">
        <v>187</v>
      </c>
      <c r="D20" s="31"/>
      <c r="E20" s="44">
        <f>SUM('Debt cash'!E23:P23)</f>
        <v>1.2744</v>
      </c>
      <c r="F20" s="44">
        <f>SUM('Debt cash'!Q23:AB23)</f>
        <v>1.2744</v>
      </c>
      <c r="G20" s="44">
        <f>SUM('Debt cash'!AC23:AN23)</f>
        <v>1.2744</v>
      </c>
      <c r="H20" s="44">
        <f>SUM('Debt cash'!AO23:AZ23)</f>
        <v>1.2744</v>
      </c>
      <c r="I20" s="44">
        <f>SUM('Debt cash'!BA23:BL23)</f>
        <v>1.2744</v>
      </c>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row>
    <row r="21" spans="1:66" ht="23" customHeight="1">
      <c r="A21" s="30"/>
      <c r="B21" s="30"/>
      <c r="C21" s="39" t="s">
        <v>188</v>
      </c>
      <c r="D21" s="39"/>
      <c r="E21" s="40">
        <f>E16-SUM(E17:E20)</f>
        <v>-11.1189098683003</v>
      </c>
      <c r="F21" s="40">
        <f>F16-SUM(F17:F20)</f>
        <v>-37.06520744404196</v>
      </c>
      <c r="G21" s="40">
        <f>G16-SUM(G17:G20)</f>
        <v>0.16720493730093011</v>
      </c>
      <c r="H21" s="40">
        <f>H16-SUM(H17:H20)</f>
        <v>33.614492144257966</v>
      </c>
      <c r="I21" s="40">
        <f>I16-SUM(I17:I20)</f>
        <v>56.227069915587222</v>
      </c>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row>
    <row r="22" spans="1:66" ht="20" customHeight="1">
      <c r="A22" s="30"/>
      <c r="B22" s="30"/>
      <c r="C22" s="31" t="s">
        <v>189</v>
      </c>
      <c r="D22" s="31"/>
      <c r="E22" s="44">
        <f>SUM('Debt cash'!E10:P10)</f>
        <v>8.9562772048070975</v>
      </c>
      <c r="F22" s="44">
        <f>SUM('Debt cash'!Q10:AB10)</f>
        <v>1</v>
      </c>
      <c r="G22" s="44">
        <f>SUM('Debt cash'!AC10:AN10)</f>
        <v>1</v>
      </c>
      <c r="H22" s="44">
        <f>SUM('Debt cash'!AO10:AZ10)</f>
        <v>1</v>
      </c>
      <c r="I22" s="44">
        <f>SUM('Debt cash'!BA10:BL10)</f>
        <v>2.9165518830605643</v>
      </c>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row>
    <row r="23" spans="1:66" ht="23" customHeight="1">
      <c r="A23" s="30"/>
      <c r="B23" s="30"/>
      <c r="C23" s="39" t="s">
        <v>6</v>
      </c>
      <c r="D23" s="39"/>
      <c r="E23" s="40">
        <f>SUM('Debt cash'!E40:P40)</f>
        <v>-20.075187073107323</v>
      </c>
      <c r="F23" s="40">
        <f>SUM('Debt cash'!Q40:AB40)</f>
        <v>-38.065207444041953</v>
      </c>
      <c r="G23" s="40">
        <f>SUM('Debt cash'!AC40:AN40)</f>
        <v>-0.83279506269911074</v>
      </c>
      <c r="H23" s="40">
        <f>SUM('Debt cash'!AO40:AZ40)</f>
        <v>32.614492144257966</v>
      </c>
      <c r="I23" s="40">
        <f>SUM('Debt cash'!BA40:BL40)</f>
        <v>53.310518032526758</v>
      </c>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row>
    <row r="24" spans="1:66" ht="20" customHeight="1">
      <c r="A24" s="30"/>
      <c r="B24" s="30"/>
      <c r="C24" s="31"/>
      <c r="D24" s="31"/>
      <c r="E24" s="44"/>
      <c r="F24" s="44"/>
      <c r="G24" s="44"/>
      <c r="H24" s="44"/>
      <c r="I24" s="44"/>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row>
    <row r="25" spans="1:66" ht="20" customHeight="1">
      <c r="A25" s="30"/>
      <c r="B25" s="30"/>
      <c r="C25" s="31"/>
      <c r="D25" s="31"/>
      <c r="E25" s="44"/>
      <c r="F25" s="44"/>
      <c r="G25" s="44"/>
      <c r="H25" s="44"/>
      <c r="I25" s="44"/>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row>
    <row r="26" spans="1:66" ht="20" customHeight="1">
      <c r="A26" s="30"/>
      <c r="B26" s="30"/>
      <c r="C26" s="31" t="s">
        <v>190</v>
      </c>
      <c r="D26" s="31"/>
      <c r="E26" s="44">
        <f>SUM('Debt cash'!E9:P9)</f>
        <v>207.43799999999993</v>
      </c>
      <c r="F26" s="44">
        <f>SUM('Debt cash'!Q9:AB9)</f>
        <v>167.80000000000007</v>
      </c>
      <c r="G26" s="44">
        <f>SUM('Debt cash'!AC9:AN9)</f>
        <v>184.30100000000002</v>
      </c>
      <c r="H26" s="44">
        <f>SUM('Debt cash'!AO9:AZ9)</f>
        <v>186.28017</v>
      </c>
      <c r="I26" s="44">
        <f>SUM('Debt cash'!BA9:BL9)</f>
        <v>183.65031789999989</v>
      </c>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row>
    <row r="27" spans="1:66" ht="20" customHeight="1">
      <c r="A27" s="30"/>
      <c r="B27" s="30"/>
      <c r="C27" s="31" t="s">
        <v>191</v>
      </c>
      <c r="D27" s="31"/>
      <c r="E27" s="35">
        <f>E26-SUM('Debt cash'!E22:P22)-E22</f>
        <v>153.4681398445174</v>
      </c>
      <c r="F27" s="35">
        <f>F26-SUM('Debt cash'!Q22:AB22)-F22</f>
        <v>121.00959107693771</v>
      </c>
      <c r="G27" s="35">
        <f>G26-SUM('Debt cash'!AC22:AN22)-G22</f>
        <v>139.04767477575476</v>
      </c>
      <c r="H27" s="35">
        <f>H26-SUM('Debt cash'!AO22:AZ22)-H22</f>
        <v>145.45172794668105</v>
      </c>
      <c r="I27" s="35">
        <f>I26-SUM('Debt cash'!BA22:BL22)-I22</f>
        <v>144.8222967355978</v>
      </c>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row>
    <row r="28" spans="1:66" ht="20" customHeight="1">
      <c r="A28" s="30"/>
      <c r="B28" s="30"/>
      <c r="C28" s="31" t="s">
        <v>192</v>
      </c>
      <c r="D28" s="31"/>
      <c r="E28" s="44">
        <f>SUM(Transfers!E16:P16)</f>
        <v>306.61403918118316</v>
      </c>
      <c r="F28" s="44">
        <f>SUM(Transfers!Q16:AB16)</f>
        <v>180.08643135133264</v>
      </c>
      <c r="G28" s="44">
        <f>SUM(Transfers!AC16:AN16)</f>
        <v>95.296383860870876</v>
      </c>
      <c r="H28" s="44">
        <f>SUM(Transfers!AO16:AZ16)</f>
        <v>108.27322055391441</v>
      </c>
      <c r="I28" s="44">
        <f>SUM(Transfers!BA16:BL16)</f>
        <v>105.71234908161014</v>
      </c>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row>
    <row r="29" spans="1:66" ht="20" customHeight="1">
      <c r="A29" s="30"/>
      <c r="B29" s="30"/>
      <c r="C29" s="31" t="s">
        <v>193</v>
      </c>
      <c r="D29" s="31"/>
      <c r="E29" s="44">
        <f>SUM(Transfers!E28:P28)</f>
        <v>61.654920206584109</v>
      </c>
      <c r="F29" s="44">
        <f>SUM(Transfers!Q28:AB28)</f>
        <v>57.085688406530267</v>
      </c>
      <c r="G29" s="44">
        <f>SUM(Transfers!AC28:AN28)</f>
        <v>70.239972826856786</v>
      </c>
      <c r="H29" s="44">
        <f>SUM(Transfers!AO28:AZ28)</f>
        <v>50</v>
      </c>
      <c r="I29" s="44">
        <f>SUM(Transfers!BA28:BL28)</f>
        <v>50</v>
      </c>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row>
    <row r="30" spans="1:66" ht="20" customHeight="1">
      <c r="A30" s="30"/>
      <c r="B30" s="30"/>
      <c r="C30" s="31" t="s">
        <v>194</v>
      </c>
      <c r="D30" s="31"/>
      <c r="E30" s="44">
        <f>SUM('Debt cash'!E13:P13)</f>
        <v>28.400000000000002</v>
      </c>
      <c r="F30" s="44">
        <f>SUM('Debt cash'!Q13:AB13)</f>
        <v>28.400000000000002</v>
      </c>
      <c r="G30" s="44">
        <f>SUM('Debt cash'!AC13:AN13)</f>
        <v>28.400000000000002</v>
      </c>
      <c r="H30" s="44">
        <f>SUM('Debt cash'!AO13:AZ13)</f>
        <v>28.400000000000002</v>
      </c>
      <c r="I30" s="44">
        <f>SUM('Debt cash'!BA13:BL13)</f>
        <v>28.400000000000002</v>
      </c>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row>
    <row r="31" spans="1:66" ht="23" customHeight="1">
      <c r="A31" s="30"/>
      <c r="B31" s="30"/>
      <c r="C31" s="39" t="s">
        <v>195</v>
      </c>
      <c r="D31" s="39"/>
      <c r="E31" s="40">
        <f>E27-E28+E29-E30</f>
        <v>-119.89097913008166</v>
      </c>
      <c r="F31" s="40">
        <f>F27-F28+F29-F30</f>
        <v>-30.391151867864661</v>
      </c>
      <c r="G31" s="40">
        <f>G27-G28+G29-G30</f>
        <v>85.591263741740661</v>
      </c>
      <c r="H31" s="40">
        <f>H27-H28+H29-H30</f>
        <v>58.778507392766628</v>
      </c>
      <c r="I31" s="40">
        <f>I27-I28+I29-I30</f>
        <v>60.709947653987655</v>
      </c>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row>
    <row r="32" spans="1:66" ht="20" customHeight="1">
      <c r="A32" s="30"/>
      <c r="B32" s="30"/>
      <c r="C32" s="31" t="s">
        <v>196</v>
      </c>
      <c r="D32" s="31"/>
      <c r="E32" s="44">
        <f>SUM('Debt cash'!E14:P14)</f>
        <v>1.2</v>
      </c>
      <c r="F32" s="44">
        <f>SUM('Debt cash'!Q14:AB14)</f>
        <v>1.2</v>
      </c>
      <c r="G32" s="44">
        <f>SUM('Debt cash'!AC14:AN14)</f>
        <v>0.86999999999999822</v>
      </c>
      <c r="H32" s="44">
        <f>SUM('Debt cash'!AO14:AZ14)</f>
        <v>0</v>
      </c>
      <c r="I32" s="44">
        <f>SUM('Debt cash'!BA14:BL14)</f>
        <v>0</v>
      </c>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row>
    <row r="33" spans="1:66" ht="20" customHeight="1">
      <c r="A33" s="30"/>
      <c r="B33" s="30"/>
      <c r="C33" s="31" t="s">
        <v>197</v>
      </c>
      <c r="D33" s="31"/>
      <c r="E33" s="44">
        <f>SUM('Debt cash'!E25:P25)</f>
        <v>0</v>
      </c>
      <c r="F33" s="44">
        <f>SUM('Debt cash'!Q25:AB25)</f>
        <v>0</v>
      </c>
      <c r="G33" s="44">
        <f>SUM('Debt cash'!AC25:AN25)</f>
        <v>0</v>
      </c>
      <c r="H33" s="44">
        <f>SUM('Debt cash'!AO25:AZ25)</f>
        <v>115.99294396134464</v>
      </c>
      <c r="I33" s="44">
        <f>SUM('Debt cash'!BA25:BL25)</f>
        <v>582.70676691729318</v>
      </c>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row>
    <row r="34" spans="1:66" ht="20" customHeight="1">
      <c r="A34" s="30"/>
      <c r="B34" s="30"/>
      <c r="C34" s="31" t="s">
        <v>198</v>
      </c>
      <c r="D34" s="31"/>
      <c r="E34" s="44">
        <f>SUM('Debt cash'!E26:P26)</f>
        <v>0</v>
      </c>
      <c r="F34" s="44">
        <f>SUM('Debt cash'!Q26:AB26)</f>
        <v>0</v>
      </c>
      <c r="G34" s="44">
        <f>SUM('Debt cash'!AC26:AN26)</f>
        <v>0</v>
      </c>
      <c r="H34" s="44">
        <f>SUM('Debt cash'!AO26:AZ26)</f>
        <v>115.99294396134464</v>
      </c>
      <c r="I34" s="44">
        <f>SUM('Debt cash'!BA26:BL26)</f>
        <v>582.70676691729318</v>
      </c>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row>
    <row r="35" spans="1:66" ht="20" customHeight="1">
      <c r="A35" s="30"/>
      <c r="B35" s="30"/>
      <c r="C35" s="31" t="s">
        <v>199</v>
      </c>
      <c r="D35" s="31"/>
      <c r="E35" s="44">
        <f>SUM('Debt cash'!E30:P30)-SUM('Debt cash'!E31:P31)+SUM('Debt cash'!E51:P51)</f>
        <v>78.84497913008164</v>
      </c>
      <c r="F35" s="44">
        <f>SUM('Debt cash'!Q30:AB30)-SUM('Debt cash'!Q31:AB31)+SUM('Debt cash'!Q51:AB51)</f>
        <v>31.591151867864653</v>
      </c>
      <c r="G35" s="44">
        <f>SUM('Debt cash'!AC30:AN30)-SUM('Debt cash'!AC31:AN31)+SUM('Debt cash'!AC51:AN51)</f>
        <v>-84.7212637417407</v>
      </c>
      <c r="H35" s="44">
        <f>SUM('Debt cash'!AO30:AZ30)-SUM('Debt cash'!AO31:AZ31)+SUM('Debt cash'!AO51:AZ51)</f>
        <v>-58.778507392766556</v>
      </c>
      <c r="I35" s="44">
        <f>SUM('Debt cash'!BA30:BL30)-SUM('Debt cash'!BA31:BL31)+SUM('Debt cash'!BA51:BL51)</f>
        <v>-60.709947653987626</v>
      </c>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row>
    <row r="36" spans="1:66" ht="23" customHeight="1">
      <c r="A36" s="30"/>
      <c r="B36" s="30"/>
      <c r="C36" s="39" t="s">
        <v>200</v>
      </c>
      <c r="D36" s="39"/>
      <c r="E36" s="40">
        <f>'Debt cash'!P33</f>
        <v>25</v>
      </c>
      <c r="F36" s="40">
        <f>'Debt cash'!AB33</f>
        <v>25</v>
      </c>
      <c r="G36" s="40">
        <f>'Debt cash'!AN33</f>
        <v>25</v>
      </c>
      <c r="H36" s="40">
        <f>'Debt cash'!AZ33</f>
        <v>25</v>
      </c>
      <c r="I36" s="40">
        <f>'Debt cash'!BL33</f>
        <v>25</v>
      </c>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row>
    <row r="37" spans="1:66" ht="20" customHeight="1">
      <c r="A37" s="30"/>
      <c r="B37" s="30"/>
      <c r="C37" s="31"/>
      <c r="D37" s="31"/>
      <c r="E37" s="44"/>
      <c r="F37" s="44"/>
      <c r="G37" s="44"/>
      <c r="H37" s="44"/>
      <c r="I37" s="44"/>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row>
    <row r="38" spans="1:66" ht="20" customHeight="1">
      <c r="A38" s="30"/>
      <c r="B38" s="30"/>
      <c r="C38" s="31"/>
      <c r="D38" s="31"/>
      <c r="E38" s="44"/>
      <c r="F38" s="44"/>
      <c r="G38" s="44"/>
      <c r="H38" s="44"/>
      <c r="I38" s="44"/>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row>
    <row r="39" spans="1:66" ht="20" customHeight="1">
      <c r="A39" s="30"/>
      <c r="B39" s="30"/>
      <c r="C39" s="31" t="s">
        <v>201</v>
      </c>
      <c r="D39" s="31"/>
      <c r="E39" s="44">
        <f>Registrations!P92</f>
        <v>445.01703199877187</v>
      </c>
      <c r="F39" s="44">
        <f>Registrations!AB92</f>
        <v>325.14666014278805</v>
      </c>
      <c r="G39" s="44">
        <f>Registrations!AN92</f>
        <v>231.76919273197899</v>
      </c>
      <c r="H39" s="44">
        <f>Registrations!AZ92</f>
        <v>164.12794892245211</v>
      </c>
      <c r="I39" s="44">
        <f>Registrations!BL92</f>
        <v>115.84210871959392</v>
      </c>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row>
    <row r="40" spans="1:66" ht="20" customHeight="1">
      <c r="A40" s="30"/>
      <c r="B40" s="30"/>
      <c r="C40" s="31" t="s">
        <v>202</v>
      </c>
      <c r="D40" s="31"/>
      <c r="E40" s="44">
        <f>Transfers!P36</f>
        <v>59.653768816043545</v>
      </c>
      <c r="F40" s="44">
        <f>Transfers!AB36</f>
        <v>53.932396949300689</v>
      </c>
      <c r="G40" s="44">
        <f>Transfers!AN36</f>
        <v>34.24421081434167</v>
      </c>
      <c r="H40" s="44">
        <f>Transfers!AZ36</f>
        <v>34.244210814341677</v>
      </c>
      <c r="I40" s="44">
        <f>Transfers!BL36</f>
        <v>34.244210814341692</v>
      </c>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row>
    <row r="41" spans="1:66" ht="20" customHeight="1">
      <c r="A41" s="30"/>
      <c r="B41" s="30"/>
      <c r="C41" s="31" t="s">
        <v>203</v>
      </c>
      <c r="D41" s="31"/>
      <c r="E41" s="44">
        <f>'Debt cash'!P43</f>
        <v>964.42800000000011</v>
      </c>
      <c r="F41" s="44">
        <f>'Debt cash'!AB43</f>
        <v>976.62799999999993</v>
      </c>
      <c r="G41" s="44">
        <f>'Debt cash'!AN43</f>
        <v>978.82799999999929</v>
      </c>
      <c r="H41" s="44">
        <f>'Debt cash'!AZ43</f>
        <v>981.02799999999866</v>
      </c>
      <c r="I41" s="44">
        <f>'Debt cash'!BL43</f>
        <v>983.22799999999802</v>
      </c>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row>
    <row r="42" spans="1:66" ht="23" customHeight="1">
      <c r="A42" s="30"/>
      <c r="B42" s="30"/>
      <c r="C42" s="39" t="s">
        <v>204</v>
      </c>
      <c r="D42" s="39"/>
      <c r="E42" s="40">
        <f>'Debt cash'!P45</f>
        <v>1494.0988008148156</v>
      </c>
      <c r="F42" s="40">
        <f>'Debt cash'!AB45</f>
        <v>1380.7070570920887</v>
      </c>
      <c r="G42" s="40">
        <f>'Debt cash'!AN45</f>
        <v>1269.84140354632</v>
      </c>
      <c r="H42" s="40">
        <f>'Debt cash'!AZ45</f>
        <v>1204.4001597367924</v>
      </c>
      <c r="I42" s="40">
        <f>'Debt cash'!BL45</f>
        <v>1158.3143195339337</v>
      </c>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row>
    <row r="43" spans="1:66" ht="20" customHeight="1">
      <c r="A43" s="30"/>
      <c r="B43" s="30"/>
      <c r="C43" s="31"/>
      <c r="D43" s="31"/>
      <c r="E43" s="44"/>
      <c r="F43" s="44"/>
      <c r="G43" s="44"/>
      <c r="H43" s="44"/>
      <c r="I43" s="44"/>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row>
    <row r="44" spans="1:66" ht="20" customHeight="1">
      <c r="A44" s="30"/>
      <c r="B44" s="30"/>
      <c r="C44" s="31" t="s">
        <v>205</v>
      </c>
      <c r="D44" s="31"/>
      <c r="E44" s="44">
        <f>'Debt cash'!P36</f>
        <v>766.45414604737471</v>
      </c>
      <c r="F44" s="44">
        <f>'Debt cash'!AB36</f>
        <v>799.31969791523943</v>
      </c>
      <c r="G44" s="44">
        <f>'Debt cash'!AN36</f>
        <v>715.87283417349886</v>
      </c>
      <c r="H44" s="44">
        <f>'Debt cash'!AZ36</f>
        <v>658.36872678073223</v>
      </c>
      <c r="I44" s="44">
        <f>'Debt cash'!BL36</f>
        <v>598.93317912674456</v>
      </c>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row>
    <row r="45" spans="1:66" ht="20" customHeight="1">
      <c r="A45" s="30"/>
      <c r="B45" s="30"/>
      <c r="C45" s="31" t="s">
        <v>206</v>
      </c>
      <c r="D45" s="31"/>
      <c r="E45" s="44">
        <f>Transfers!P32</f>
        <v>271.56784184054817</v>
      </c>
      <c r="F45" s="44">
        <f>Transfers!AB32</f>
        <v>164.57575369399896</v>
      </c>
      <c r="G45" s="44">
        <f>Transfers!AN32</f>
        <v>138.85975895267075</v>
      </c>
      <c r="H45" s="44">
        <f>Transfers!AZ32</f>
        <v>98.308130391652625</v>
      </c>
      <c r="I45" s="44">
        <f>Transfers!BL32</f>
        <v>58.347319810255414</v>
      </c>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row>
    <row r="46" spans="1:66" ht="20" customHeight="1">
      <c r="A46" s="30"/>
      <c r="B46" s="30"/>
      <c r="C46" s="31" t="s">
        <v>207</v>
      </c>
      <c r="D46" s="31"/>
      <c r="E46" s="44">
        <f>'Debt cash'!P41</f>
        <v>2.069999999999999</v>
      </c>
      <c r="F46" s="44">
        <f>'Debt cash'!AB41</f>
        <v>0.86999999999999811</v>
      </c>
      <c r="G46" s="44">
        <f>'Debt cash'!AN41</f>
        <v>0</v>
      </c>
      <c r="H46" s="44">
        <f>'Debt cash'!AZ41</f>
        <v>0</v>
      </c>
      <c r="I46" s="44">
        <f>'Debt cash'!BL41</f>
        <v>0</v>
      </c>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row>
    <row r="47" spans="1:66" ht="20" customHeight="1">
      <c r="A47" s="30"/>
      <c r="B47" s="30"/>
      <c r="C47" s="31" t="s">
        <v>208</v>
      </c>
      <c r="D47" s="31"/>
      <c r="E47" s="44">
        <f>'Debt cash'!P44</f>
        <v>323.71900000000005</v>
      </c>
      <c r="F47" s="44">
        <f>'Debt cash'!AB44</f>
        <v>323.71900000000005</v>
      </c>
      <c r="G47" s="44">
        <f>'Debt cash'!AN44</f>
        <v>323.71900000000005</v>
      </c>
      <c r="H47" s="44">
        <f>'Debt cash'!AZ44</f>
        <v>323.71900000000005</v>
      </c>
      <c r="I47" s="44">
        <f>'Debt cash'!BL44</f>
        <v>323.71900000000005</v>
      </c>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row>
    <row r="48" spans="1:66" ht="23" customHeight="1">
      <c r="A48" s="30"/>
      <c r="B48" s="30"/>
      <c r="C48" s="39" t="s">
        <v>209</v>
      </c>
      <c r="D48" s="39"/>
      <c r="E48" s="40">
        <f>'Debt cash'!P46</f>
        <v>1363.8109878879229</v>
      </c>
      <c r="F48" s="40">
        <f>'Debt cash'!AB46</f>
        <v>1288.4844516092385</v>
      </c>
      <c r="G48" s="40">
        <f>'Debt cash'!AN46</f>
        <v>1178.4515931261697</v>
      </c>
      <c r="H48" s="40">
        <f>'Debt cash'!AZ46</f>
        <v>1080.3958571723849</v>
      </c>
      <c r="I48" s="40">
        <f>'Debt cash'!BL46</f>
        <v>980.999498937</v>
      </c>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row>
    <row r="49" spans="1:66" ht="23" customHeight="1">
      <c r="A49" s="30"/>
      <c r="B49" s="30"/>
      <c r="C49" s="39" t="s">
        <v>210</v>
      </c>
      <c r="D49" s="39"/>
      <c r="E49" s="40">
        <f>'Debt cash'!P42</f>
        <v>130.28781292689268</v>
      </c>
      <c r="F49" s="40">
        <f>'Debt cash'!AB42</f>
        <v>92.222605482850739</v>
      </c>
      <c r="G49" s="40">
        <f>'Debt cash'!AN42</f>
        <v>91.389810420151633</v>
      </c>
      <c r="H49" s="40">
        <f>'Debt cash'!AZ42</f>
        <v>124.00430256440957</v>
      </c>
      <c r="I49" s="40">
        <f>'Debt cash'!BL42</f>
        <v>177.3148205969363</v>
      </c>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row>
    <row r="50" spans="1:66" ht="20" customHeight="1">
      <c r="A50" s="30"/>
      <c r="B50" s="30"/>
      <c r="C50" s="31"/>
      <c r="D50" s="31"/>
      <c r="E50" s="44"/>
      <c r="F50" s="44"/>
      <c r="G50" s="44"/>
      <c r="H50" s="44"/>
      <c r="I50" s="44"/>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row>
    <row r="51" spans="1:66" ht="20" customHeight="1">
      <c r="A51" s="30"/>
      <c r="B51" s="30"/>
      <c r="C51" s="31"/>
      <c r="D51" s="31"/>
      <c r="E51" s="44"/>
      <c r="F51" s="44"/>
      <c r="G51" s="44"/>
      <c r="H51" s="44"/>
      <c r="I51" s="44"/>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row>
    <row r="52" spans="1:66" ht="20" customHeight="1">
      <c r="A52" s="30"/>
      <c r="B52" s="30"/>
      <c r="C52" s="31" t="s">
        <v>211</v>
      </c>
      <c r="D52" s="31"/>
      <c r="E52" s="44">
        <f>MAX('Debt cash'!E32:P32)</f>
        <v>245.50322858254228</v>
      </c>
      <c r="F52" s="44">
        <f>MAX('Debt cash'!Q32:AB32)</f>
        <v>265.22177728713041</v>
      </c>
      <c r="G52" s="44">
        <f>MAX('Debt cash'!AC32:AN32)</f>
        <v>256.63236367493704</v>
      </c>
      <c r="H52" s="44">
        <f>MAX('Debt cash'!AO32:AZ32)</f>
        <v>183.18726225459531</v>
      </c>
      <c r="I52" s="44">
        <f>MAX('Debt cash'!BA32:BL32)</f>
        <v>130.30952562178459</v>
      </c>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row>
    <row r="53" spans="1:66" ht="20" customHeight="1">
      <c r="A53" s="30"/>
      <c r="B53" s="30"/>
      <c r="C53" s="31" t="s">
        <v>9</v>
      </c>
      <c r="D53" s="31"/>
      <c r="E53" s="44">
        <f>MAX('Debt cash'!E34:P34)</f>
        <v>0</v>
      </c>
      <c r="F53" s="44">
        <f>MAX('Debt cash'!Q34:AB34)</f>
        <v>0</v>
      </c>
      <c r="G53" s="44">
        <f>MAX('Debt cash'!AC34:AN34)</f>
        <v>0</v>
      </c>
      <c r="H53" s="44">
        <f>MAX('Debt cash'!AO34:AZ34)</f>
        <v>3.5527136788005009E-15</v>
      </c>
      <c r="I53" s="44">
        <f>MAX('Debt cash'!BA34:BL34)</f>
        <v>0</v>
      </c>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row>
    <row r="54" spans="1:66" ht="20" customHeight="1">
      <c r="A54" s="30"/>
      <c r="B54" s="30"/>
      <c r="C54" s="31" t="s">
        <v>212</v>
      </c>
      <c r="D54" s="31"/>
      <c r="E54" s="44">
        <f>MIN('Debt cash'!E38:P38)</f>
        <v>89.999999999999915</v>
      </c>
      <c r="F54" s="44">
        <f>MIN('Debt cash'!Q38:AB38)</f>
        <v>52.000000000000028</v>
      </c>
      <c r="G54" s="44">
        <f>MIN('Debt cash'!AC38:AN38)</f>
        <v>52.541750000000036</v>
      </c>
      <c r="H54" s="44">
        <f>MIN('Debt cash'!AO38:AZ38)</f>
        <v>58.665930833333391</v>
      </c>
      <c r="I54" s="44">
        <f>MIN('Debt cash'!BA38:BL38)</f>
        <v>57.850317899999823</v>
      </c>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row>
    <row r="55" spans="1:66" ht="20" customHeight="1">
      <c r="A55" s="30"/>
      <c r="B55" s="30"/>
      <c r="C55" s="31"/>
      <c r="D55" s="31"/>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row>
    <row r="56" spans="1:66" ht="20" customHeight="1">
      <c r="A56" s="30"/>
      <c r="B56" s="30"/>
      <c r="C56" s="31"/>
      <c r="D56" s="31"/>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row>
    <row r="57" spans="1:66" ht="20" customHeight="1">
      <c r="A57" s="30"/>
      <c r="B57" s="30"/>
      <c r="C57" s="31"/>
      <c r="D57" s="31"/>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row>
    <row r="58" spans="1:66" ht="20" customHeight="1">
      <c r="A58" s="30"/>
      <c r="B58" s="30"/>
      <c r="C58" s="31"/>
      <c r="D58" s="31"/>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row>
    <row r="59" spans="1:66" ht="20" customHeight="1">
      <c r="A59" s="30"/>
      <c r="B59" s="30"/>
      <c r="C59" s="31"/>
      <c r="D59" s="31"/>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row>
    <row r="60" spans="1:66" ht="20" customHeight="1">
      <c r="A60" s="30"/>
      <c r="B60" s="30"/>
      <c r="C60" s="31"/>
      <c r="D60" s="31"/>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row>
    <row r="61" spans="1:66" ht="20" customHeight="1">
      <c r="A61" s="30"/>
      <c r="B61" s="30"/>
      <c r="C61" s="31"/>
      <c r="D61" s="31"/>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row>
    <row r="62" spans="1:66" ht="20" customHeight="1">
      <c r="A62" s="30"/>
      <c r="B62" s="30"/>
      <c r="C62" s="31"/>
      <c r="D62" s="31"/>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row>
    <row r="63" spans="1:66" ht="20" customHeight="1">
      <c r="A63" s="30"/>
      <c r="B63" s="30"/>
      <c r="C63" s="31"/>
      <c r="D63" s="31"/>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row>
    <row r="64" spans="1:66" ht="20" customHeight="1">
      <c r="A64" s="30"/>
      <c r="B64" s="30"/>
      <c r="C64" s="31"/>
      <c r="D64" s="31"/>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row>
    <row r="65" spans="1:66" ht="20" customHeight="1">
      <c r="A65" s="30"/>
      <c r="B65" s="30"/>
      <c r="C65" s="31"/>
      <c r="D65" s="31"/>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row>
    <row r="66" spans="1:66" ht="20" customHeight="1">
      <c r="A66" s="30"/>
      <c r="B66" s="30"/>
      <c r="C66" s="31"/>
      <c r="D66" s="31"/>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row>
    <row r="67" spans="1:66" ht="20" customHeight="1">
      <c r="A67" s="30"/>
      <c r="B67" s="30"/>
      <c r="C67" s="31"/>
      <c r="D67" s="31"/>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row>
    <row r="68" spans="1:66" ht="20" customHeight="1">
      <c r="A68" s="30"/>
      <c r="B68" s="30"/>
      <c r="C68" s="31"/>
      <c r="D68" s="31"/>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row>
    <row r="69" spans="1:66" ht="20" customHeight="1">
      <c r="A69" s="30"/>
      <c r="B69" s="30"/>
      <c r="C69" s="31"/>
      <c r="D69" s="31"/>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row>
    <row r="70" spans="1:66" ht="20" customHeight="1">
      <c r="A70" s="30"/>
      <c r="B70" s="30"/>
      <c r="C70" s="31"/>
      <c r="D70" s="31"/>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row>
    <row r="71" spans="1:66" ht="20" customHeight="1">
      <c r="A71" s="30"/>
      <c r="B71" s="30"/>
      <c r="C71" s="31"/>
      <c r="D71" s="31"/>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row>
    <row r="72" spans="1:66" ht="20" customHeight="1">
      <c r="A72" s="30"/>
      <c r="B72" s="30"/>
      <c r="C72" s="31"/>
      <c r="D72" s="31"/>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row>
    <row r="73" spans="1:66" ht="20" customHeight="1">
      <c r="A73" s="30"/>
      <c r="B73" s="30"/>
      <c r="C73" s="31"/>
      <c r="D73" s="31"/>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row>
    <row r="74" spans="1:66" ht="20" customHeight="1">
      <c r="A74" s="30"/>
      <c r="B74" s="30"/>
      <c r="C74" s="31"/>
      <c r="D74" s="31"/>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row>
    <row r="75" spans="1:66" ht="20" customHeight="1">
      <c r="A75" s="30"/>
      <c r="B75" s="30"/>
      <c r="C75" s="31"/>
      <c r="D75" s="31"/>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row>
    <row r="76" spans="1:66" ht="20" customHeight="1">
      <c r="A76" s="30"/>
      <c r="B76" s="30"/>
      <c r="C76" s="31"/>
      <c r="D76" s="31"/>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row>
    <row r="77" spans="1:66" ht="20" customHeight="1">
      <c r="A77" s="30"/>
      <c r="B77" s="30"/>
      <c r="C77" s="31"/>
      <c r="D77" s="31"/>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row>
    <row r="78" spans="1:66" ht="20" customHeight="1">
      <c r="A78" s="30"/>
      <c r="B78" s="30"/>
      <c r="C78" s="31"/>
      <c r="D78" s="31"/>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row>
    <row r="79" spans="1:66" ht="20" customHeight="1">
      <c r="A79" s="30"/>
      <c r="B79" s="30"/>
      <c r="C79" s="31"/>
      <c r="D79" s="31"/>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row>
    <row r="80" spans="1:66" ht="20" customHeight="1">
      <c r="A80" s="30"/>
      <c r="B80" s="30"/>
      <c r="C80" s="31"/>
      <c r="D80" s="31"/>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row>
    <row r="81" spans="1:66" ht="20" customHeight="1">
      <c r="A81" s="30"/>
      <c r="B81" s="30"/>
      <c r="C81" s="31"/>
      <c r="D81" s="31"/>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row>
    <row r="82" spans="1:66" ht="20" customHeight="1">
      <c r="A82" s="30"/>
      <c r="B82" s="30"/>
      <c r="C82" s="31"/>
      <c r="D82" s="31"/>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row>
    <row r="83" spans="1:66" ht="20" customHeight="1">
      <c r="A83" s="30"/>
      <c r="B83" s="30"/>
      <c r="C83" s="31"/>
      <c r="D83" s="31"/>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row>
    <row r="84" spans="1:66" ht="20" customHeight="1">
      <c r="A84" s="30"/>
      <c r="B84" s="30"/>
      <c r="C84" s="31"/>
      <c r="D84" s="31"/>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row>
    <row r="85" spans="1:66" ht="20" customHeight="1">
      <c r="A85" s="30"/>
      <c r="B85" s="30"/>
      <c r="C85" s="31"/>
      <c r="D85" s="31"/>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row>
    <row r="86" spans="1:66" ht="20" customHeight="1">
      <c r="A86" s="30"/>
      <c r="B86" s="30"/>
      <c r="C86" s="31"/>
      <c r="D86" s="31"/>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row>
    <row r="87" spans="1:66" ht="20" customHeight="1">
      <c r="A87" s="30"/>
      <c r="B87" s="30"/>
      <c r="C87" s="31"/>
      <c r="D87" s="31"/>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row>
    <row r="88" spans="1:66" ht="20" customHeight="1">
      <c r="A88" s="30"/>
      <c r="B88" s="30"/>
      <c r="C88" s="31"/>
      <c r="D88" s="31"/>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row>
    <row r="89" spans="1:66" ht="20" customHeight="1">
      <c r="A89" s="30"/>
      <c r="B89" s="30"/>
      <c r="C89" s="31"/>
      <c r="D89" s="31"/>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row>
    <row r="90" spans="1:66" ht="20" customHeight="1">
      <c r="A90" s="30"/>
      <c r="B90" s="30"/>
      <c r="C90" s="31"/>
      <c r="D90" s="31"/>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row>
    <row r="91" spans="1:66" ht="20" customHeight="1">
      <c r="A91" s="30"/>
      <c r="B91" s="30"/>
      <c r="C91" s="31"/>
      <c r="D91" s="31"/>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row>
    <row r="92" spans="1:66" ht="20" customHeight="1">
      <c r="A92" s="30"/>
      <c r="B92" s="30"/>
      <c r="C92" s="31"/>
      <c r="D92" s="31"/>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row>
    <row r="93" spans="1:66" ht="20" customHeight="1">
      <c r="A93" s="30"/>
      <c r="B93" s="30"/>
      <c r="C93" s="31"/>
      <c r="D93" s="31"/>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row>
    <row r="94" spans="1:66" ht="20" customHeight="1">
      <c r="A94" s="30"/>
      <c r="B94" s="30"/>
      <c r="C94" s="31"/>
      <c r="D94" s="31"/>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row>
    <row r="95" spans="1:66" ht="20" customHeight="1">
      <c r="A95" s="30"/>
      <c r="B95" s="30"/>
      <c r="C95" s="31"/>
      <c r="D95" s="31"/>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row>
    <row r="96" spans="1:66" ht="20" customHeight="1">
      <c r="A96" s="30"/>
      <c r="B96" s="30"/>
      <c r="C96" s="31"/>
      <c r="D96" s="31"/>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row>
    <row r="97" spans="1:66" ht="20" customHeight="1">
      <c r="A97" s="30"/>
      <c r="B97" s="30"/>
      <c r="C97" s="31"/>
      <c r="D97" s="31"/>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row>
    <row r="98" spans="1:66" ht="20" customHeight="1">
      <c r="A98" s="30"/>
      <c r="B98" s="30"/>
      <c r="C98" s="31"/>
      <c r="D98" s="31"/>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row>
    <row r="99" spans="1:66" ht="20" customHeight="1">
      <c r="A99" s="30"/>
      <c r="B99" s="30"/>
      <c r="C99" s="31"/>
      <c r="D99" s="31"/>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row>
    <row r="100" spans="1:66" ht="20" customHeight="1">
      <c r="A100" s="30"/>
      <c r="B100" s="30"/>
      <c r="C100" s="31"/>
      <c r="D100" s="31"/>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row>
    <row r="101" spans="1:66" ht="20" customHeight="1">
      <c r="A101" s="30"/>
      <c r="B101" s="30"/>
      <c r="C101" s="31"/>
      <c r="D101" s="31"/>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row>
    <row r="102" spans="1:66" ht="20" customHeight="1">
      <c r="A102" s="30"/>
      <c r="B102" s="30"/>
      <c r="C102" s="31"/>
      <c r="D102" s="31"/>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row>
    <row r="103" spans="1:66" ht="20" customHeight="1">
      <c r="A103" s="30"/>
      <c r="B103" s="30"/>
      <c r="C103" s="31"/>
      <c r="D103" s="31"/>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row>
    <row r="104" spans="1:66" ht="20" customHeight="1">
      <c r="A104" s="30"/>
      <c r="B104" s="30"/>
      <c r="C104" s="31"/>
      <c r="D104" s="31"/>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row>
    <row r="105" spans="1:66" ht="20" customHeight="1">
      <c r="A105" s="30"/>
      <c r="B105" s="30"/>
      <c r="C105" s="31"/>
      <c r="D105" s="31"/>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row>
    <row r="106" spans="1:66" ht="20" customHeight="1">
      <c r="A106" s="30"/>
      <c r="B106" s="30"/>
      <c r="C106" s="31"/>
      <c r="D106" s="31"/>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row>
    <row r="107" spans="1:66" ht="20" customHeight="1">
      <c r="A107" s="30"/>
      <c r="B107" s="30"/>
      <c r="C107" s="31"/>
      <c r="D107" s="31"/>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row>
    <row r="108" spans="1:66" ht="20" customHeight="1">
      <c r="A108" s="30"/>
      <c r="B108" s="30"/>
      <c r="C108" s="31"/>
      <c r="D108" s="31"/>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row>
    <row r="109" spans="1:66" ht="20" customHeight="1">
      <c r="A109" s="30"/>
      <c r="B109" s="30"/>
      <c r="C109" s="31"/>
      <c r="D109" s="31"/>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row>
    <row r="110" spans="1:66" ht="20" customHeight="1">
      <c r="A110" s="30"/>
      <c r="B110" s="30"/>
      <c r="C110" s="31"/>
      <c r="D110" s="31"/>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row>
    <row r="111" spans="1:66" ht="20" customHeight="1">
      <c r="A111" s="30"/>
      <c r="B111" s="30"/>
      <c r="C111" s="31"/>
      <c r="D111" s="31"/>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row>
    <row r="112" spans="1:66" ht="20" customHeight="1">
      <c r="A112" s="30"/>
      <c r="B112" s="30"/>
      <c r="C112" s="31"/>
      <c r="D112" s="31"/>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row>
    <row r="113" spans="1:66" ht="20" customHeight="1">
      <c r="A113" s="30"/>
      <c r="B113" s="30"/>
      <c r="C113" s="31"/>
      <c r="D113" s="31"/>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row>
    <row r="114" spans="1:66" ht="20" customHeight="1">
      <c r="A114" s="30"/>
      <c r="B114" s="30"/>
      <c r="C114" s="31"/>
      <c r="D114" s="31"/>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row>
    <row r="115" spans="1:66" ht="20" customHeight="1">
      <c r="A115" s="30"/>
      <c r="B115" s="30"/>
      <c r="C115" s="31"/>
      <c r="D115" s="31"/>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row>
    <row r="116" spans="1:66" ht="20" customHeight="1">
      <c r="A116" s="30"/>
      <c r="B116" s="30"/>
      <c r="C116" s="31"/>
      <c r="D116" s="31"/>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row>
    <row r="117" spans="1:66" ht="20" customHeight="1">
      <c r="A117" s="30"/>
      <c r="B117" s="30"/>
      <c r="C117" s="31"/>
      <c r="D117" s="31"/>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row>
    <row r="118" spans="1:66" ht="20" customHeight="1">
      <c r="A118" s="30"/>
      <c r="B118" s="30"/>
      <c r="C118" s="31"/>
      <c r="D118" s="31"/>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row>
    <row r="119" spans="1:66" ht="20" customHeight="1">
      <c r="A119" s="30"/>
      <c r="B119" s="30"/>
      <c r="C119" s="31"/>
      <c r="D119" s="31"/>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row>
    <row r="120" spans="1:66" ht="20" customHeight="1">
      <c r="A120" s="30"/>
      <c r="B120" s="30"/>
      <c r="C120" s="31"/>
      <c r="D120" s="31"/>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row>
    <row r="121" spans="1:66" ht="20" customHeight="1">
      <c r="A121" s="30"/>
      <c r="B121" s="30"/>
      <c r="C121" s="31"/>
      <c r="D121" s="31"/>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row>
    <row r="122" spans="1:66" ht="20" customHeight="1">
      <c r="A122" s="30"/>
      <c r="B122" s="30"/>
      <c r="C122" s="31"/>
      <c r="D122" s="31"/>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row>
    <row r="123" spans="1:66" ht="20" customHeight="1">
      <c r="A123" s="30"/>
      <c r="B123" s="30"/>
      <c r="C123" s="31"/>
      <c r="D123" s="31"/>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row>
    <row r="124" spans="1:66" ht="20" customHeight="1">
      <c r="A124" s="30"/>
      <c r="B124" s="30"/>
      <c r="C124" s="31"/>
      <c r="D124" s="31"/>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row>
    <row r="125" spans="1:66" ht="20" customHeight="1">
      <c r="A125" s="30"/>
      <c r="B125" s="30"/>
      <c r="C125" s="31"/>
      <c r="D125" s="31"/>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row>
    <row r="126" spans="1:66" ht="20" customHeight="1">
      <c r="A126" s="30"/>
      <c r="B126" s="30"/>
      <c r="C126" s="31"/>
      <c r="D126" s="31"/>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row>
    <row r="127" spans="1:66" ht="20" customHeight="1">
      <c r="A127" s="30"/>
      <c r="B127" s="30"/>
      <c r="C127" s="31"/>
      <c r="D127" s="31"/>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row>
    <row r="128" spans="1:66" ht="20" customHeight="1">
      <c r="A128" s="30"/>
      <c r="B128" s="30"/>
      <c r="C128" s="31"/>
      <c r="D128" s="31"/>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row>
    <row r="129" spans="1:66" ht="20" customHeight="1">
      <c r="A129" s="30"/>
      <c r="B129" s="30"/>
      <c r="C129" s="31"/>
      <c r="D129" s="31"/>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row>
    <row r="130" spans="1:66" ht="20" customHeight="1">
      <c r="A130" s="30"/>
      <c r="B130" s="30"/>
      <c r="C130" s="31"/>
      <c r="D130" s="31"/>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row>
    <row r="131" spans="1:66" ht="20" customHeight="1">
      <c r="A131" s="30"/>
      <c r="B131" s="30"/>
      <c r="C131" s="31"/>
      <c r="D131" s="31"/>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row>
    <row r="132" spans="1:66" ht="20" customHeight="1">
      <c r="A132" s="30"/>
      <c r="B132" s="30"/>
      <c r="C132" s="31"/>
      <c r="D132" s="31"/>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row>
    <row r="133" spans="1:66" ht="20" customHeight="1">
      <c r="A133" s="30"/>
      <c r="B133" s="30"/>
      <c r="C133" s="31"/>
      <c r="D133" s="31"/>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row>
    <row r="134" spans="1:66" ht="20" customHeight="1">
      <c r="A134" s="30"/>
      <c r="B134" s="30"/>
      <c r="C134" s="31"/>
      <c r="D134" s="31"/>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row>
    <row r="135" spans="1:66" ht="20" customHeight="1">
      <c r="A135" s="30"/>
      <c r="B135" s="30"/>
      <c r="C135" s="31"/>
      <c r="D135" s="31"/>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row>
    <row r="136" spans="1:66" ht="20" customHeight="1">
      <c r="A136" s="30"/>
      <c r="B136" s="30"/>
      <c r="C136" s="31"/>
      <c r="D136" s="31"/>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row>
    <row r="137" spans="1:66" ht="20" customHeight="1">
      <c r="A137" s="30"/>
      <c r="B137" s="30"/>
      <c r="C137" s="31"/>
      <c r="D137" s="31"/>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row>
    <row r="138" spans="1:66" ht="20" customHeight="1">
      <c r="A138" s="30"/>
      <c r="B138" s="30"/>
      <c r="C138" s="31"/>
      <c r="D138" s="31"/>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row>
    <row r="139" spans="1:66" ht="20" customHeight="1">
      <c r="A139" s="30"/>
      <c r="B139" s="30"/>
      <c r="C139" s="31"/>
      <c r="D139" s="31"/>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row>
    <row r="140" spans="1:66" ht="20" customHeight="1">
      <c r="A140" s="30"/>
      <c r="B140" s="30"/>
      <c r="C140" s="31"/>
      <c r="D140" s="31"/>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row>
    <row r="141" spans="1:66" ht="20" customHeight="1">
      <c r="A141" s="30"/>
      <c r="B141" s="30"/>
      <c r="C141" s="31"/>
      <c r="D141" s="31"/>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row>
    <row r="142" spans="1:66" ht="20" customHeight="1">
      <c r="A142" s="30"/>
      <c r="B142" s="30"/>
      <c r="C142" s="31"/>
      <c r="D142" s="31"/>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row>
    <row r="143" spans="1:66" ht="20" customHeight="1">
      <c r="A143" s="30"/>
      <c r="B143" s="30"/>
      <c r="C143" s="31"/>
      <c r="D143" s="31"/>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row>
    <row r="144" spans="1:66" ht="20" customHeight="1">
      <c r="A144" s="30"/>
      <c r="B144" s="30"/>
      <c r="C144" s="31"/>
      <c r="D144" s="31"/>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row>
    <row r="145" spans="1:66" ht="20" customHeight="1">
      <c r="A145" s="30"/>
      <c r="B145" s="30"/>
      <c r="C145" s="31"/>
      <c r="D145" s="31"/>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row>
    <row r="146" spans="1:66" ht="20" customHeight="1">
      <c r="A146" s="30"/>
      <c r="B146" s="30"/>
      <c r="C146" s="31"/>
      <c r="D146" s="31"/>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row>
    <row r="147" spans="1:66" ht="20" customHeight="1">
      <c r="A147" s="30"/>
      <c r="B147" s="30"/>
      <c r="C147" s="31"/>
      <c r="D147" s="31"/>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row>
    <row r="148" spans="1:66" ht="20" customHeight="1">
      <c r="A148" s="30"/>
      <c r="B148" s="30"/>
      <c r="C148" s="31"/>
      <c r="D148" s="31"/>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row>
    <row r="149" spans="1:66" ht="20" customHeight="1">
      <c r="A149" s="30"/>
      <c r="B149" s="30"/>
      <c r="C149" s="31"/>
      <c r="D149" s="31"/>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row>
    <row r="150" spans="1:66" ht="20" customHeight="1">
      <c r="A150" s="30"/>
      <c r="B150" s="30"/>
      <c r="C150" s="31"/>
      <c r="D150" s="31"/>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row>
    <row r="151" spans="1:66" ht="20" customHeight="1">
      <c r="A151" s="30"/>
      <c r="B151" s="30"/>
      <c r="C151" s="31"/>
      <c r="D151" s="31"/>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row>
    <row r="152" spans="1:66" ht="20" customHeight="1">
      <c r="A152" s="30"/>
      <c r="B152" s="30"/>
      <c r="C152" s="31"/>
      <c r="D152" s="31"/>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row>
    <row r="153" spans="1:66" ht="20" customHeight="1">
      <c r="A153" s="30"/>
      <c r="B153" s="30"/>
      <c r="C153" s="31"/>
      <c r="D153" s="31"/>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row>
    <row r="154" spans="1:66" ht="20" customHeight="1">
      <c r="A154" s="30"/>
      <c r="B154" s="30"/>
      <c r="C154" s="31"/>
      <c r="D154" s="31"/>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row>
    <row r="155" spans="1:66" ht="20" customHeight="1">
      <c r="A155" s="30"/>
      <c r="B155" s="30"/>
      <c r="C155" s="31"/>
      <c r="D155" s="31"/>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row>
    <row r="156" spans="1:66" ht="20" customHeight="1">
      <c r="A156" s="30"/>
      <c r="B156" s="30"/>
      <c r="C156" s="31"/>
      <c r="D156" s="31"/>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row>
    <row r="157" spans="1:66" ht="20" customHeight="1">
      <c r="A157" s="30"/>
      <c r="B157" s="30"/>
      <c r="C157" s="31"/>
      <c r="D157" s="31"/>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row>
    <row r="158" spans="1:66" ht="20" customHeight="1">
      <c r="A158" s="30"/>
      <c r="B158" s="30"/>
      <c r="C158" s="31"/>
      <c r="D158" s="31"/>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row>
    <row r="159" spans="1:66" ht="20" customHeight="1">
      <c r="A159" s="30"/>
      <c r="B159" s="30"/>
      <c r="C159" s="31"/>
      <c r="D159" s="31"/>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row>
    <row r="160" spans="1:66" ht="20" customHeight="1">
      <c r="A160" s="30"/>
      <c r="B160" s="30"/>
      <c r="C160" s="31"/>
      <c r="D160" s="31"/>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row>
    <row r="161" spans="1:66" ht="20" customHeight="1">
      <c r="A161" s="30"/>
      <c r="B161" s="30"/>
      <c r="C161" s="31"/>
      <c r="D161" s="31"/>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row>
    <row r="162" spans="1:66" ht="20" customHeight="1">
      <c r="A162" s="30"/>
      <c r="B162" s="30"/>
      <c r="C162" s="31"/>
      <c r="D162" s="31"/>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row>
    <row r="163" spans="1:66" ht="20" customHeight="1">
      <c r="A163" s="30"/>
      <c r="B163" s="30"/>
      <c r="C163" s="31"/>
      <c r="D163" s="31"/>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row>
    <row r="164" spans="1:66" ht="20" customHeight="1">
      <c r="A164" s="30"/>
      <c r="B164" s="30"/>
      <c r="C164" s="31"/>
      <c r="D164" s="31"/>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row>
    <row r="165" spans="1:66" ht="20" customHeight="1">
      <c r="A165" s="30"/>
      <c r="B165" s="30"/>
      <c r="C165" s="31"/>
      <c r="D165" s="31"/>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row>
    <row r="166" spans="1:66" ht="20" customHeight="1">
      <c r="A166" s="30"/>
      <c r="B166" s="30"/>
      <c r="C166" s="31"/>
      <c r="D166" s="31"/>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row>
    <row r="167" spans="1:66" ht="20" customHeight="1">
      <c r="A167" s="30"/>
      <c r="B167" s="30"/>
      <c r="C167" s="31"/>
      <c r="D167" s="31"/>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row>
    <row r="168" spans="1:66" ht="20" customHeight="1">
      <c r="A168" s="30"/>
      <c r="B168" s="30"/>
      <c r="C168" s="31"/>
      <c r="D168" s="31"/>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row>
    <row r="169" spans="1:66" ht="20" customHeight="1">
      <c r="A169" s="30"/>
      <c r="B169" s="30"/>
      <c r="C169" s="31"/>
      <c r="D169" s="31"/>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row>
    <row r="170" spans="1:66" ht="20" customHeight="1">
      <c r="A170" s="30"/>
      <c r="B170" s="30"/>
      <c r="C170" s="31"/>
      <c r="D170" s="31"/>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row>
    <row r="171" spans="1:66" ht="20" customHeight="1">
      <c r="A171" s="30"/>
      <c r="B171" s="30"/>
      <c r="C171" s="31"/>
      <c r="D171" s="31"/>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row>
    <row r="172" spans="1:66" ht="20" customHeight="1">
      <c r="A172" s="30"/>
      <c r="B172" s="30"/>
      <c r="C172" s="31"/>
      <c r="D172" s="31"/>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row>
    <row r="173" spans="1:66" ht="20" customHeight="1">
      <c r="A173" s="30"/>
      <c r="B173" s="30"/>
      <c r="C173" s="31"/>
      <c r="D173" s="31"/>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row>
    <row r="174" spans="1:66" ht="20" customHeight="1">
      <c r="A174" s="30"/>
      <c r="B174" s="30"/>
      <c r="C174" s="31"/>
      <c r="D174" s="31"/>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row>
    <row r="175" spans="1:66" ht="20" customHeight="1">
      <c r="A175" s="30"/>
      <c r="B175" s="30"/>
      <c r="C175" s="31"/>
      <c r="D175" s="31"/>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row>
    <row r="176" spans="1:66" ht="20" customHeight="1">
      <c r="A176" s="30"/>
      <c r="B176" s="30"/>
      <c r="C176" s="31"/>
      <c r="D176" s="31"/>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row>
    <row r="177" spans="1:66" ht="20" customHeight="1">
      <c r="A177" s="30"/>
      <c r="B177" s="30"/>
      <c r="C177" s="31"/>
      <c r="D177" s="31"/>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row>
    <row r="178" spans="1:66" ht="20" customHeight="1">
      <c r="A178" s="30"/>
      <c r="B178" s="30"/>
      <c r="C178" s="31"/>
      <c r="D178" s="31"/>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row>
    <row r="179" spans="1:66" ht="20" customHeight="1">
      <c r="A179" s="30"/>
      <c r="B179" s="30"/>
      <c r="C179" s="31"/>
      <c r="D179" s="31"/>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row>
    <row r="180" spans="1:66" ht="20" customHeight="1">
      <c r="A180" s="30"/>
      <c r="B180" s="30"/>
      <c r="C180" s="31"/>
      <c r="D180" s="31"/>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row>
    <row r="181" spans="1:66" ht="20" customHeight="1">
      <c r="A181" s="30"/>
      <c r="B181" s="30"/>
      <c r="C181" s="31"/>
      <c r="D181" s="31"/>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row>
    <row r="182" spans="1:66" ht="20" customHeight="1">
      <c r="A182" s="30"/>
      <c r="B182" s="30"/>
      <c r="C182" s="31"/>
      <c r="D182" s="31"/>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row>
    <row r="183" spans="1:66" ht="20" customHeight="1">
      <c r="A183" s="30"/>
      <c r="B183" s="30"/>
      <c r="C183" s="31"/>
      <c r="D183" s="31"/>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row>
    <row r="184" spans="1:66" ht="20" customHeight="1">
      <c r="A184" s="30"/>
      <c r="B184" s="30"/>
      <c r="C184" s="31"/>
      <c r="D184" s="31"/>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row>
    <row r="185" spans="1:66" ht="20" customHeight="1">
      <c r="A185" s="30"/>
      <c r="B185" s="30"/>
      <c r="C185" s="31"/>
      <c r="D185" s="31"/>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row>
    <row r="186" spans="1:66" ht="20" customHeight="1">
      <c r="A186" s="30"/>
      <c r="B186" s="30"/>
      <c r="C186" s="31"/>
      <c r="D186" s="31"/>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row>
    <row r="187" spans="1:66" ht="20" customHeight="1">
      <c r="A187" s="30"/>
      <c r="B187" s="30"/>
      <c r="C187" s="31"/>
      <c r="D187" s="31"/>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row>
    <row r="188" spans="1:66" ht="20" customHeight="1">
      <c r="A188" s="30"/>
      <c r="B188" s="30"/>
      <c r="C188" s="31"/>
      <c r="D188" s="31"/>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row>
    <row r="189" spans="1:66" ht="20" customHeight="1">
      <c r="A189" s="30"/>
      <c r="B189" s="30"/>
      <c r="C189" s="31"/>
      <c r="D189" s="31"/>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row>
    <row r="190" spans="1:66" ht="20" customHeight="1">
      <c r="A190" s="30"/>
      <c r="B190" s="30"/>
      <c r="C190" s="31"/>
      <c r="D190" s="31"/>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row>
    <row r="191" spans="1:66" ht="20" customHeight="1">
      <c r="A191" s="30"/>
      <c r="B191" s="30"/>
      <c r="C191" s="31"/>
      <c r="D191" s="31"/>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row>
    <row r="192" spans="1:66" ht="20" customHeight="1">
      <c r="A192" s="30"/>
      <c r="B192" s="30"/>
      <c r="C192" s="31"/>
      <c r="D192" s="31"/>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row>
    <row r="193" spans="1:66" ht="20" customHeight="1">
      <c r="A193" s="30"/>
      <c r="B193" s="30"/>
      <c r="C193" s="31"/>
      <c r="D193" s="31"/>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row>
    <row r="194" spans="1:66" ht="20" customHeight="1">
      <c r="A194" s="30"/>
      <c r="B194" s="30"/>
      <c r="C194" s="31"/>
      <c r="D194" s="31"/>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row>
    <row r="195" spans="1:66" ht="20" customHeight="1">
      <c r="A195" s="30"/>
      <c r="B195" s="30"/>
      <c r="C195" s="31"/>
      <c r="D195" s="31"/>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row>
    <row r="196" spans="1:66" ht="20" customHeight="1">
      <c r="A196" s="30"/>
      <c r="B196" s="30"/>
      <c r="C196" s="31"/>
      <c r="D196" s="31"/>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row>
    <row r="197" spans="1:66" ht="20" customHeight="1">
      <c r="A197" s="30"/>
      <c r="B197" s="30"/>
      <c r="C197" s="31"/>
      <c r="D197" s="31"/>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row>
    <row r="198" spans="1:66" ht="20" customHeight="1">
      <c r="A198" s="30"/>
      <c r="B198" s="30"/>
      <c r="C198" s="31"/>
      <c r="D198" s="31"/>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row>
    <row r="199" spans="1:66" ht="20" customHeight="1">
      <c r="A199" s="30"/>
      <c r="B199" s="30"/>
      <c r="C199" s="31"/>
      <c r="D199" s="31"/>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row>
    <row r="200" spans="1:66" ht="20" customHeight="1">
      <c r="A200" s="30"/>
      <c r="B200" s="30"/>
      <c r="C200" s="31"/>
      <c r="D200" s="31"/>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07483"/>
  </sheetPr>
  <dimension ref="A1:BN200"/>
  <sheetViews>
    <sheetView showGridLines="0" workbookViewId="0">
      <pane xSplit="4" ySplit="7" topLeftCell="E8" activePane="bottomRight" state="frozen"/>
      <selection pane="topRight"/>
      <selection pane="bottomLeft"/>
      <selection pane="bottomRight" activeCell="E8" sqref="E8"/>
    </sheetView>
  </sheetViews>
  <sheetFormatPr baseColWidth="10" defaultColWidth="8.83203125" defaultRowHeight="14"/>
  <cols>
    <col min="1" max="2" width="2" customWidth="1"/>
    <col min="3" max="3" width="48" customWidth="1"/>
    <col min="4" max="4" width="3" customWidth="1"/>
    <col min="5" max="66" width="14" customWidth="1"/>
  </cols>
  <sheetData>
    <row r="1" spans="1:66" ht="20" customHeight="1">
      <c r="A1" s="30"/>
      <c r="B1" s="30"/>
      <c r="C1" s="31"/>
      <c r="D1" s="31"/>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row>
    <row r="2" spans="1:66" ht="20" customHeight="1">
      <c r="A2" s="30"/>
      <c r="B2" s="30"/>
      <c r="C2" s="33" t="s">
        <v>213</v>
      </c>
      <c r="D2" s="31"/>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row>
    <row r="3" spans="1:66" ht="20" customHeight="1">
      <c r="A3" s="30"/>
      <c r="B3" s="30"/>
      <c r="C3" s="34" t="s">
        <v>49</v>
      </c>
      <c r="D3" s="31"/>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row>
    <row r="4" spans="1:66" ht="20" customHeight="1">
      <c r="A4" s="30"/>
      <c r="B4" s="30"/>
      <c r="C4" s="31" t="s">
        <v>2</v>
      </c>
      <c r="D4" s="31"/>
      <c r="E4" s="35" t="str">
        <f>CHOOSE(Assumptions!$E$5,"Base","Downside","Upside")</f>
        <v>Base</v>
      </c>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row>
    <row r="5" spans="1:66" ht="20" customHeight="1">
      <c r="A5" s="30"/>
      <c r="B5" s="30"/>
      <c r="C5" s="31"/>
      <c r="D5" s="31"/>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row>
    <row r="6" spans="1:66" ht="20" customHeight="1">
      <c r="A6" s="30"/>
      <c r="B6" s="30"/>
      <c r="C6" s="31"/>
      <c r="D6" s="31"/>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row>
    <row r="7" spans="1:66" ht="24" customHeight="1">
      <c r="A7" s="30"/>
      <c r="B7" s="30"/>
      <c r="C7" s="36" t="s">
        <v>214</v>
      </c>
      <c r="D7" s="36"/>
      <c r="E7" s="45">
        <v>46204</v>
      </c>
      <c r="F7" s="45">
        <v>46235</v>
      </c>
      <c r="G7" s="45">
        <v>46266</v>
      </c>
      <c r="H7" s="45">
        <v>46296</v>
      </c>
      <c r="I7" s="45">
        <v>46327</v>
      </c>
      <c r="J7" s="45">
        <v>46357</v>
      </c>
      <c r="K7" s="45">
        <v>46388</v>
      </c>
      <c r="L7" s="45">
        <v>46419</v>
      </c>
      <c r="M7" s="45">
        <v>46447</v>
      </c>
      <c r="N7" s="45">
        <v>46478</v>
      </c>
      <c r="O7" s="45">
        <v>46508</v>
      </c>
      <c r="P7" s="45">
        <v>46539</v>
      </c>
      <c r="Q7" s="45">
        <v>46569</v>
      </c>
      <c r="R7" s="45">
        <v>46600</v>
      </c>
      <c r="S7" s="45">
        <v>46631</v>
      </c>
      <c r="T7" s="45">
        <v>46661</v>
      </c>
      <c r="U7" s="45">
        <v>46692</v>
      </c>
      <c r="V7" s="45">
        <v>46722</v>
      </c>
      <c r="W7" s="45">
        <v>46753</v>
      </c>
      <c r="X7" s="45">
        <v>46784</v>
      </c>
      <c r="Y7" s="45">
        <v>46813</v>
      </c>
      <c r="Z7" s="45">
        <v>46844</v>
      </c>
      <c r="AA7" s="45">
        <v>46874</v>
      </c>
      <c r="AB7" s="45">
        <v>46905</v>
      </c>
      <c r="AC7" s="45">
        <v>46935</v>
      </c>
      <c r="AD7" s="45">
        <v>46966</v>
      </c>
      <c r="AE7" s="45">
        <v>46997</v>
      </c>
      <c r="AF7" s="45">
        <v>47027</v>
      </c>
      <c r="AG7" s="45">
        <v>47058</v>
      </c>
      <c r="AH7" s="45">
        <v>47088</v>
      </c>
      <c r="AI7" s="45">
        <v>47119</v>
      </c>
      <c r="AJ7" s="45">
        <v>47150</v>
      </c>
      <c r="AK7" s="45">
        <v>47178</v>
      </c>
      <c r="AL7" s="45">
        <v>47209</v>
      </c>
      <c r="AM7" s="45">
        <v>47239</v>
      </c>
      <c r="AN7" s="45">
        <v>47270</v>
      </c>
      <c r="AO7" s="45">
        <v>47300</v>
      </c>
      <c r="AP7" s="45">
        <v>47331</v>
      </c>
      <c r="AQ7" s="45">
        <v>47362</v>
      </c>
      <c r="AR7" s="45">
        <v>47392</v>
      </c>
      <c r="AS7" s="45">
        <v>47423</v>
      </c>
      <c r="AT7" s="45">
        <v>47453</v>
      </c>
      <c r="AU7" s="45">
        <v>47484</v>
      </c>
      <c r="AV7" s="45">
        <v>47515</v>
      </c>
      <c r="AW7" s="45">
        <v>47543</v>
      </c>
      <c r="AX7" s="45">
        <v>47574</v>
      </c>
      <c r="AY7" s="45">
        <v>47604</v>
      </c>
      <c r="AZ7" s="45">
        <v>47635</v>
      </c>
      <c r="BA7" s="45">
        <v>47665</v>
      </c>
      <c r="BB7" s="45">
        <v>47696</v>
      </c>
      <c r="BC7" s="45">
        <v>47727</v>
      </c>
      <c r="BD7" s="45">
        <v>47757</v>
      </c>
      <c r="BE7" s="45">
        <v>47788</v>
      </c>
      <c r="BF7" s="45">
        <v>47818</v>
      </c>
      <c r="BG7" s="45">
        <v>47849</v>
      </c>
      <c r="BH7" s="45">
        <v>47880</v>
      </c>
      <c r="BI7" s="45">
        <v>47908</v>
      </c>
      <c r="BJ7" s="45">
        <v>47939</v>
      </c>
      <c r="BK7" s="45">
        <v>47969</v>
      </c>
      <c r="BL7" s="45">
        <v>48000</v>
      </c>
      <c r="BM7" s="32"/>
      <c r="BN7" s="32"/>
    </row>
    <row r="8" spans="1:66" ht="20" customHeight="1">
      <c r="A8" s="30"/>
      <c r="B8" s="30"/>
      <c r="C8" s="31" t="s">
        <v>215</v>
      </c>
      <c r="D8" s="31"/>
      <c r="E8" s="35">
        <f>Assumptions!E8/12</f>
        <v>29.166666666666668</v>
      </c>
      <c r="F8" s="35">
        <f>Assumptions!E8/12</f>
        <v>29.166666666666668</v>
      </c>
      <c r="G8" s="35">
        <f>Assumptions!E8/12</f>
        <v>29.166666666666668</v>
      </c>
      <c r="H8" s="35">
        <f>Assumptions!E8/12</f>
        <v>29.166666666666668</v>
      </c>
      <c r="I8" s="35">
        <f>Assumptions!E8/12</f>
        <v>29.166666666666668</v>
      </c>
      <c r="J8" s="35">
        <f>Assumptions!E8/12</f>
        <v>29.166666666666668</v>
      </c>
      <c r="K8" s="35">
        <f>Assumptions!E8/12</f>
        <v>29.166666666666668</v>
      </c>
      <c r="L8" s="35">
        <f>Assumptions!E8/12</f>
        <v>29.166666666666668</v>
      </c>
      <c r="M8" s="35">
        <f>Assumptions!E8/12</f>
        <v>29.166666666666668</v>
      </c>
      <c r="N8" s="35">
        <f>Assumptions!E8/12</f>
        <v>29.166666666666668</v>
      </c>
      <c r="O8" s="35">
        <f>Assumptions!E8/12</f>
        <v>29.166666666666668</v>
      </c>
      <c r="P8" s="35">
        <f>Assumptions!E8/12</f>
        <v>29.166666666666668</v>
      </c>
      <c r="Q8" s="35">
        <f>Assumptions!F8/12</f>
        <v>30.041666666666668</v>
      </c>
      <c r="R8" s="35">
        <f>Assumptions!F8/12</f>
        <v>30.041666666666668</v>
      </c>
      <c r="S8" s="35">
        <f>Assumptions!F8/12</f>
        <v>30.041666666666668</v>
      </c>
      <c r="T8" s="35">
        <f>Assumptions!F8/12</f>
        <v>30.041666666666668</v>
      </c>
      <c r="U8" s="35">
        <f>Assumptions!F8/12</f>
        <v>30.041666666666668</v>
      </c>
      <c r="V8" s="35">
        <f>Assumptions!F8/12</f>
        <v>30.041666666666668</v>
      </c>
      <c r="W8" s="35">
        <f>Assumptions!F8/12</f>
        <v>30.041666666666668</v>
      </c>
      <c r="X8" s="35">
        <f>Assumptions!F8/12</f>
        <v>30.041666666666668</v>
      </c>
      <c r="Y8" s="35">
        <f>Assumptions!F8/12</f>
        <v>30.041666666666668</v>
      </c>
      <c r="Z8" s="35">
        <f>Assumptions!F8/12</f>
        <v>30.041666666666668</v>
      </c>
      <c r="AA8" s="35">
        <f>Assumptions!F8/12</f>
        <v>30.041666666666668</v>
      </c>
      <c r="AB8" s="35">
        <f>Assumptions!F8/12</f>
        <v>30.041666666666668</v>
      </c>
      <c r="AC8" s="35">
        <f>Assumptions!G8/12</f>
        <v>30.942916666666665</v>
      </c>
      <c r="AD8" s="35">
        <f>Assumptions!G8/12</f>
        <v>30.942916666666665</v>
      </c>
      <c r="AE8" s="35">
        <f>Assumptions!G8/12</f>
        <v>30.942916666666665</v>
      </c>
      <c r="AF8" s="35">
        <f>Assumptions!G8/12</f>
        <v>30.942916666666665</v>
      </c>
      <c r="AG8" s="35">
        <f>Assumptions!G8/12</f>
        <v>30.942916666666665</v>
      </c>
      <c r="AH8" s="35">
        <f>Assumptions!G8/12</f>
        <v>30.942916666666665</v>
      </c>
      <c r="AI8" s="35">
        <f>Assumptions!G8/12</f>
        <v>30.942916666666665</v>
      </c>
      <c r="AJ8" s="35">
        <f>Assumptions!G8/12</f>
        <v>30.942916666666665</v>
      </c>
      <c r="AK8" s="35">
        <f>Assumptions!G8/12</f>
        <v>30.942916666666665</v>
      </c>
      <c r="AL8" s="35">
        <f>Assumptions!G8/12</f>
        <v>30.942916666666665</v>
      </c>
      <c r="AM8" s="35">
        <f>Assumptions!G8/12</f>
        <v>30.942916666666665</v>
      </c>
      <c r="AN8" s="35">
        <f>Assumptions!G8/12</f>
        <v>30.942916666666665</v>
      </c>
      <c r="AO8" s="35">
        <f>Assumptions!H8/12</f>
        <v>31.871204166666669</v>
      </c>
      <c r="AP8" s="35">
        <f>Assumptions!H8/12</f>
        <v>31.871204166666669</v>
      </c>
      <c r="AQ8" s="35">
        <f>Assumptions!H8/12</f>
        <v>31.871204166666669</v>
      </c>
      <c r="AR8" s="35">
        <f>Assumptions!H8/12</f>
        <v>31.871204166666669</v>
      </c>
      <c r="AS8" s="35">
        <f>Assumptions!H8/12</f>
        <v>31.871204166666669</v>
      </c>
      <c r="AT8" s="35">
        <f>Assumptions!H8/12</f>
        <v>31.871204166666669</v>
      </c>
      <c r="AU8" s="35">
        <f>Assumptions!H8/12</f>
        <v>31.871204166666669</v>
      </c>
      <c r="AV8" s="35">
        <f>Assumptions!H8/12</f>
        <v>31.871204166666669</v>
      </c>
      <c r="AW8" s="35">
        <f>Assumptions!H8/12</f>
        <v>31.871204166666669</v>
      </c>
      <c r="AX8" s="35">
        <f>Assumptions!H8/12</f>
        <v>31.871204166666669</v>
      </c>
      <c r="AY8" s="35">
        <f>Assumptions!H8/12</f>
        <v>31.871204166666669</v>
      </c>
      <c r="AZ8" s="35">
        <f>Assumptions!H8/12</f>
        <v>31.871204166666669</v>
      </c>
      <c r="BA8" s="35">
        <f>Assumptions!I8/12</f>
        <v>32.827340291666665</v>
      </c>
      <c r="BB8" s="35">
        <f>Assumptions!I8/12</f>
        <v>32.827340291666665</v>
      </c>
      <c r="BC8" s="35">
        <f>Assumptions!I8/12</f>
        <v>32.827340291666665</v>
      </c>
      <c r="BD8" s="35">
        <f>Assumptions!I8/12</f>
        <v>32.827340291666665</v>
      </c>
      <c r="BE8" s="35">
        <f>Assumptions!I8/12</f>
        <v>32.827340291666665</v>
      </c>
      <c r="BF8" s="35">
        <f>Assumptions!I8/12</f>
        <v>32.827340291666665</v>
      </c>
      <c r="BG8" s="35">
        <f>Assumptions!I8/12</f>
        <v>32.827340291666665</v>
      </c>
      <c r="BH8" s="35">
        <f>Assumptions!I8/12</f>
        <v>32.827340291666665</v>
      </c>
      <c r="BI8" s="35">
        <f>Assumptions!I8/12</f>
        <v>32.827340291666665</v>
      </c>
      <c r="BJ8" s="35">
        <f>Assumptions!I8/12</f>
        <v>32.827340291666665</v>
      </c>
      <c r="BK8" s="35">
        <f>Assumptions!I8/12</f>
        <v>32.827340291666665</v>
      </c>
      <c r="BL8" s="35">
        <f>Assumptions!I8/12</f>
        <v>32.827340291666665</v>
      </c>
      <c r="BM8" s="32"/>
      <c r="BN8" s="32"/>
    </row>
    <row r="9" spans="1:66" ht="20" customHeight="1">
      <c r="A9" s="30"/>
      <c r="B9" s="30"/>
      <c r="C9" s="31" t="s">
        <v>216</v>
      </c>
      <c r="D9" s="31"/>
      <c r="E9" s="35">
        <f>SUM(Assumptions!E28:E28)*0.8/12</f>
        <v>0</v>
      </c>
      <c r="F9" s="35">
        <f>SUM(Assumptions!E28:E28)*0.8/12</f>
        <v>0</v>
      </c>
      <c r="G9" s="35">
        <f>SUM(Assumptions!E28:E28)*0.8/12</f>
        <v>0</v>
      </c>
      <c r="H9" s="35">
        <f>SUM(Assumptions!E28:E28)*0.8/12</f>
        <v>0</v>
      </c>
      <c r="I9" s="35">
        <f>SUM(Assumptions!E28:E28)*0.8/12</f>
        <v>0</v>
      </c>
      <c r="J9" s="35">
        <f>SUM(Assumptions!E28:E28)*0.8/12</f>
        <v>0</v>
      </c>
      <c r="K9" s="35">
        <f>SUM(Assumptions!E28:E28)*0.8/12</f>
        <v>0</v>
      </c>
      <c r="L9" s="35">
        <f>SUM(Assumptions!E28:E28)*0.8/12</f>
        <v>0</v>
      </c>
      <c r="M9" s="35">
        <f>SUM(Assumptions!E28:E28)*0.8/12</f>
        <v>0</v>
      </c>
      <c r="N9" s="35">
        <f>SUM(Assumptions!E28:E28)*0.8/12</f>
        <v>0</v>
      </c>
      <c r="O9" s="35">
        <f>SUM(Assumptions!E28:E28)*0.8/12</f>
        <v>0</v>
      </c>
      <c r="P9" s="35">
        <f>SUM(Assumptions!E28:E28)*0.8/12</f>
        <v>0</v>
      </c>
      <c r="Q9" s="35">
        <f>SUM(Assumptions!E28:F28)*0.8/12</f>
        <v>6.6666666666666666E-2</v>
      </c>
      <c r="R9" s="35">
        <f>SUM(Assumptions!E28:F28)*0.8/12</f>
        <v>6.6666666666666666E-2</v>
      </c>
      <c r="S9" s="35">
        <f>SUM(Assumptions!E28:F28)*0.8/12</f>
        <v>6.6666666666666666E-2</v>
      </c>
      <c r="T9" s="35">
        <f>SUM(Assumptions!E28:F28)*0.8/12</f>
        <v>6.6666666666666666E-2</v>
      </c>
      <c r="U9" s="35">
        <f>SUM(Assumptions!E28:F28)*0.8/12</f>
        <v>6.6666666666666666E-2</v>
      </c>
      <c r="V9" s="35">
        <f>SUM(Assumptions!E28:F28)*0.8/12</f>
        <v>6.6666666666666666E-2</v>
      </c>
      <c r="W9" s="35">
        <f>SUM(Assumptions!E28:F28)*0.8/12</f>
        <v>6.6666666666666666E-2</v>
      </c>
      <c r="X9" s="35">
        <f>SUM(Assumptions!E28:F28)*0.8/12</f>
        <v>6.6666666666666666E-2</v>
      </c>
      <c r="Y9" s="35">
        <f>SUM(Assumptions!E28:F28)*0.8/12</f>
        <v>6.6666666666666666E-2</v>
      </c>
      <c r="Z9" s="35">
        <f>SUM(Assumptions!E28:F28)*0.8/12</f>
        <v>6.6666666666666666E-2</v>
      </c>
      <c r="AA9" s="35">
        <f>SUM(Assumptions!E28:F28)*0.8/12</f>
        <v>6.6666666666666666E-2</v>
      </c>
      <c r="AB9" s="35">
        <f>SUM(Assumptions!E28:F28)*0.8/12</f>
        <v>6.6666666666666666E-2</v>
      </c>
      <c r="AC9" s="35">
        <f>SUM(Assumptions!E28:G28)*0.8/12</f>
        <v>6.6666666666666666E-2</v>
      </c>
      <c r="AD9" s="35">
        <f>SUM(Assumptions!E28:G28)*0.8/12</f>
        <v>6.6666666666666666E-2</v>
      </c>
      <c r="AE9" s="35">
        <f>SUM(Assumptions!E28:G28)*0.8/12</f>
        <v>6.6666666666666666E-2</v>
      </c>
      <c r="AF9" s="35">
        <f>SUM(Assumptions!E28:G28)*0.8/12</f>
        <v>6.6666666666666666E-2</v>
      </c>
      <c r="AG9" s="35">
        <f>SUM(Assumptions!E28:G28)*0.8/12</f>
        <v>6.6666666666666666E-2</v>
      </c>
      <c r="AH9" s="35">
        <f>SUM(Assumptions!E28:G28)*0.8/12</f>
        <v>6.6666666666666666E-2</v>
      </c>
      <c r="AI9" s="35">
        <f>SUM(Assumptions!E28:G28)*0.8/12</f>
        <v>6.6666666666666666E-2</v>
      </c>
      <c r="AJ9" s="35">
        <f>SUM(Assumptions!E28:G28)*0.8/12</f>
        <v>6.6666666666666666E-2</v>
      </c>
      <c r="AK9" s="35">
        <f>SUM(Assumptions!E28:G28)*0.8/12</f>
        <v>6.6666666666666666E-2</v>
      </c>
      <c r="AL9" s="35">
        <f>SUM(Assumptions!E28:G28)*0.8/12</f>
        <v>6.6666666666666666E-2</v>
      </c>
      <c r="AM9" s="35">
        <f>SUM(Assumptions!E28:G28)*0.8/12</f>
        <v>6.6666666666666666E-2</v>
      </c>
      <c r="AN9" s="35">
        <f>SUM(Assumptions!E28:G28)*0.8/12</f>
        <v>6.6666666666666666E-2</v>
      </c>
      <c r="AO9" s="35">
        <f>SUM(Assumptions!E28:H28)*0.8/12</f>
        <v>6.6666666666666666E-2</v>
      </c>
      <c r="AP9" s="35">
        <f>SUM(Assumptions!E28:H28)*0.8/12</f>
        <v>6.6666666666666666E-2</v>
      </c>
      <c r="AQ9" s="35">
        <f>SUM(Assumptions!E28:H28)*0.8/12</f>
        <v>6.6666666666666666E-2</v>
      </c>
      <c r="AR9" s="35">
        <f>SUM(Assumptions!E28:H28)*0.8/12</f>
        <v>6.6666666666666666E-2</v>
      </c>
      <c r="AS9" s="35">
        <f>SUM(Assumptions!E28:H28)*0.8/12</f>
        <v>6.6666666666666666E-2</v>
      </c>
      <c r="AT9" s="35">
        <f>SUM(Assumptions!E28:H28)*0.8/12</f>
        <v>6.6666666666666666E-2</v>
      </c>
      <c r="AU9" s="35">
        <f>SUM(Assumptions!E28:H28)*0.8/12</f>
        <v>6.6666666666666666E-2</v>
      </c>
      <c r="AV9" s="35">
        <f>SUM(Assumptions!E28:H28)*0.8/12</f>
        <v>6.6666666666666666E-2</v>
      </c>
      <c r="AW9" s="35">
        <f>SUM(Assumptions!E28:H28)*0.8/12</f>
        <v>6.6666666666666666E-2</v>
      </c>
      <c r="AX9" s="35">
        <f>SUM(Assumptions!E28:H28)*0.8/12</f>
        <v>6.6666666666666666E-2</v>
      </c>
      <c r="AY9" s="35">
        <f>SUM(Assumptions!E28:H28)*0.8/12</f>
        <v>6.6666666666666666E-2</v>
      </c>
      <c r="AZ9" s="35">
        <f>SUM(Assumptions!E28:H28)*0.8/12</f>
        <v>6.6666666666666666E-2</v>
      </c>
      <c r="BA9" s="35">
        <f>SUM(Assumptions!E28:I28)*0.8/12</f>
        <v>6.6666666666666666E-2</v>
      </c>
      <c r="BB9" s="35">
        <f>SUM(Assumptions!E28:I28)*0.8/12</f>
        <v>6.6666666666666666E-2</v>
      </c>
      <c r="BC9" s="35">
        <f>SUM(Assumptions!E28:I28)*0.8/12</f>
        <v>6.6666666666666666E-2</v>
      </c>
      <c r="BD9" s="35">
        <f>SUM(Assumptions!E28:I28)*0.8/12</f>
        <v>6.6666666666666666E-2</v>
      </c>
      <c r="BE9" s="35">
        <f>SUM(Assumptions!E28:I28)*0.8/12</f>
        <v>6.6666666666666666E-2</v>
      </c>
      <c r="BF9" s="35">
        <f>SUM(Assumptions!E28:I28)*0.8/12</f>
        <v>6.6666666666666666E-2</v>
      </c>
      <c r="BG9" s="35">
        <f>SUM(Assumptions!E28:I28)*0.8/12</f>
        <v>6.6666666666666666E-2</v>
      </c>
      <c r="BH9" s="35">
        <f>SUM(Assumptions!E28:I28)*0.8/12</f>
        <v>6.6666666666666666E-2</v>
      </c>
      <c r="BI9" s="35">
        <f>SUM(Assumptions!E28:I28)*0.8/12</f>
        <v>6.6666666666666666E-2</v>
      </c>
      <c r="BJ9" s="35">
        <f>SUM(Assumptions!E28:I28)*0.8/12</f>
        <v>6.6666666666666666E-2</v>
      </c>
      <c r="BK9" s="35">
        <f>SUM(Assumptions!E28:I28)*0.8/12</f>
        <v>6.6666666666666666E-2</v>
      </c>
      <c r="BL9" s="35">
        <f>SUM(Assumptions!E28:I28)*0.8/12</f>
        <v>6.6666666666666666E-2</v>
      </c>
      <c r="BM9" s="32"/>
      <c r="BN9" s="32"/>
    </row>
    <row r="10" spans="1:66" ht="20" customHeight="1">
      <c r="A10" s="30"/>
      <c r="B10" s="30"/>
      <c r="C10" s="31" t="s">
        <v>217</v>
      </c>
      <c r="D10" s="31"/>
      <c r="E10" s="46">
        <f t="shared" ref="E10:AJ10" si="0">E8-E9</f>
        <v>29.166666666666668</v>
      </c>
      <c r="F10" s="46">
        <f t="shared" si="0"/>
        <v>29.166666666666668</v>
      </c>
      <c r="G10" s="46">
        <f t="shared" si="0"/>
        <v>29.166666666666668</v>
      </c>
      <c r="H10" s="46">
        <f t="shared" si="0"/>
        <v>29.166666666666668</v>
      </c>
      <c r="I10" s="46">
        <f t="shared" si="0"/>
        <v>29.166666666666668</v>
      </c>
      <c r="J10" s="46">
        <f t="shared" si="0"/>
        <v>29.166666666666668</v>
      </c>
      <c r="K10" s="46">
        <f t="shared" si="0"/>
        <v>29.166666666666668</v>
      </c>
      <c r="L10" s="46">
        <f t="shared" si="0"/>
        <v>29.166666666666668</v>
      </c>
      <c r="M10" s="46">
        <f t="shared" si="0"/>
        <v>29.166666666666668</v>
      </c>
      <c r="N10" s="46">
        <f t="shared" si="0"/>
        <v>29.166666666666668</v>
      </c>
      <c r="O10" s="46">
        <f t="shared" si="0"/>
        <v>29.166666666666668</v>
      </c>
      <c r="P10" s="46">
        <f t="shared" si="0"/>
        <v>29.166666666666668</v>
      </c>
      <c r="Q10" s="46">
        <f t="shared" si="0"/>
        <v>29.975000000000001</v>
      </c>
      <c r="R10" s="46">
        <f t="shared" si="0"/>
        <v>29.975000000000001</v>
      </c>
      <c r="S10" s="46">
        <f t="shared" si="0"/>
        <v>29.975000000000001</v>
      </c>
      <c r="T10" s="46">
        <f t="shared" si="0"/>
        <v>29.975000000000001</v>
      </c>
      <c r="U10" s="46">
        <f t="shared" si="0"/>
        <v>29.975000000000001</v>
      </c>
      <c r="V10" s="46">
        <f t="shared" si="0"/>
        <v>29.975000000000001</v>
      </c>
      <c r="W10" s="46">
        <f t="shared" si="0"/>
        <v>29.975000000000001</v>
      </c>
      <c r="X10" s="46">
        <f t="shared" si="0"/>
        <v>29.975000000000001</v>
      </c>
      <c r="Y10" s="46">
        <f t="shared" si="0"/>
        <v>29.975000000000001</v>
      </c>
      <c r="Z10" s="46">
        <f t="shared" si="0"/>
        <v>29.975000000000001</v>
      </c>
      <c r="AA10" s="46">
        <f t="shared" si="0"/>
        <v>29.975000000000001</v>
      </c>
      <c r="AB10" s="46">
        <f t="shared" si="0"/>
        <v>29.975000000000001</v>
      </c>
      <c r="AC10" s="46">
        <f t="shared" si="0"/>
        <v>30.876249999999999</v>
      </c>
      <c r="AD10" s="46">
        <f t="shared" si="0"/>
        <v>30.876249999999999</v>
      </c>
      <c r="AE10" s="46">
        <f t="shared" si="0"/>
        <v>30.876249999999999</v>
      </c>
      <c r="AF10" s="46">
        <f t="shared" si="0"/>
        <v>30.876249999999999</v>
      </c>
      <c r="AG10" s="46">
        <f t="shared" si="0"/>
        <v>30.876249999999999</v>
      </c>
      <c r="AH10" s="46">
        <f t="shared" si="0"/>
        <v>30.876249999999999</v>
      </c>
      <c r="AI10" s="46">
        <f t="shared" si="0"/>
        <v>30.876249999999999</v>
      </c>
      <c r="AJ10" s="46">
        <f t="shared" si="0"/>
        <v>30.876249999999999</v>
      </c>
      <c r="AK10" s="46">
        <f t="shared" ref="AK10:BP10" si="1">AK8-AK9</f>
        <v>30.876249999999999</v>
      </c>
      <c r="AL10" s="46">
        <f t="shared" si="1"/>
        <v>30.876249999999999</v>
      </c>
      <c r="AM10" s="46">
        <f t="shared" si="1"/>
        <v>30.876249999999999</v>
      </c>
      <c r="AN10" s="46">
        <f t="shared" si="1"/>
        <v>30.876249999999999</v>
      </c>
      <c r="AO10" s="46">
        <f t="shared" si="1"/>
        <v>31.804537500000002</v>
      </c>
      <c r="AP10" s="46">
        <f t="shared" si="1"/>
        <v>31.804537500000002</v>
      </c>
      <c r="AQ10" s="46">
        <f t="shared" si="1"/>
        <v>31.804537500000002</v>
      </c>
      <c r="AR10" s="46">
        <f t="shared" si="1"/>
        <v>31.804537500000002</v>
      </c>
      <c r="AS10" s="46">
        <f t="shared" si="1"/>
        <v>31.804537500000002</v>
      </c>
      <c r="AT10" s="46">
        <f t="shared" si="1"/>
        <v>31.804537500000002</v>
      </c>
      <c r="AU10" s="46">
        <f t="shared" si="1"/>
        <v>31.804537500000002</v>
      </c>
      <c r="AV10" s="46">
        <f t="shared" si="1"/>
        <v>31.804537500000002</v>
      </c>
      <c r="AW10" s="46">
        <f t="shared" si="1"/>
        <v>31.804537500000002</v>
      </c>
      <c r="AX10" s="46">
        <f t="shared" si="1"/>
        <v>31.804537500000002</v>
      </c>
      <c r="AY10" s="46">
        <f t="shared" si="1"/>
        <v>31.804537500000002</v>
      </c>
      <c r="AZ10" s="46">
        <f t="shared" si="1"/>
        <v>31.804537500000002</v>
      </c>
      <c r="BA10" s="46">
        <f t="shared" si="1"/>
        <v>32.760673624999995</v>
      </c>
      <c r="BB10" s="46">
        <f t="shared" si="1"/>
        <v>32.760673624999995</v>
      </c>
      <c r="BC10" s="46">
        <f t="shared" si="1"/>
        <v>32.760673624999995</v>
      </c>
      <c r="BD10" s="46">
        <f t="shared" si="1"/>
        <v>32.760673624999995</v>
      </c>
      <c r="BE10" s="46">
        <f t="shared" si="1"/>
        <v>32.760673624999995</v>
      </c>
      <c r="BF10" s="46">
        <f t="shared" si="1"/>
        <v>32.760673624999995</v>
      </c>
      <c r="BG10" s="46">
        <f t="shared" si="1"/>
        <v>32.760673624999995</v>
      </c>
      <c r="BH10" s="46">
        <f t="shared" si="1"/>
        <v>32.760673624999995</v>
      </c>
      <c r="BI10" s="46">
        <f t="shared" si="1"/>
        <v>32.760673624999995</v>
      </c>
      <c r="BJ10" s="46">
        <f t="shared" si="1"/>
        <v>32.760673624999995</v>
      </c>
      <c r="BK10" s="46">
        <f t="shared" si="1"/>
        <v>32.760673624999995</v>
      </c>
      <c r="BL10" s="46">
        <f t="shared" si="1"/>
        <v>32.760673624999995</v>
      </c>
      <c r="BM10" s="32"/>
      <c r="BN10" s="32"/>
    </row>
    <row r="11" spans="1:66" ht="20" customHeight="1">
      <c r="A11" s="30"/>
      <c r="B11" s="30"/>
      <c r="C11" s="31" t="s">
        <v>218</v>
      </c>
      <c r="D11" s="31"/>
      <c r="E11" s="35">
        <f>Assumptions!E13/12</f>
        <v>13.333333333333334</v>
      </c>
      <c r="F11" s="35">
        <f>Assumptions!E13/12</f>
        <v>13.333333333333334</v>
      </c>
      <c r="G11" s="35">
        <f>Assumptions!E13/12</f>
        <v>13.333333333333334</v>
      </c>
      <c r="H11" s="35">
        <f>Assumptions!E13/12</f>
        <v>13.333333333333334</v>
      </c>
      <c r="I11" s="35">
        <f>Assumptions!E13/12</f>
        <v>13.333333333333334</v>
      </c>
      <c r="J11" s="35">
        <f>Assumptions!E13/12</f>
        <v>13.333333333333334</v>
      </c>
      <c r="K11" s="35">
        <f>Assumptions!E13/12</f>
        <v>13.333333333333334</v>
      </c>
      <c r="L11" s="35">
        <f>Assumptions!E13/12</f>
        <v>13.333333333333334</v>
      </c>
      <c r="M11" s="35">
        <f>Assumptions!E13/12</f>
        <v>13.333333333333334</v>
      </c>
      <c r="N11" s="35">
        <f>Assumptions!E13/12</f>
        <v>13.333333333333334</v>
      </c>
      <c r="O11" s="35">
        <f>Assumptions!E13/12</f>
        <v>13.333333333333334</v>
      </c>
      <c r="P11" s="35">
        <f>Assumptions!E13/12</f>
        <v>13.333333333333334</v>
      </c>
      <c r="Q11" s="35">
        <f>Assumptions!F13/12</f>
        <v>13.333333333333334</v>
      </c>
      <c r="R11" s="35">
        <f>Assumptions!F13/12</f>
        <v>13.333333333333334</v>
      </c>
      <c r="S11" s="35">
        <f>Assumptions!F13/12</f>
        <v>13.333333333333334</v>
      </c>
      <c r="T11" s="35">
        <f>Assumptions!F13/12</f>
        <v>13.333333333333334</v>
      </c>
      <c r="U11" s="35">
        <f>Assumptions!F13/12</f>
        <v>13.333333333333334</v>
      </c>
      <c r="V11" s="35">
        <f>Assumptions!F13/12</f>
        <v>13.333333333333334</v>
      </c>
      <c r="W11" s="35">
        <f>Assumptions!F13/12</f>
        <v>13.333333333333334</v>
      </c>
      <c r="X11" s="35">
        <f>Assumptions!F13/12</f>
        <v>13.333333333333334</v>
      </c>
      <c r="Y11" s="35">
        <f>Assumptions!F13/12</f>
        <v>13.333333333333334</v>
      </c>
      <c r="Z11" s="35">
        <f>Assumptions!F13/12</f>
        <v>13.333333333333334</v>
      </c>
      <c r="AA11" s="35">
        <f>Assumptions!F13/12</f>
        <v>13.333333333333334</v>
      </c>
      <c r="AB11" s="35">
        <f>Assumptions!F13/12</f>
        <v>13.333333333333334</v>
      </c>
      <c r="AC11" s="35">
        <f>Assumptions!G13/12</f>
        <v>13.333333333333334</v>
      </c>
      <c r="AD11" s="35">
        <f>Assumptions!G13/12</f>
        <v>13.333333333333334</v>
      </c>
      <c r="AE11" s="35">
        <f>Assumptions!G13/12</f>
        <v>13.333333333333334</v>
      </c>
      <c r="AF11" s="35">
        <f>Assumptions!G13/12</f>
        <v>13.333333333333334</v>
      </c>
      <c r="AG11" s="35">
        <f>Assumptions!G13/12</f>
        <v>13.333333333333334</v>
      </c>
      <c r="AH11" s="35">
        <f>Assumptions!G13/12</f>
        <v>13.333333333333334</v>
      </c>
      <c r="AI11" s="35">
        <f>Assumptions!G13/12</f>
        <v>13.333333333333334</v>
      </c>
      <c r="AJ11" s="35">
        <f>Assumptions!G13/12</f>
        <v>13.333333333333334</v>
      </c>
      <c r="AK11" s="35">
        <f>Assumptions!G13/12</f>
        <v>13.333333333333334</v>
      </c>
      <c r="AL11" s="35">
        <f>Assumptions!G13/12</f>
        <v>13.333333333333334</v>
      </c>
      <c r="AM11" s="35">
        <f>Assumptions!G13/12</f>
        <v>13.333333333333334</v>
      </c>
      <c r="AN11" s="35">
        <f>Assumptions!G13/12</f>
        <v>13.333333333333334</v>
      </c>
      <c r="AO11" s="35">
        <f>Assumptions!H13/12</f>
        <v>13.333333333333334</v>
      </c>
      <c r="AP11" s="35">
        <f>Assumptions!H13/12</f>
        <v>13.333333333333334</v>
      </c>
      <c r="AQ11" s="35">
        <f>Assumptions!H13/12</f>
        <v>13.333333333333334</v>
      </c>
      <c r="AR11" s="35">
        <f>Assumptions!H13/12</f>
        <v>13.333333333333334</v>
      </c>
      <c r="AS11" s="35">
        <f>Assumptions!H13/12</f>
        <v>13.333333333333334</v>
      </c>
      <c r="AT11" s="35">
        <f>Assumptions!H13/12</f>
        <v>13.333333333333334</v>
      </c>
      <c r="AU11" s="35">
        <f>Assumptions!H13/12</f>
        <v>13.333333333333334</v>
      </c>
      <c r="AV11" s="35">
        <f>Assumptions!H13/12</f>
        <v>13.333333333333334</v>
      </c>
      <c r="AW11" s="35">
        <f>Assumptions!H13/12</f>
        <v>13.333333333333334</v>
      </c>
      <c r="AX11" s="35">
        <f>Assumptions!H13/12</f>
        <v>13.333333333333334</v>
      </c>
      <c r="AY11" s="35">
        <f>Assumptions!H13/12</f>
        <v>13.333333333333334</v>
      </c>
      <c r="AZ11" s="35">
        <f>Assumptions!H13/12</f>
        <v>13.333333333333334</v>
      </c>
      <c r="BA11" s="35">
        <f>Assumptions!I13/12</f>
        <v>13.333333333333334</v>
      </c>
      <c r="BB11" s="35">
        <f>Assumptions!I13/12</f>
        <v>13.333333333333334</v>
      </c>
      <c r="BC11" s="35">
        <f>Assumptions!I13/12</f>
        <v>13.333333333333334</v>
      </c>
      <c r="BD11" s="35">
        <f>Assumptions!I13/12</f>
        <v>13.333333333333334</v>
      </c>
      <c r="BE11" s="35">
        <f>Assumptions!I13/12</f>
        <v>13.333333333333334</v>
      </c>
      <c r="BF11" s="35">
        <f>Assumptions!I13/12</f>
        <v>13.333333333333334</v>
      </c>
      <c r="BG11" s="35">
        <f>Assumptions!I13/12</f>
        <v>13.333333333333334</v>
      </c>
      <c r="BH11" s="35">
        <f>Assumptions!I13/12</f>
        <v>13.333333333333334</v>
      </c>
      <c r="BI11" s="35">
        <f>Assumptions!I13/12</f>
        <v>13.333333333333334</v>
      </c>
      <c r="BJ11" s="35">
        <f>Assumptions!I13/12</f>
        <v>13.333333333333334</v>
      </c>
      <c r="BK11" s="35">
        <f>Assumptions!I13/12</f>
        <v>13.333333333333334</v>
      </c>
      <c r="BL11" s="35">
        <f>Assumptions!I13/12</f>
        <v>13.333333333333334</v>
      </c>
      <c r="BM11" s="32"/>
      <c r="BN11" s="32"/>
    </row>
    <row r="12" spans="1:66" ht="20" customHeight="1">
      <c r="A12" s="30"/>
      <c r="B12" s="30"/>
      <c r="C12" s="31" t="s">
        <v>219</v>
      </c>
      <c r="D12" s="31"/>
      <c r="E12" s="35">
        <f>Assumptions!E18/12</f>
        <v>5.416666666666667</v>
      </c>
      <c r="F12" s="35">
        <f>Assumptions!E18/12</f>
        <v>5.416666666666667</v>
      </c>
      <c r="G12" s="35">
        <f>Assumptions!E18/12</f>
        <v>5.416666666666667</v>
      </c>
      <c r="H12" s="35">
        <f>Assumptions!E18/12</f>
        <v>5.416666666666667</v>
      </c>
      <c r="I12" s="35">
        <f>Assumptions!E18/12</f>
        <v>5.416666666666667</v>
      </c>
      <c r="J12" s="35">
        <f>Assumptions!E18/12</f>
        <v>5.416666666666667</v>
      </c>
      <c r="K12" s="35">
        <f>Assumptions!E18/12</f>
        <v>5.416666666666667</v>
      </c>
      <c r="L12" s="35">
        <f>Assumptions!E18/12</f>
        <v>5.416666666666667</v>
      </c>
      <c r="M12" s="35">
        <f>Assumptions!E18/12</f>
        <v>5.416666666666667</v>
      </c>
      <c r="N12" s="35">
        <f>Assumptions!E18/12</f>
        <v>5.416666666666667</v>
      </c>
      <c r="O12" s="35">
        <f>Assumptions!E18/12</f>
        <v>5.416666666666667</v>
      </c>
      <c r="P12" s="35">
        <f>Assumptions!E18/12</f>
        <v>5.416666666666667</v>
      </c>
      <c r="Q12" s="35">
        <f>Assumptions!F18/12</f>
        <v>2.9166666666666665</v>
      </c>
      <c r="R12" s="35">
        <f>Assumptions!F18/12</f>
        <v>2.9166666666666665</v>
      </c>
      <c r="S12" s="35">
        <f>Assumptions!F18/12</f>
        <v>2.9166666666666665</v>
      </c>
      <c r="T12" s="35">
        <f>Assumptions!F18/12</f>
        <v>2.9166666666666665</v>
      </c>
      <c r="U12" s="35">
        <f>Assumptions!F18/12</f>
        <v>2.9166666666666665</v>
      </c>
      <c r="V12" s="35">
        <f>Assumptions!F18/12</f>
        <v>2.9166666666666665</v>
      </c>
      <c r="W12" s="35">
        <f>Assumptions!F18/12</f>
        <v>2.9166666666666665</v>
      </c>
      <c r="X12" s="35">
        <f>Assumptions!F18/12</f>
        <v>2.9166666666666665</v>
      </c>
      <c r="Y12" s="35">
        <f>Assumptions!F18/12</f>
        <v>2.9166666666666665</v>
      </c>
      <c r="Z12" s="35">
        <f>Assumptions!F18/12</f>
        <v>2.9166666666666665</v>
      </c>
      <c r="AA12" s="35">
        <f>Assumptions!F18/12</f>
        <v>2.9166666666666665</v>
      </c>
      <c r="AB12" s="35">
        <f>Assumptions!F18/12</f>
        <v>2.9166666666666665</v>
      </c>
      <c r="AC12" s="35">
        <f>Assumptions!G18/12</f>
        <v>2.9166666666666665</v>
      </c>
      <c r="AD12" s="35">
        <f>Assumptions!G18/12</f>
        <v>2.9166666666666665</v>
      </c>
      <c r="AE12" s="35">
        <f>Assumptions!G18/12</f>
        <v>2.9166666666666665</v>
      </c>
      <c r="AF12" s="35">
        <f>Assumptions!G18/12</f>
        <v>2.9166666666666665</v>
      </c>
      <c r="AG12" s="35">
        <f>Assumptions!G18/12</f>
        <v>2.9166666666666665</v>
      </c>
      <c r="AH12" s="35">
        <f>Assumptions!G18/12</f>
        <v>2.9166666666666665</v>
      </c>
      <c r="AI12" s="35">
        <f>Assumptions!G18/12</f>
        <v>2.9166666666666665</v>
      </c>
      <c r="AJ12" s="35">
        <f>Assumptions!G18/12</f>
        <v>2.9166666666666665</v>
      </c>
      <c r="AK12" s="35">
        <f>Assumptions!G18/12</f>
        <v>2.9166666666666665</v>
      </c>
      <c r="AL12" s="35">
        <f>Assumptions!G18/12</f>
        <v>2.9166666666666665</v>
      </c>
      <c r="AM12" s="35">
        <f>Assumptions!G18/12</f>
        <v>2.9166666666666665</v>
      </c>
      <c r="AN12" s="35">
        <f>Assumptions!G18/12</f>
        <v>2.9166666666666665</v>
      </c>
      <c r="AO12" s="35">
        <f>Assumptions!H18/12</f>
        <v>2.9166666666666665</v>
      </c>
      <c r="AP12" s="35">
        <f>Assumptions!H18/12</f>
        <v>2.9166666666666665</v>
      </c>
      <c r="AQ12" s="35">
        <f>Assumptions!H18/12</f>
        <v>2.9166666666666665</v>
      </c>
      <c r="AR12" s="35">
        <f>Assumptions!H18/12</f>
        <v>2.9166666666666665</v>
      </c>
      <c r="AS12" s="35">
        <f>Assumptions!H18/12</f>
        <v>2.9166666666666665</v>
      </c>
      <c r="AT12" s="35">
        <f>Assumptions!H18/12</f>
        <v>2.9166666666666665</v>
      </c>
      <c r="AU12" s="35">
        <f>Assumptions!H18/12</f>
        <v>2.9166666666666665</v>
      </c>
      <c r="AV12" s="35">
        <f>Assumptions!H18/12</f>
        <v>2.9166666666666665</v>
      </c>
      <c r="AW12" s="35">
        <f>Assumptions!H18/12</f>
        <v>2.9166666666666665</v>
      </c>
      <c r="AX12" s="35">
        <f>Assumptions!H18/12</f>
        <v>2.9166666666666665</v>
      </c>
      <c r="AY12" s="35">
        <f>Assumptions!H18/12</f>
        <v>2.9166666666666665</v>
      </c>
      <c r="AZ12" s="35">
        <f>Assumptions!H18/12</f>
        <v>2.9166666666666665</v>
      </c>
      <c r="BA12" s="35">
        <f>Assumptions!I18/12</f>
        <v>2.9166666666666665</v>
      </c>
      <c r="BB12" s="35">
        <f>Assumptions!I18/12</f>
        <v>2.9166666666666665</v>
      </c>
      <c r="BC12" s="35">
        <f>Assumptions!I18/12</f>
        <v>2.9166666666666665</v>
      </c>
      <c r="BD12" s="35">
        <f>Assumptions!I18/12</f>
        <v>2.9166666666666665</v>
      </c>
      <c r="BE12" s="35">
        <f>Assumptions!I18/12</f>
        <v>2.9166666666666665</v>
      </c>
      <c r="BF12" s="35">
        <f>Assumptions!I18/12</f>
        <v>2.9166666666666665</v>
      </c>
      <c r="BG12" s="35">
        <f>Assumptions!I18/12</f>
        <v>2.9166666666666665</v>
      </c>
      <c r="BH12" s="35">
        <f>Assumptions!I18/12</f>
        <v>2.9166666666666665</v>
      </c>
      <c r="BI12" s="35">
        <f>Assumptions!I18/12</f>
        <v>2.9166666666666665</v>
      </c>
      <c r="BJ12" s="35">
        <f>Assumptions!I18/12</f>
        <v>2.9166666666666665</v>
      </c>
      <c r="BK12" s="35">
        <f>Assumptions!I18/12</f>
        <v>2.9166666666666665</v>
      </c>
      <c r="BL12" s="35">
        <f>Assumptions!I18/12</f>
        <v>2.9166666666666665</v>
      </c>
      <c r="BM12" s="32"/>
      <c r="BN12" s="32"/>
    </row>
    <row r="13" spans="1:66" ht="20" customHeight="1">
      <c r="A13" s="30"/>
      <c r="B13" s="30"/>
      <c r="C13" s="31" t="s">
        <v>220</v>
      </c>
      <c r="D13" s="31"/>
      <c r="E13" s="35">
        <f>Assumptions!E23/12</f>
        <v>14.583333333333334</v>
      </c>
      <c r="F13" s="35">
        <f>Assumptions!E23/12</f>
        <v>14.583333333333334</v>
      </c>
      <c r="G13" s="35">
        <f>Assumptions!E23/12</f>
        <v>14.583333333333334</v>
      </c>
      <c r="H13" s="35">
        <f>Assumptions!E23/12</f>
        <v>14.583333333333334</v>
      </c>
      <c r="I13" s="35">
        <f>Assumptions!E23/12</f>
        <v>14.583333333333334</v>
      </c>
      <c r="J13" s="35">
        <f>Assumptions!E23/12</f>
        <v>14.583333333333334</v>
      </c>
      <c r="K13" s="35">
        <f>Assumptions!E23/12</f>
        <v>14.583333333333334</v>
      </c>
      <c r="L13" s="35">
        <f>Assumptions!E23/12</f>
        <v>14.583333333333334</v>
      </c>
      <c r="M13" s="35">
        <f>Assumptions!E23/12</f>
        <v>14.583333333333334</v>
      </c>
      <c r="N13" s="35">
        <f>Assumptions!E23/12</f>
        <v>14.583333333333334</v>
      </c>
      <c r="O13" s="35">
        <f>Assumptions!E23/12</f>
        <v>14.583333333333334</v>
      </c>
      <c r="P13" s="35">
        <f>Assumptions!E23/12</f>
        <v>14.583333333333334</v>
      </c>
      <c r="Q13" s="35">
        <f>Assumptions!F23/12</f>
        <v>13.333333333333334</v>
      </c>
      <c r="R13" s="35">
        <f>Assumptions!F23/12</f>
        <v>13.333333333333334</v>
      </c>
      <c r="S13" s="35">
        <f>Assumptions!F23/12</f>
        <v>13.333333333333334</v>
      </c>
      <c r="T13" s="35">
        <f>Assumptions!F23/12</f>
        <v>13.333333333333334</v>
      </c>
      <c r="U13" s="35">
        <f>Assumptions!F23/12</f>
        <v>13.333333333333334</v>
      </c>
      <c r="V13" s="35">
        <f>Assumptions!F23/12</f>
        <v>13.333333333333334</v>
      </c>
      <c r="W13" s="35">
        <f>Assumptions!F23/12</f>
        <v>13.333333333333334</v>
      </c>
      <c r="X13" s="35">
        <f>Assumptions!F23/12</f>
        <v>13.333333333333334</v>
      </c>
      <c r="Y13" s="35">
        <f>Assumptions!F23/12</f>
        <v>13.333333333333334</v>
      </c>
      <c r="Z13" s="35">
        <f>Assumptions!F23/12</f>
        <v>13.333333333333334</v>
      </c>
      <c r="AA13" s="35">
        <f>Assumptions!F23/12</f>
        <v>13.333333333333334</v>
      </c>
      <c r="AB13" s="35">
        <f>Assumptions!F23/12</f>
        <v>13.333333333333334</v>
      </c>
      <c r="AC13" s="35">
        <f>Assumptions!G23/12</f>
        <v>13.6</v>
      </c>
      <c r="AD13" s="35">
        <f>Assumptions!G23/12</f>
        <v>13.6</v>
      </c>
      <c r="AE13" s="35">
        <f>Assumptions!G23/12</f>
        <v>13.6</v>
      </c>
      <c r="AF13" s="35">
        <f>Assumptions!G23/12</f>
        <v>13.6</v>
      </c>
      <c r="AG13" s="35">
        <f>Assumptions!G23/12</f>
        <v>13.6</v>
      </c>
      <c r="AH13" s="35">
        <f>Assumptions!G23/12</f>
        <v>13.6</v>
      </c>
      <c r="AI13" s="35">
        <f>Assumptions!G23/12</f>
        <v>13.6</v>
      </c>
      <c r="AJ13" s="35">
        <f>Assumptions!G23/12</f>
        <v>13.6</v>
      </c>
      <c r="AK13" s="35">
        <f>Assumptions!G23/12</f>
        <v>13.6</v>
      </c>
      <c r="AL13" s="35">
        <f>Assumptions!G23/12</f>
        <v>13.6</v>
      </c>
      <c r="AM13" s="35">
        <f>Assumptions!G23/12</f>
        <v>13.6</v>
      </c>
      <c r="AN13" s="35">
        <f>Assumptions!G23/12</f>
        <v>13.6</v>
      </c>
      <c r="AO13" s="35">
        <f>Assumptions!H23/12</f>
        <v>13.872</v>
      </c>
      <c r="AP13" s="35">
        <f>Assumptions!H23/12</f>
        <v>13.872</v>
      </c>
      <c r="AQ13" s="35">
        <f>Assumptions!H23/12</f>
        <v>13.872</v>
      </c>
      <c r="AR13" s="35">
        <f>Assumptions!H23/12</f>
        <v>13.872</v>
      </c>
      <c r="AS13" s="35">
        <f>Assumptions!H23/12</f>
        <v>13.872</v>
      </c>
      <c r="AT13" s="35">
        <f>Assumptions!H23/12</f>
        <v>13.872</v>
      </c>
      <c r="AU13" s="35">
        <f>Assumptions!H23/12</f>
        <v>13.872</v>
      </c>
      <c r="AV13" s="35">
        <f>Assumptions!H23/12</f>
        <v>13.872</v>
      </c>
      <c r="AW13" s="35">
        <f>Assumptions!H23/12</f>
        <v>13.872</v>
      </c>
      <c r="AX13" s="35">
        <f>Assumptions!H23/12</f>
        <v>13.872</v>
      </c>
      <c r="AY13" s="35">
        <f>Assumptions!H23/12</f>
        <v>13.872</v>
      </c>
      <c r="AZ13" s="35">
        <f>Assumptions!H23/12</f>
        <v>13.872</v>
      </c>
      <c r="BA13" s="35">
        <f>Assumptions!I23/12</f>
        <v>14.14944</v>
      </c>
      <c r="BB13" s="35">
        <f>Assumptions!I23/12</f>
        <v>14.14944</v>
      </c>
      <c r="BC13" s="35">
        <f>Assumptions!I23/12</f>
        <v>14.14944</v>
      </c>
      <c r="BD13" s="35">
        <f>Assumptions!I23/12</f>
        <v>14.14944</v>
      </c>
      <c r="BE13" s="35">
        <f>Assumptions!I23/12</f>
        <v>14.14944</v>
      </c>
      <c r="BF13" s="35">
        <f>Assumptions!I23/12</f>
        <v>14.14944</v>
      </c>
      <c r="BG13" s="35">
        <f>Assumptions!I23/12</f>
        <v>14.14944</v>
      </c>
      <c r="BH13" s="35">
        <f>Assumptions!I23/12</f>
        <v>14.14944</v>
      </c>
      <c r="BI13" s="35">
        <f>Assumptions!I23/12</f>
        <v>14.14944</v>
      </c>
      <c r="BJ13" s="35">
        <f>Assumptions!I23/12</f>
        <v>14.14944</v>
      </c>
      <c r="BK13" s="35">
        <f>Assumptions!I23/12</f>
        <v>14.14944</v>
      </c>
      <c r="BL13" s="35">
        <f>Assumptions!I23/12</f>
        <v>14.14944</v>
      </c>
      <c r="BM13" s="32"/>
      <c r="BN13" s="32"/>
    </row>
    <row r="14" spans="1:66" ht="20" customHeight="1">
      <c r="A14" s="30"/>
      <c r="B14" s="30"/>
      <c r="C14" s="31" t="s">
        <v>221</v>
      </c>
      <c r="D14" s="31"/>
      <c r="E14" s="46">
        <f t="shared" ref="E14:AJ14" si="2">SUM(E10:E13)</f>
        <v>62.5</v>
      </c>
      <c r="F14" s="46">
        <f t="shared" si="2"/>
        <v>62.5</v>
      </c>
      <c r="G14" s="46">
        <f t="shared" si="2"/>
        <v>62.5</v>
      </c>
      <c r="H14" s="46">
        <f t="shared" si="2"/>
        <v>62.5</v>
      </c>
      <c r="I14" s="46">
        <f t="shared" si="2"/>
        <v>62.5</v>
      </c>
      <c r="J14" s="46">
        <f t="shared" si="2"/>
        <v>62.5</v>
      </c>
      <c r="K14" s="46">
        <f t="shared" si="2"/>
        <v>62.5</v>
      </c>
      <c r="L14" s="46">
        <f t="shared" si="2"/>
        <v>62.5</v>
      </c>
      <c r="M14" s="46">
        <f t="shared" si="2"/>
        <v>62.5</v>
      </c>
      <c r="N14" s="46">
        <f t="shared" si="2"/>
        <v>62.5</v>
      </c>
      <c r="O14" s="46">
        <f t="shared" si="2"/>
        <v>62.5</v>
      </c>
      <c r="P14" s="46">
        <f t="shared" si="2"/>
        <v>62.5</v>
      </c>
      <c r="Q14" s="46">
        <f t="shared" si="2"/>
        <v>59.558333333333337</v>
      </c>
      <c r="R14" s="46">
        <f t="shared" si="2"/>
        <v>59.558333333333337</v>
      </c>
      <c r="S14" s="46">
        <f t="shared" si="2"/>
        <v>59.558333333333337</v>
      </c>
      <c r="T14" s="46">
        <f t="shared" si="2"/>
        <v>59.558333333333337</v>
      </c>
      <c r="U14" s="46">
        <f t="shared" si="2"/>
        <v>59.558333333333337</v>
      </c>
      <c r="V14" s="46">
        <f t="shared" si="2"/>
        <v>59.558333333333337</v>
      </c>
      <c r="W14" s="46">
        <f t="shared" si="2"/>
        <v>59.558333333333337</v>
      </c>
      <c r="X14" s="46">
        <f t="shared" si="2"/>
        <v>59.558333333333337</v>
      </c>
      <c r="Y14" s="46">
        <f t="shared" si="2"/>
        <v>59.558333333333337</v>
      </c>
      <c r="Z14" s="46">
        <f t="shared" si="2"/>
        <v>59.558333333333337</v>
      </c>
      <c r="AA14" s="46">
        <f t="shared" si="2"/>
        <v>59.558333333333337</v>
      </c>
      <c r="AB14" s="46">
        <f t="shared" si="2"/>
        <v>59.558333333333337</v>
      </c>
      <c r="AC14" s="46">
        <f t="shared" si="2"/>
        <v>60.72625</v>
      </c>
      <c r="AD14" s="46">
        <f t="shared" si="2"/>
        <v>60.72625</v>
      </c>
      <c r="AE14" s="46">
        <f t="shared" si="2"/>
        <v>60.72625</v>
      </c>
      <c r="AF14" s="46">
        <f t="shared" si="2"/>
        <v>60.72625</v>
      </c>
      <c r="AG14" s="46">
        <f t="shared" si="2"/>
        <v>60.72625</v>
      </c>
      <c r="AH14" s="46">
        <f t="shared" si="2"/>
        <v>60.72625</v>
      </c>
      <c r="AI14" s="46">
        <f t="shared" si="2"/>
        <v>60.72625</v>
      </c>
      <c r="AJ14" s="46">
        <f t="shared" si="2"/>
        <v>60.72625</v>
      </c>
      <c r="AK14" s="46">
        <f t="shared" ref="AK14:BP14" si="3">SUM(AK10:AK13)</f>
        <v>60.72625</v>
      </c>
      <c r="AL14" s="46">
        <f t="shared" si="3"/>
        <v>60.72625</v>
      </c>
      <c r="AM14" s="46">
        <f t="shared" si="3"/>
        <v>60.72625</v>
      </c>
      <c r="AN14" s="46">
        <f t="shared" si="3"/>
        <v>60.72625</v>
      </c>
      <c r="AO14" s="46">
        <f t="shared" si="3"/>
        <v>61.926537500000002</v>
      </c>
      <c r="AP14" s="46">
        <f t="shared" si="3"/>
        <v>61.926537500000002</v>
      </c>
      <c r="AQ14" s="46">
        <f t="shared" si="3"/>
        <v>61.926537500000002</v>
      </c>
      <c r="AR14" s="46">
        <f t="shared" si="3"/>
        <v>61.926537500000002</v>
      </c>
      <c r="AS14" s="46">
        <f t="shared" si="3"/>
        <v>61.926537500000002</v>
      </c>
      <c r="AT14" s="46">
        <f t="shared" si="3"/>
        <v>61.926537500000002</v>
      </c>
      <c r="AU14" s="46">
        <f t="shared" si="3"/>
        <v>61.926537500000002</v>
      </c>
      <c r="AV14" s="46">
        <f t="shared" si="3"/>
        <v>61.926537500000002</v>
      </c>
      <c r="AW14" s="46">
        <f t="shared" si="3"/>
        <v>61.926537500000002</v>
      </c>
      <c r="AX14" s="46">
        <f t="shared" si="3"/>
        <v>61.926537500000002</v>
      </c>
      <c r="AY14" s="46">
        <f t="shared" si="3"/>
        <v>61.926537500000002</v>
      </c>
      <c r="AZ14" s="46">
        <f t="shared" si="3"/>
        <v>61.926537500000002</v>
      </c>
      <c r="BA14" s="46">
        <f t="shared" si="3"/>
        <v>63.160113624999994</v>
      </c>
      <c r="BB14" s="46">
        <f t="shared" si="3"/>
        <v>63.160113624999994</v>
      </c>
      <c r="BC14" s="46">
        <f t="shared" si="3"/>
        <v>63.160113624999994</v>
      </c>
      <c r="BD14" s="46">
        <f t="shared" si="3"/>
        <v>63.160113624999994</v>
      </c>
      <c r="BE14" s="46">
        <f t="shared" si="3"/>
        <v>63.160113624999994</v>
      </c>
      <c r="BF14" s="46">
        <f t="shared" si="3"/>
        <v>63.160113624999994</v>
      </c>
      <c r="BG14" s="46">
        <f t="shared" si="3"/>
        <v>63.160113624999994</v>
      </c>
      <c r="BH14" s="46">
        <f t="shared" si="3"/>
        <v>63.160113624999994</v>
      </c>
      <c r="BI14" s="46">
        <f t="shared" si="3"/>
        <v>63.160113624999994</v>
      </c>
      <c r="BJ14" s="46">
        <f t="shared" si="3"/>
        <v>63.160113624999994</v>
      </c>
      <c r="BK14" s="46">
        <f t="shared" si="3"/>
        <v>63.160113624999994</v>
      </c>
      <c r="BL14" s="46">
        <f t="shared" si="3"/>
        <v>63.160113624999994</v>
      </c>
      <c r="BM14" s="32"/>
      <c r="BN14" s="32"/>
    </row>
    <row r="15" spans="1:66" ht="20" customHeight="1">
      <c r="A15" s="30"/>
      <c r="B15" s="30"/>
      <c r="C15" s="31"/>
      <c r="D15" s="31"/>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row>
    <row r="16" spans="1:66" ht="20" customHeight="1">
      <c r="A16" s="30"/>
      <c r="B16" s="30"/>
      <c r="C16" s="31" t="s">
        <v>222</v>
      </c>
      <c r="D16" s="31"/>
      <c r="E16" s="35">
        <f>Assumptions!E38/12</f>
        <v>29.166666666666668</v>
      </c>
      <c r="F16" s="46">
        <f t="shared" ref="F16:P16" si="4">E16</f>
        <v>29.166666666666668</v>
      </c>
      <c r="G16" s="46">
        <f t="shared" si="4"/>
        <v>29.166666666666668</v>
      </c>
      <c r="H16" s="46">
        <f t="shared" si="4"/>
        <v>29.166666666666668</v>
      </c>
      <c r="I16" s="46">
        <f t="shared" si="4"/>
        <v>29.166666666666668</v>
      </c>
      <c r="J16" s="46">
        <f t="shared" si="4"/>
        <v>29.166666666666668</v>
      </c>
      <c r="K16" s="46">
        <f t="shared" si="4"/>
        <v>29.166666666666668</v>
      </c>
      <c r="L16" s="46">
        <f t="shared" si="4"/>
        <v>29.166666666666668</v>
      </c>
      <c r="M16" s="46">
        <f t="shared" si="4"/>
        <v>29.166666666666668</v>
      </c>
      <c r="N16" s="46">
        <f t="shared" si="4"/>
        <v>29.166666666666668</v>
      </c>
      <c r="O16" s="46">
        <f t="shared" si="4"/>
        <v>29.166666666666668</v>
      </c>
      <c r="P16" s="46">
        <f t="shared" si="4"/>
        <v>29.166666666666668</v>
      </c>
      <c r="Q16" s="35">
        <f>P16*(1+Assumptions!F43)-Assumptions!F53/12</f>
        <v>28.083333333333332</v>
      </c>
      <c r="R16" s="46">
        <f t="shared" ref="R16:AB16" si="5">Q16</f>
        <v>28.083333333333332</v>
      </c>
      <c r="S16" s="46">
        <f t="shared" si="5"/>
        <v>28.083333333333332</v>
      </c>
      <c r="T16" s="46">
        <f t="shared" si="5"/>
        <v>28.083333333333332</v>
      </c>
      <c r="U16" s="46">
        <f t="shared" si="5"/>
        <v>28.083333333333332</v>
      </c>
      <c r="V16" s="46">
        <f t="shared" si="5"/>
        <v>28.083333333333332</v>
      </c>
      <c r="W16" s="46">
        <f t="shared" si="5"/>
        <v>28.083333333333332</v>
      </c>
      <c r="X16" s="46">
        <f t="shared" si="5"/>
        <v>28.083333333333332</v>
      </c>
      <c r="Y16" s="46">
        <f t="shared" si="5"/>
        <v>28.083333333333332</v>
      </c>
      <c r="Z16" s="46">
        <f t="shared" si="5"/>
        <v>28.083333333333332</v>
      </c>
      <c r="AA16" s="46">
        <f t="shared" si="5"/>
        <v>28.083333333333332</v>
      </c>
      <c r="AB16" s="46">
        <f t="shared" si="5"/>
        <v>28.083333333333332</v>
      </c>
      <c r="AC16" s="35">
        <f>AB16*(1+Assumptions!G43)-Assumptions!G53/12</f>
        <v>27.395</v>
      </c>
      <c r="AD16" s="46">
        <f t="shared" ref="AD16:AN16" si="6">AC16</f>
        <v>27.395</v>
      </c>
      <c r="AE16" s="46">
        <f t="shared" si="6"/>
        <v>27.395</v>
      </c>
      <c r="AF16" s="46">
        <f t="shared" si="6"/>
        <v>27.395</v>
      </c>
      <c r="AG16" s="46">
        <f t="shared" si="6"/>
        <v>27.395</v>
      </c>
      <c r="AH16" s="46">
        <f t="shared" si="6"/>
        <v>27.395</v>
      </c>
      <c r="AI16" s="46">
        <f t="shared" si="6"/>
        <v>27.395</v>
      </c>
      <c r="AJ16" s="46">
        <f t="shared" si="6"/>
        <v>27.395</v>
      </c>
      <c r="AK16" s="46">
        <f t="shared" si="6"/>
        <v>27.395</v>
      </c>
      <c r="AL16" s="46">
        <f t="shared" si="6"/>
        <v>27.395</v>
      </c>
      <c r="AM16" s="46">
        <f t="shared" si="6"/>
        <v>27.395</v>
      </c>
      <c r="AN16" s="46">
        <f t="shared" si="6"/>
        <v>27.395</v>
      </c>
      <c r="AO16" s="35">
        <f>AN16*(1+Assumptions!H43)-Assumptions!H53/12</f>
        <v>27.109566666666669</v>
      </c>
      <c r="AP16" s="46">
        <f t="shared" ref="AP16:AZ16" si="7">AO16</f>
        <v>27.109566666666669</v>
      </c>
      <c r="AQ16" s="46">
        <f t="shared" si="7"/>
        <v>27.109566666666669</v>
      </c>
      <c r="AR16" s="46">
        <f t="shared" si="7"/>
        <v>27.109566666666669</v>
      </c>
      <c r="AS16" s="46">
        <f t="shared" si="7"/>
        <v>27.109566666666669</v>
      </c>
      <c r="AT16" s="46">
        <f t="shared" si="7"/>
        <v>27.109566666666669</v>
      </c>
      <c r="AU16" s="46">
        <f t="shared" si="7"/>
        <v>27.109566666666669</v>
      </c>
      <c r="AV16" s="46">
        <f t="shared" si="7"/>
        <v>27.109566666666669</v>
      </c>
      <c r="AW16" s="46">
        <f t="shared" si="7"/>
        <v>27.109566666666669</v>
      </c>
      <c r="AX16" s="46">
        <f t="shared" si="7"/>
        <v>27.109566666666669</v>
      </c>
      <c r="AY16" s="46">
        <f t="shared" si="7"/>
        <v>27.109566666666669</v>
      </c>
      <c r="AZ16" s="46">
        <f t="shared" si="7"/>
        <v>27.109566666666669</v>
      </c>
      <c r="BA16" s="35">
        <f>AZ16*(1+Assumptions!I43)-Assumptions!I53/12</f>
        <v>27.235091333333337</v>
      </c>
      <c r="BB16" s="46">
        <f t="shared" ref="BB16:BL16" si="8">BA16</f>
        <v>27.235091333333337</v>
      </c>
      <c r="BC16" s="46">
        <f t="shared" si="8"/>
        <v>27.235091333333337</v>
      </c>
      <c r="BD16" s="46">
        <f t="shared" si="8"/>
        <v>27.235091333333337</v>
      </c>
      <c r="BE16" s="46">
        <f t="shared" si="8"/>
        <v>27.235091333333337</v>
      </c>
      <c r="BF16" s="46">
        <f t="shared" si="8"/>
        <v>27.235091333333337</v>
      </c>
      <c r="BG16" s="46">
        <f t="shared" si="8"/>
        <v>27.235091333333337</v>
      </c>
      <c r="BH16" s="46">
        <f t="shared" si="8"/>
        <v>27.235091333333337</v>
      </c>
      <c r="BI16" s="46">
        <f t="shared" si="8"/>
        <v>27.235091333333337</v>
      </c>
      <c r="BJ16" s="46">
        <f t="shared" si="8"/>
        <v>27.235091333333337</v>
      </c>
      <c r="BK16" s="46">
        <f t="shared" si="8"/>
        <v>27.235091333333337</v>
      </c>
      <c r="BL16" s="46">
        <f t="shared" si="8"/>
        <v>27.235091333333337</v>
      </c>
      <c r="BM16" s="32"/>
      <c r="BN16" s="32"/>
    </row>
    <row r="17" spans="1:66" ht="20" customHeight="1">
      <c r="A17" s="30"/>
      <c r="B17" s="30"/>
      <c r="C17" s="31" t="s">
        <v>223</v>
      </c>
      <c r="D17" s="31"/>
      <c r="E17" s="35">
        <f>E16*IF(Capacity!$E$9&lt;0,Assumptions!E48,Capacity!$E$9)</f>
        <v>21.875</v>
      </c>
      <c r="F17" s="35">
        <f>F16*IF(Capacity!$E$9&lt;0,Assumptions!E48,Capacity!$E$9)</f>
        <v>21.875</v>
      </c>
      <c r="G17" s="35">
        <f>G16*IF(Capacity!$E$9&lt;0,Assumptions!E48,Capacity!$E$9)</f>
        <v>21.875</v>
      </c>
      <c r="H17" s="35">
        <f>H16*IF(Capacity!$E$9&lt;0,Assumptions!E48,Capacity!$E$9)</f>
        <v>21.875</v>
      </c>
      <c r="I17" s="35">
        <f>I16*IF(Capacity!$E$9&lt;0,Assumptions!E48,Capacity!$E$9)</f>
        <v>21.875</v>
      </c>
      <c r="J17" s="35">
        <f>J16*IF(Capacity!$E$9&lt;0,Assumptions!E48,Capacity!$E$9)</f>
        <v>21.875</v>
      </c>
      <c r="K17" s="35">
        <f>K16*IF(Capacity!$E$9&lt;0,Assumptions!E48,Capacity!$E$9)</f>
        <v>21.875</v>
      </c>
      <c r="L17" s="35">
        <f>L16*IF(Capacity!$E$9&lt;0,Assumptions!E48,Capacity!$E$9)</f>
        <v>21.875</v>
      </c>
      <c r="M17" s="35">
        <f>M16*IF(Capacity!$E$9&lt;0,Assumptions!E48,Capacity!$E$9)</f>
        <v>21.875</v>
      </c>
      <c r="N17" s="35">
        <f>N16*IF(Capacity!$E$9&lt;0,Assumptions!E48,Capacity!$E$9)</f>
        <v>21.875</v>
      </c>
      <c r="O17" s="35">
        <f>O16*IF(Capacity!$E$9&lt;0,Assumptions!E48,Capacity!$E$9)</f>
        <v>21.875</v>
      </c>
      <c r="P17" s="35">
        <f>P16*IF(Capacity!$E$9&lt;0,Assumptions!E48,Capacity!$E$9)</f>
        <v>21.875</v>
      </c>
      <c r="Q17" s="35">
        <f>Q16*IF(Capacity!$E$9&lt;0,Assumptions!F48,Capacity!$E$9)</f>
        <v>21.0625</v>
      </c>
      <c r="R17" s="35">
        <f>R16*IF(Capacity!$E$9&lt;0,Assumptions!F48,Capacity!$E$9)</f>
        <v>21.0625</v>
      </c>
      <c r="S17" s="35">
        <f>S16*IF(Capacity!$E$9&lt;0,Assumptions!F48,Capacity!$E$9)</f>
        <v>21.0625</v>
      </c>
      <c r="T17" s="35">
        <f>T16*IF(Capacity!$E$9&lt;0,Assumptions!F48,Capacity!$E$9)</f>
        <v>21.0625</v>
      </c>
      <c r="U17" s="35">
        <f>U16*IF(Capacity!$E$9&lt;0,Assumptions!F48,Capacity!$E$9)</f>
        <v>21.0625</v>
      </c>
      <c r="V17" s="35">
        <f>V16*IF(Capacity!$E$9&lt;0,Assumptions!F48,Capacity!$E$9)</f>
        <v>21.0625</v>
      </c>
      <c r="W17" s="35">
        <f>W16*IF(Capacity!$E$9&lt;0,Assumptions!F48,Capacity!$E$9)</f>
        <v>21.0625</v>
      </c>
      <c r="X17" s="35">
        <f>X16*IF(Capacity!$E$9&lt;0,Assumptions!F48,Capacity!$E$9)</f>
        <v>21.0625</v>
      </c>
      <c r="Y17" s="35">
        <f>Y16*IF(Capacity!$E$9&lt;0,Assumptions!F48,Capacity!$E$9)</f>
        <v>21.0625</v>
      </c>
      <c r="Z17" s="35">
        <f>Z16*IF(Capacity!$E$9&lt;0,Assumptions!F48,Capacity!$E$9)</f>
        <v>21.0625</v>
      </c>
      <c r="AA17" s="35">
        <f>AA16*IF(Capacity!$E$9&lt;0,Assumptions!F48,Capacity!$E$9)</f>
        <v>21.0625</v>
      </c>
      <c r="AB17" s="35">
        <f>AB16*IF(Capacity!$E$9&lt;0,Assumptions!F48,Capacity!$E$9)</f>
        <v>21.0625</v>
      </c>
      <c r="AC17" s="35">
        <f>AC16*IF(Capacity!$E$9&lt;0,Assumptions!G48,Capacity!$E$9)</f>
        <v>20.546250000000001</v>
      </c>
      <c r="AD17" s="35">
        <f>AD16*IF(Capacity!$E$9&lt;0,Assumptions!G48,Capacity!$E$9)</f>
        <v>20.546250000000001</v>
      </c>
      <c r="AE17" s="35">
        <f>AE16*IF(Capacity!$E$9&lt;0,Assumptions!G48,Capacity!$E$9)</f>
        <v>20.546250000000001</v>
      </c>
      <c r="AF17" s="35">
        <f>AF16*IF(Capacity!$E$9&lt;0,Assumptions!G48,Capacity!$E$9)</f>
        <v>20.546250000000001</v>
      </c>
      <c r="AG17" s="35">
        <f>AG16*IF(Capacity!$E$9&lt;0,Assumptions!G48,Capacity!$E$9)</f>
        <v>20.546250000000001</v>
      </c>
      <c r="AH17" s="35">
        <f>AH16*IF(Capacity!$E$9&lt;0,Assumptions!G48,Capacity!$E$9)</f>
        <v>20.546250000000001</v>
      </c>
      <c r="AI17" s="35">
        <f>AI16*IF(Capacity!$E$9&lt;0,Assumptions!G48,Capacity!$E$9)</f>
        <v>20.546250000000001</v>
      </c>
      <c r="AJ17" s="35">
        <f>AJ16*IF(Capacity!$E$9&lt;0,Assumptions!G48,Capacity!$E$9)</f>
        <v>20.546250000000001</v>
      </c>
      <c r="AK17" s="35">
        <f>AK16*IF(Capacity!$E$9&lt;0,Assumptions!G48,Capacity!$E$9)</f>
        <v>20.546250000000001</v>
      </c>
      <c r="AL17" s="35">
        <f>AL16*IF(Capacity!$E$9&lt;0,Assumptions!G48,Capacity!$E$9)</f>
        <v>20.546250000000001</v>
      </c>
      <c r="AM17" s="35">
        <f>AM16*IF(Capacity!$E$9&lt;0,Assumptions!G48,Capacity!$E$9)</f>
        <v>20.546250000000001</v>
      </c>
      <c r="AN17" s="35">
        <f>AN16*IF(Capacity!$E$9&lt;0,Assumptions!G48,Capacity!$E$9)</f>
        <v>20.546250000000001</v>
      </c>
      <c r="AO17" s="35">
        <f>AO16*IF(Capacity!$E$9&lt;0,Assumptions!H48,Capacity!$E$9)</f>
        <v>20.332175000000003</v>
      </c>
      <c r="AP17" s="35">
        <f>AP16*IF(Capacity!$E$9&lt;0,Assumptions!H48,Capacity!$E$9)</f>
        <v>20.332175000000003</v>
      </c>
      <c r="AQ17" s="35">
        <f>AQ16*IF(Capacity!$E$9&lt;0,Assumptions!H48,Capacity!$E$9)</f>
        <v>20.332175000000003</v>
      </c>
      <c r="AR17" s="35">
        <f>AR16*IF(Capacity!$E$9&lt;0,Assumptions!H48,Capacity!$E$9)</f>
        <v>20.332175000000003</v>
      </c>
      <c r="AS17" s="35">
        <f>AS16*IF(Capacity!$E$9&lt;0,Assumptions!H48,Capacity!$E$9)</f>
        <v>20.332175000000003</v>
      </c>
      <c r="AT17" s="35">
        <f>AT16*IF(Capacity!$E$9&lt;0,Assumptions!H48,Capacity!$E$9)</f>
        <v>20.332175000000003</v>
      </c>
      <c r="AU17" s="35">
        <f>AU16*IF(Capacity!$E$9&lt;0,Assumptions!H48,Capacity!$E$9)</f>
        <v>20.332175000000003</v>
      </c>
      <c r="AV17" s="35">
        <f>AV16*IF(Capacity!$E$9&lt;0,Assumptions!H48,Capacity!$E$9)</f>
        <v>20.332175000000003</v>
      </c>
      <c r="AW17" s="35">
        <f>AW16*IF(Capacity!$E$9&lt;0,Assumptions!H48,Capacity!$E$9)</f>
        <v>20.332175000000003</v>
      </c>
      <c r="AX17" s="35">
        <f>AX16*IF(Capacity!$E$9&lt;0,Assumptions!H48,Capacity!$E$9)</f>
        <v>20.332175000000003</v>
      </c>
      <c r="AY17" s="35">
        <f>AY16*IF(Capacity!$E$9&lt;0,Assumptions!H48,Capacity!$E$9)</f>
        <v>20.332175000000003</v>
      </c>
      <c r="AZ17" s="35">
        <f>AZ16*IF(Capacity!$E$9&lt;0,Assumptions!H48,Capacity!$E$9)</f>
        <v>20.332175000000003</v>
      </c>
      <c r="BA17" s="35">
        <f>BA16*IF(Capacity!$E$9&lt;0,Assumptions!I48,Capacity!$E$9)</f>
        <v>20.426318500000001</v>
      </c>
      <c r="BB17" s="35">
        <f>BB16*IF(Capacity!$E$9&lt;0,Assumptions!I48,Capacity!$E$9)</f>
        <v>20.426318500000001</v>
      </c>
      <c r="BC17" s="35">
        <f>BC16*IF(Capacity!$E$9&lt;0,Assumptions!I48,Capacity!$E$9)</f>
        <v>20.426318500000001</v>
      </c>
      <c r="BD17" s="35">
        <f>BD16*IF(Capacity!$E$9&lt;0,Assumptions!I48,Capacity!$E$9)</f>
        <v>20.426318500000001</v>
      </c>
      <c r="BE17" s="35">
        <f>BE16*IF(Capacity!$E$9&lt;0,Assumptions!I48,Capacity!$E$9)</f>
        <v>20.426318500000001</v>
      </c>
      <c r="BF17" s="35">
        <f>BF16*IF(Capacity!$E$9&lt;0,Assumptions!I48,Capacity!$E$9)</f>
        <v>20.426318500000001</v>
      </c>
      <c r="BG17" s="35">
        <f>BG16*IF(Capacity!$E$9&lt;0,Assumptions!I48,Capacity!$E$9)</f>
        <v>20.426318500000001</v>
      </c>
      <c r="BH17" s="35">
        <f>BH16*IF(Capacity!$E$9&lt;0,Assumptions!I48,Capacity!$E$9)</f>
        <v>20.426318500000001</v>
      </c>
      <c r="BI17" s="35">
        <f>BI16*IF(Capacity!$E$9&lt;0,Assumptions!I48,Capacity!$E$9)</f>
        <v>20.426318500000001</v>
      </c>
      <c r="BJ17" s="35">
        <f>BJ16*IF(Capacity!$E$9&lt;0,Assumptions!I48,Capacity!$E$9)</f>
        <v>20.426318500000001</v>
      </c>
      <c r="BK17" s="35">
        <f>BK16*IF(Capacity!$E$9&lt;0,Assumptions!I48,Capacity!$E$9)</f>
        <v>20.426318500000001</v>
      </c>
      <c r="BL17" s="35">
        <f>BL16*IF(Capacity!$E$9&lt;0,Assumptions!I48,Capacity!$E$9)</f>
        <v>20.426318500000001</v>
      </c>
      <c r="BM17" s="32"/>
      <c r="BN17" s="32"/>
    </row>
    <row r="18" spans="1:66" ht="20" customHeight="1">
      <c r="A18" s="30"/>
      <c r="B18" s="30"/>
      <c r="C18" s="31" t="s">
        <v>224</v>
      </c>
      <c r="D18" s="31"/>
      <c r="E18" s="46">
        <f>0</f>
        <v>0</v>
      </c>
      <c r="F18" s="46">
        <f>0</f>
        <v>0</v>
      </c>
      <c r="G18" s="46">
        <f>0</f>
        <v>0</v>
      </c>
      <c r="H18" s="46">
        <f>0</f>
        <v>0</v>
      </c>
      <c r="I18" s="46">
        <f>0</f>
        <v>0</v>
      </c>
      <c r="J18" s="46">
        <f>0</f>
        <v>0</v>
      </c>
      <c r="K18" s="35">
        <f>IF(0&lt;Assumptions!E83*12,Capacity!$E$7/12,0)</f>
        <v>0</v>
      </c>
      <c r="L18" s="35">
        <f>IF(1&lt;Assumptions!E83*12,Capacity!$E$7/12,0)</f>
        <v>0</v>
      </c>
      <c r="M18" s="35">
        <f>IF(2&lt;Assumptions!E83*12,Capacity!$E$7/12,0)</f>
        <v>0</v>
      </c>
      <c r="N18" s="35">
        <f>IF(3&lt;Assumptions!E83*12,Capacity!$E$7/12,0)</f>
        <v>0</v>
      </c>
      <c r="O18" s="35">
        <f>IF(4&lt;Assumptions!E83*12,Capacity!$E$7/12,0)</f>
        <v>0</v>
      </c>
      <c r="P18" s="35">
        <f>IF(5&lt;Assumptions!E83*12,Capacity!$E$7/12,0)</f>
        <v>0</v>
      </c>
      <c r="Q18" s="35">
        <f>IF(6&lt;Assumptions!E83*12,Capacity!$E$7/12,0)+IF(0&lt;Assumptions!F83*12,Assumptions!F68/12,0)</f>
        <v>1</v>
      </c>
      <c r="R18" s="35">
        <f>IF(7&lt;Assumptions!E83*12,Capacity!$E$7/12,0)+IF(1&lt;Assumptions!F83*12,Assumptions!F68/12,0)</f>
        <v>1</v>
      </c>
      <c r="S18" s="35">
        <f>IF(8&lt;Assumptions!E83*12,Capacity!$E$7/12,0)+IF(2&lt;Assumptions!F83*12,Assumptions!F68/12,0)</f>
        <v>1</v>
      </c>
      <c r="T18" s="35">
        <f>IF(9&lt;Assumptions!E83*12,Capacity!$E$7/12,0)+IF(3&lt;Assumptions!F83*12,Assumptions!F68/12,0)</f>
        <v>1</v>
      </c>
      <c r="U18" s="35">
        <f>IF(10&lt;Assumptions!E83*12,Capacity!$E$7/12,0)+IF(4&lt;Assumptions!F83*12,Assumptions!F68/12,0)</f>
        <v>1</v>
      </c>
      <c r="V18" s="35">
        <f>IF(11&lt;Assumptions!E83*12,Capacity!$E$7/12,0)+IF(5&lt;Assumptions!F83*12,Assumptions!F68/12,0)</f>
        <v>1</v>
      </c>
      <c r="W18" s="35">
        <f>IF(12&lt;Assumptions!E83*12,Capacity!$E$7/12,0)+IF(6&lt;Assumptions!F83*12,Assumptions!F68/12,0)</f>
        <v>1</v>
      </c>
      <c r="X18" s="35">
        <f>IF(13&lt;Assumptions!E83*12,Capacity!$E$7/12,0)+IF(7&lt;Assumptions!F83*12,Assumptions!F68/12,0)</f>
        <v>1</v>
      </c>
      <c r="Y18" s="35">
        <f>IF(14&lt;Assumptions!E83*12,Capacity!$E$7/12,0)+IF(8&lt;Assumptions!F83*12,Assumptions!F68/12,0)</f>
        <v>1</v>
      </c>
      <c r="Z18" s="35">
        <f>IF(15&lt;Assumptions!E83*12,Capacity!$E$7/12,0)+IF(9&lt;Assumptions!F83*12,Assumptions!F68/12,0)</f>
        <v>1</v>
      </c>
      <c r="AA18" s="35">
        <f>IF(16&lt;Assumptions!E83*12,Capacity!$E$7/12,0)+IF(10&lt;Assumptions!F83*12,Assumptions!F68/12,0)</f>
        <v>1</v>
      </c>
      <c r="AB18" s="35">
        <f>IF(17&lt;Assumptions!E83*12,Capacity!$E$7/12,0)+IF(11&lt;Assumptions!F83*12,Assumptions!F68/12,0)</f>
        <v>1</v>
      </c>
      <c r="AC18" s="35">
        <f>IF(18&lt;Assumptions!E83*12,Capacity!$E$7/12,0)+IF(12&lt;Assumptions!F83*12,Assumptions!F68/12,0)+IF(0&lt;Assumptions!G83*12,Assumptions!G68/12,0)</f>
        <v>2</v>
      </c>
      <c r="AD18" s="35">
        <f>IF(19&lt;Assumptions!E83*12,Capacity!$E$7/12,0)+IF(13&lt;Assumptions!F83*12,Assumptions!F68/12,0)+IF(1&lt;Assumptions!G83*12,Assumptions!G68/12,0)</f>
        <v>2</v>
      </c>
      <c r="AE18" s="35">
        <f>IF(20&lt;Assumptions!E83*12,Capacity!$E$7/12,0)+IF(14&lt;Assumptions!F83*12,Assumptions!F68/12,0)+IF(2&lt;Assumptions!G83*12,Assumptions!G68/12,0)</f>
        <v>2</v>
      </c>
      <c r="AF18" s="35">
        <f>IF(21&lt;Assumptions!E83*12,Capacity!$E$7/12,0)+IF(15&lt;Assumptions!F83*12,Assumptions!F68/12,0)+IF(3&lt;Assumptions!G83*12,Assumptions!G68/12,0)</f>
        <v>2</v>
      </c>
      <c r="AG18" s="35">
        <f>IF(22&lt;Assumptions!E83*12,Capacity!$E$7/12,0)+IF(16&lt;Assumptions!F83*12,Assumptions!F68/12,0)+IF(4&lt;Assumptions!G83*12,Assumptions!G68/12,0)</f>
        <v>2</v>
      </c>
      <c r="AH18" s="35">
        <f>IF(23&lt;Assumptions!E83*12,Capacity!$E$7/12,0)+IF(17&lt;Assumptions!F83*12,Assumptions!F68/12,0)+IF(5&lt;Assumptions!G83*12,Assumptions!G68/12,0)</f>
        <v>2</v>
      </c>
      <c r="AI18" s="35">
        <f>IF(24&lt;Assumptions!E83*12,Capacity!$E$7/12,0)+IF(18&lt;Assumptions!F83*12,Assumptions!F68/12,0)+IF(6&lt;Assumptions!G83*12,Assumptions!G68/12,0)</f>
        <v>2</v>
      </c>
      <c r="AJ18" s="35">
        <f>IF(25&lt;Assumptions!E83*12,Capacity!$E$7/12,0)+IF(19&lt;Assumptions!F83*12,Assumptions!F68/12,0)+IF(7&lt;Assumptions!G83*12,Assumptions!G68/12,0)</f>
        <v>2</v>
      </c>
      <c r="AK18" s="35">
        <f>IF(26&lt;Assumptions!E83*12,Capacity!$E$7/12,0)+IF(20&lt;Assumptions!F83*12,Assumptions!F68/12,0)+IF(8&lt;Assumptions!G83*12,Assumptions!G68/12,0)</f>
        <v>2</v>
      </c>
      <c r="AL18" s="35">
        <f>IF(27&lt;Assumptions!E83*12,Capacity!$E$7/12,0)+IF(21&lt;Assumptions!F83*12,Assumptions!F68/12,0)+IF(9&lt;Assumptions!G83*12,Assumptions!G68/12,0)</f>
        <v>2</v>
      </c>
      <c r="AM18" s="35">
        <f>IF(28&lt;Assumptions!E83*12,Capacity!$E$7/12,0)+IF(22&lt;Assumptions!F83*12,Assumptions!F68/12,0)+IF(10&lt;Assumptions!G83*12,Assumptions!G68/12,0)</f>
        <v>2</v>
      </c>
      <c r="AN18" s="35">
        <f>IF(29&lt;Assumptions!E83*12,Capacity!$E$7/12,0)+IF(23&lt;Assumptions!F83*12,Assumptions!F68/12,0)+IF(11&lt;Assumptions!G83*12,Assumptions!G68/12,0)</f>
        <v>2</v>
      </c>
      <c r="AO18" s="35">
        <f>IF(30&lt;Assumptions!E83*12,Capacity!$E$7/12,0)+IF(24&lt;Assumptions!F83*12,Assumptions!F68/12,0)+IF(12&lt;Assumptions!G83*12,Assumptions!G68/12,0)+IF(0&lt;Assumptions!H83*12,Assumptions!H68/12,0)</f>
        <v>3</v>
      </c>
      <c r="AP18" s="35">
        <f>IF(31&lt;Assumptions!E83*12,Capacity!$E$7/12,0)+IF(25&lt;Assumptions!F83*12,Assumptions!F68/12,0)+IF(13&lt;Assumptions!G83*12,Assumptions!G68/12,0)+IF(1&lt;Assumptions!H83*12,Assumptions!H68/12,0)</f>
        <v>3</v>
      </c>
      <c r="AQ18" s="35">
        <f>IF(32&lt;Assumptions!E83*12,Capacity!$E$7/12,0)+IF(26&lt;Assumptions!F83*12,Assumptions!F68/12,0)+IF(14&lt;Assumptions!G83*12,Assumptions!G68/12,0)+IF(2&lt;Assumptions!H83*12,Assumptions!H68/12,0)</f>
        <v>3</v>
      </c>
      <c r="AR18" s="35">
        <f>IF(33&lt;Assumptions!E83*12,Capacity!$E$7/12,0)+IF(27&lt;Assumptions!F83*12,Assumptions!F68/12,0)+IF(15&lt;Assumptions!G83*12,Assumptions!G68/12,0)+IF(3&lt;Assumptions!H83*12,Assumptions!H68/12,0)</f>
        <v>3</v>
      </c>
      <c r="AS18" s="35">
        <f>IF(34&lt;Assumptions!E83*12,Capacity!$E$7/12,0)+IF(28&lt;Assumptions!F83*12,Assumptions!F68/12,0)+IF(16&lt;Assumptions!G83*12,Assumptions!G68/12,0)+IF(4&lt;Assumptions!H83*12,Assumptions!H68/12,0)</f>
        <v>3</v>
      </c>
      <c r="AT18" s="35">
        <f>IF(35&lt;Assumptions!E83*12,Capacity!$E$7/12,0)+IF(29&lt;Assumptions!F83*12,Assumptions!F68/12,0)+IF(17&lt;Assumptions!G83*12,Assumptions!G68/12,0)+IF(5&lt;Assumptions!H83*12,Assumptions!H68/12,0)</f>
        <v>3</v>
      </c>
      <c r="AU18" s="35">
        <f>IF(36&lt;Assumptions!E83*12,Capacity!$E$7/12,0)+IF(30&lt;Assumptions!F83*12,Assumptions!F68/12,0)+IF(18&lt;Assumptions!G83*12,Assumptions!G68/12,0)+IF(6&lt;Assumptions!H83*12,Assumptions!H68/12,0)</f>
        <v>3</v>
      </c>
      <c r="AV18" s="35">
        <f>IF(37&lt;Assumptions!E83*12,Capacity!$E$7/12,0)+IF(31&lt;Assumptions!F83*12,Assumptions!F68/12,0)+IF(19&lt;Assumptions!G83*12,Assumptions!G68/12,0)+IF(7&lt;Assumptions!H83*12,Assumptions!H68/12,0)</f>
        <v>3</v>
      </c>
      <c r="AW18" s="35">
        <f>IF(38&lt;Assumptions!E83*12,Capacity!$E$7/12,0)+IF(32&lt;Assumptions!F83*12,Assumptions!F68/12,0)+IF(20&lt;Assumptions!G83*12,Assumptions!G68/12,0)+IF(8&lt;Assumptions!H83*12,Assumptions!H68/12,0)</f>
        <v>3</v>
      </c>
      <c r="AX18" s="35">
        <f>IF(39&lt;Assumptions!E83*12,Capacity!$E$7/12,0)+IF(33&lt;Assumptions!F83*12,Assumptions!F68/12,0)+IF(21&lt;Assumptions!G83*12,Assumptions!G68/12,0)+IF(9&lt;Assumptions!H83*12,Assumptions!H68/12,0)</f>
        <v>3</v>
      </c>
      <c r="AY18" s="35">
        <f>IF(40&lt;Assumptions!E83*12,Capacity!$E$7/12,0)+IF(34&lt;Assumptions!F83*12,Assumptions!F68/12,0)+IF(22&lt;Assumptions!G83*12,Assumptions!G68/12,0)+IF(10&lt;Assumptions!H83*12,Assumptions!H68/12,0)</f>
        <v>3</v>
      </c>
      <c r="AZ18" s="35">
        <f>IF(41&lt;Assumptions!E83*12,Capacity!$E$7/12,0)+IF(35&lt;Assumptions!F83*12,Assumptions!F68/12,0)+IF(23&lt;Assumptions!G83*12,Assumptions!G68/12,0)+IF(11&lt;Assumptions!H83*12,Assumptions!H68/12,0)</f>
        <v>3</v>
      </c>
      <c r="BA18" s="35">
        <f>IF(42&lt;Assumptions!E83*12,Capacity!$E$7/12,0)+IF(36&lt;Assumptions!F83*12,Assumptions!F68/12,0)+IF(24&lt;Assumptions!G83*12,Assumptions!G68/12,0)+IF(12&lt;Assumptions!H83*12,Assumptions!H68/12,0)+IF(0&lt;Assumptions!I83*12,Assumptions!I68/12,0)</f>
        <v>4</v>
      </c>
      <c r="BB18" s="35">
        <f>IF(43&lt;Assumptions!E83*12,Capacity!$E$7/12,0)+IF(37&lt;Assumptions!F83*12,Assumptions!F68/12,0)+IF(25&lt;Assumptions!G83*12,Assumptions!G68/12,0)+IF(13&lt;Assumptions!H83*12,Assumptions!H68/12,0)+IF(1&lt;Assumptions!I83*12,Assumptions!I68/12,0)</f>
        <v>4</v>
      </c>
      <c r="BC18" s="35">
        <f>IF(44&lt;Assumptions!E83*12,Capacity!$E$7/12,0)+IF(38&lt;Assumptions!F83*12,Assumptions!F68/12,0)+IF(26&lt;Assumptions!G83*12,Assumptions!G68/12,0)+IF(14&lt;Assumptions!H83*12,Assumptions!H68/12,0)+IF(2&lt;Assumptions!I83*12,Assumptions!I68/12,0)</f>
        <v>4</v>
      </c>
      <c r="BD18" s="35">
        <f>IF(45&lt;Assumptions!E83*12,Capacity!$E$7/12,0)+IF(39&lt;Assumptions!F83*12,Assumptions!F68/12,0)+IF(27&lt;Assumptions!G83*12,Assumptions!G68/12,0)+IF(15&lt;Assumptions!H83*12,Assumptions!H68/12,0)+IF(3&lt;Assumptions!I83*12,Assumptions!I68/12,0)</f>
        <v>4</v>
      </c>
      <c r="BE18" s="35">
        <f>IF(46&lt;Assumptions!E83*12,Capacity!$E$7/12,0)+IF(40&lt;Assumptions!F83*12,Assumptions!F68/12,0)+IF(28&lt;Assumptions!G83*12,Assumptions!G68/12,0)+IF(16&lt;Assumptions!H83*12,Assumptions!H68/12,0)+IF(4&lt;Assumptions!I83*12,Assumptions!I68/12,0)</f>
        <v>4</v>
      </c>
      <c r="BF18" s="35">
        <f>IF(47&lt;Assumptions!E83*12,Capacity!$E$7/12,0)+IF(41&lt;Assumptions!F83*12,Assumptions!F68/12,0)+IF(29&lt;Assumptions!G83*12,Assumptions!G68/12,0)+IF(17&lt;Assumptions!H83*12,Assumptions!H68/12,0)+IF(5&lt;Assumptions!I83*12,Assumptions!I68/12,0)</f>
        <v>4</v>
      </c>
      <c r="BG18" s="35">
        <f>IF(48&lt;Assumptions!E83*12,Capacity!$E$7/12,0)+IF(42&lt;Assumptions!F83*12,Assumptions!F68/12,0)+IF(30&lt;Assumptions!G83*12,Assumptions!G68/12,0)+IF(18&lt;Assumptions!H83*12,Assumptions!H68/12,0)+IF(6&lt;Assumptions!I83*12,Assumptions!I68/12,0)</f>
        <v>4</v>
      </c>
      <c r="BH18" s="35">
        <f>IF(49&lt;Assumptions!E83*12,Capacity!$E$7/12,0)+IF(43&lt;Assumptions!F83*12,Assumptions!F68/12,0)+IF(31&lt;Assumptions!G83*12,Assumptions!G68/12,0)+IF(19&lt;Assumptions!H83*12,Assumptions!H68/12,0)+IF(7&lt;Assumptions!I83*12,Assumptions!I68/12,0)</f>
        <v>4</v>
      </c>
      <c r="BI18" s="35">
        <f>IF(50&lt;Assumptions!E83*12,Capacity!$E$7/12,0)+IF(44&lt;Assumptions!F83*12,Assumptions!F68/12,0)+IF(32&lt;Assumptions!G83*12,Assumptions!G68/12,0)+IF(20&lt;Assumptions!H83*12,Assumptions!H68/12,0)+IF(8&lt;Assumptions!I83*12,Assumptions!I68/12,0)</f>
        <v>4</v>
      </c>
      <c r="BJ18" s="35">
        <f>IF(51&lt;Assumptions!E83*12,Capacity!$E$7/12,0)+IF(45&lt;Assumptions!F83*12,Assumptions!F68/12,0)+IF(33&lt;Assumptions!G83*12,Assumptions!G68/12,0)+IF(21&lt;Assumptions!H83*12,Assumptions!H68/12,0)+IF(9&lt;Assumptions!I83*12,Assumptions!I68/12,0)</f>
        <v>4</v>
      </c>
      <c r="BK18" s="35">
        <f>IF(52&lt;Assumptions!E83*12,Capacity!$E$7/12,0)+IF(46&lt;Assumptions!F83*12,Assumptions!F68/12,0)+IF(34&lt;Assumptions!G83*12,Assumptions!G68/12,0)+IF(22&lt;Assumptions!H83*12,Assumptions!H68/12,0)+IF(10&lt;Assumptions!I83*12,Assumptions!I68/12,0)</f>
        <v>4</v>
      </c>
      <c r="BL18" s="35">
        <f>IF(53&lt;Assumptions!E83*12,Capacity!$E$7/12,0)+IF(47&lt;Assumptions!F83*12,Assumptions!F68/12,0)+IF(35&lt;Assumptions!G83*12,Assumptions!G68/12,0)+IF(23&lt;Assumptions!H83*12,Assumptions!H68/12,0)+IF(11&lt;Assumptions!I83*12,Assumptions!I68/12,0)</f>
        <v>4</v>
      </c>
      <c r="BM18" s="32"/>
      <c r="BN18" s="32"/>
    </row>
    <row r="19" spans="1:66" ht="20" customHeight="1">
      <c r="A19" s="30"/>
      <c r="B19" s="30"/>
      <c r="C19" s="31" t="s">
        <v>225</v>
      </c>
      <c r="D19" s="31"/>
      <c r="E19" s="46">
        <f t="shared" ref="E19:AJ19" si="9">E16+E18</f>
        <v>29.166666666666668</v>
      </c>
      <c r="F19" s="46">
        <f t="shared" si="9"/>
        <v>29.166666666666668</v>
      </c>
      <c r="G19" s="46">
        <f t="shared" si="9"/>
        <v>29.166666666666668</v>
      </c>
      <c r="H19" s="46">
        <f t="shared" si="9"/>
        <v>29.166666666666668</v>
      </c>
      <c r="I19" s="46">
        <f t="shared" si="9"/>
        <v>29.166666666666668</v>
      </c>
      <c r="J19" s="46">
        <f t="shared" si="9"/>
        <v>29.166666666666668</v>
      </c>
      <c r="K19" s="46">
        <f t="shared" si="9"/>
        <v>29.166666666666668</v>
      </c>
      <c r="L19" s="46">
        <f t="shared" si="9"/>
        <v>29.166666666666668</v>
      </c>
      <c r="M19" s="46">
        <f t="shared" si="9"/>
        <v>29.166666666666668</v>
      </c>
      <c r="N19" s="46">
        <f t="shared" si="9"/>
        <v>29.166666666666668</v>
      </c>
      <c r="O19" s="46">
        <f t="shared" si="9"/>
        <v>29.166666666666668</v>
      </c>
      <c r="P19" s="46">
        <f t="shared" si="9"/>
        <v>29.166666666666668</v>
      </c>
      <c r="Q19" s="46">
        <f t="shared" si="9"/>
        <v>29.083333333333332</v>
      </c>
      <c r="R19" s="46">
        <f t="shared" si="9"/>
        <v>29.083333333333332</v>
      </c>
      <c r="S19" s="46">
        <f t="shared" si="9"/>
        <v>29.083333333333332</v>
      </c>
      <c r="T19" s="46">
        <f t="shared" si="9"/>
        <v>29.083333333333332</v>
      </c>
      <c r="U19" s="46">
        <f t="shared" si="9"/>
        <v>29.083333333333332</v>
      </c>
      <c r="V19" s="46">
        <f t="shared" si="9"/>
        <v>29.083333333333332</v>
      </c>
      <c r="W19" s="46">
        <f t="shared" si="9"/>
        <v>29.083333333333332</v>
      </c>
      <c r="X19" s="46">
        <f t="shared" si="9"/>
        <v>29.083333333333332</v>
      </c>
      <c r="Y19" s="46">
        <f t="shared" si="9"/>
        <v>29.083333333333332</v>
      </c>
      <c r="Z19" s="46">
        <f t="shared" si="9"/>
        <v>29.083333333333332</v>
      </c>
      <c r="AA19" s="46">
        <f t="shared" si="9"/>
        <v>29.083333333333332</v>
      </c>
      <c r="AB19" s="46">
        <f t="shared" si="9"/>
        <v>29.083333333333332</v>
      </c>
      <c r="AC19" s="46">
        <f t="shared" si="9"/>
        <v>29.395</v>
      </c>
      <c r="AD19" s="46">
        <f t="shared" si="9"/>
        <v>29.395</v>
      </c>
      <c r="AE19" s="46">
        <f t="shared" si="9"/>
        <v>29.395</v>
      </c>
      <c r="AF19" s="46">
        <f t="shared" si="9"/>
        <v>29.395</v>
      </c>
      <c r="AG19" s="46">
        <f t="shared" si="9"/>
        <v>29.395</v>
      </c>
      <c r="AH19" s="46">
        <f t="shared" si="9"/>
        <v>29.395</v>
      </c>
      <c r="AI19" s="46">
        <f t="shared" si="9"/>
        <v>29.395</v>
      </c>
      <c r="AJ19" s="46">
        <f t="shared" si="9"/>
        <v>29.395</v>
      </c>
      <c r="AK19" s="46">
        <f t="shared" ref="AK19:BP19" si="10">AK16+AK18</f>
        <v>29.395</v>
      </c>
      <c r="AL19" s="46">
        <f t="shared" si="10"/>
        <v>29.395</v>
      </c>
      <c r="AM19" s="46">
        <f t="shared" si="10"/>
        <v>29.395</v>
      </c>
      <c r="AN19" s="46">
        <f t="shared" si="10"/>
        <v>29.395</v>
      </c>
      <c r="AO19" s="46">
        <f t="shared" si="10"/>
        <v>30.109566666666669</v>
      </c>
      <c r="AP19" s="46">
        <f t="shared" si="10"/>
        <v>30.109566666666669</v>
      </c>
      <c r="AQ19" s="46">
        <f t="shared" si="10"/>
        <v>30.109566666666669</v>
      </c>
      <c r="AR19" s="46">
        <f t="shared" si="10"/>
        <v>30.109566666666669</v>
      </c>
      <c r="AS19" s="46">
        <f t="shared" si="10"/>
        <v>30.109566666666669</v>
      </c>
      <c r="AT19" s="46">
        <f t="shared" si="10"/>
        <v>30.109566666666669</v>
      </c>
      <c r="AU19" s="46">
        <f t="shared" si="10"/>
        <v>30.109566666666669</v>
      </c>
      <c r="AV19" s="46">
        <f t="shared" si="10"/>
        <v>30.109566666666669</v>
      </c>
      <c r="AW19" s="46">
        <f t="shared" si="10"/>
        <v>30.109566666666669</v>
      </c>
      <c r="AX19" s="46">
        <f t="shared" si="10"/>
        <v>30.109566666666669</v>
      </c>
      <c r="AY19" s="46">
        <f t="shared" si="10"/>
        <v>30.109566666666669</v>
      </c>
      <c r="AZ19" s="46">
        <f t="shared" si="10"/>
        <v>30.109566666666669</v>
      </c>
      <c r="BA19" s="46">
        <f t="shared" si="10"/>
        <v>31.235091333333337</v>
      </c>
      <c r="BB19" s="46">
        <f t="shared" si="10"/>
        <v>31.235091333333337</v>
      </c>
      <c r="BC19" s="46">
        <f t="shared" si="10"/>
        <v>31.235091333333337</v>
      </c>
      <c r="BD19" s="46">
        <f t="shared" si="10"/>
        <v>31.235091333333337</v>
      </c>
      <c r="BE19" s="46">
        <f t="shared" si="10"/>
        <v>31.235091333333337</v>
      </c>
      <c r="BF19" s="46">
        <f t="shared" si="10"/>
        <v>31.235091333333337</v>
      </c>
      <c r="BG19" s="46">
        <f t="shared" si="10"/>
        <v>31.235091333333337</v>
      </c>
      <c r="BH19" s="46">
        <f t="shared" si="10"/>
        <v>31.235091333333337</v>
      </c>
      <c r="BI19" s="46">
        <f t="shared" si="10"/>
        <v>31.235091333333337</v>
      </c>
      <c r="BJ19" s="46">
        <f t="shared" si="10"/>
        <v>31.235091333333337</v>
      </c>
      <c r="BK19" s="46">
        <f t="shared" si="10"/>
        <v>31.235091333333337</v>
      </c>
      <c r="BL19" s="46">
        <f t="shared" si="10"/>
        <v>31.235091333333337</v>
      </c>
      <c r="BM19" s="32"/>
      <c r="BN19" s="32"/>
    </row>
    <row r="20" spans="1:66" ht="20" customHeight="1">
      <c r="A20" s="30"/>
      <c r="B20" s="30"/>
      <c r="C20" s="31" t="s">
        <v>226</v>
      </c>
      <c r="D20" s="31"/>
      <c r="E20" s="46">
        <f t="shared" ref="E20:AJ20" si="11">E17+E18</f>
        <v>21.875</v>
      </c>
      <c r="F20" s="46">
        <f t="shared" si="11"/>
        <v>21.875</v>
      </c>
      <c r="G20" s="46">
        <f t="shared" si="11"/>
        <v>21.875</v>
      </c>
      <c r="H20" s="46">
        <f t="shared" si="11"/>
        <v>21.875</v>
      </c>
      <c r="I20" s="46">
        <f t="shared" si="11"/>
        <v>21.875</v>
      </c>
      <c r="J20" s="46">
        <f t="shared" si="11"/>
        <v>21.875</v>
      </c>
      <c r="K20" s="46">
        <f t="shared" si="11"/>
        <v>21.875</v>
      </c>
      <c r="L20" s="46">
        <f t="shared" si="11"/>
        <v>21.875</v>
      </c>
      <c r="M20" s="46">
        <f t="shared" si="11"/>
        <v>21.875</v>
      </c>
      <c r="N20" s="46">
        <f t="shared" si="11"/>
        <v>21.875</v>
      </c>
      <c r="O20" s="46">
        <f t="shared" si="11"/>
        <v>21.875</v>
      </c>
      <c r="P20" s="46">
        <f t="shared" si="11"/>
        <v>21.875</v>
      </c>
      <c r="Q20" s="46">
        <f t="shared" si="11"/>
        <v>22.0625</v>
      </c>
      <c r="R20" s="46">
        <f t="shared" si="11"/>
        <v>22.0625</v>
      </c>
      <c r="S20" s="46">
        <f t="shared" si="11"/>
        <v>22.0625</v>
      </c>
      <c r="T20" s="46">
        <f t="shared" si="11"/>
        <v>22.0625</v>
      </c>
      <c r="U20" s="46">
        <f t="shared" si="11"/>
        <v>22.0625</v>
      </c>
      <c r="V20" s="46">
        <f t="shared" si="11"/>
        <v>22.0625</v>
      </c>
      <c r="W20" s="46">
        <f t="shared" si="11"/>
        <v>22.0625</v>
      </c>
      <c r="X20" s="46">
        <f t="shared" si="11"/>
        <v>22.0625</v>
      </c>
      <c r="Y20" s="46">
        <f t="shared" si="11"/>
        <v>22.0625</v>
      </c>
      <c r="Z20" s="46">
        <f t="shared" si="11"/>
        <v>22.0625</v>
      </c>
      <c r="AA20" s="46">
        <f t="shared" si="11"/>
        <v>22.0625</v>
      </c>
      <c r="AB20" s="46">
        <f t="shared" si="11"/>
        <v>22.0625</v>
      </c>
      <c r="AC20" s="46">
        <f t="shared" si="11"/>
        <v>22.546250000000001</v>
      </c>
      <c r="AD20" s="46">
        <f t="shared" si="11"/>
        <v>22.546250000000001</v>
      </c>
      <c r="AE20" s="46">
        <f t="shared" si="11"/>
        <v>22.546250000000001</v>
      </c>
      <c r="AF20" s="46">
        <f t="shared" si="11"/>
        <v>22.546250000000001</v>
      </c>
      <c r="AG20" s="46">
        <f t="shared" si="11"/>
        <v>22.546250000000001</v>
      </c>
      <c r="AH20" s="46">
        <f t="shared" si="11"/>
        <v>22.546250000000001</v>
      </c>
      <c r="AI20" s="46">
        <f t="shared" si="11"/>
        <v>22.546250000000001</v>
      </c>
      <c r="AJ20" s="46">
        <f t="shared" si="11"/>
        <v>22.546250000000001</v>
      </c>
      <c r="AK20" s="46">
        <f t="shared" ref="AK20:BL20" si="12">AK17+AK18</f>
        <v>22.546250000000001</v>
      </c>
      <c r="AL20" s="46">
        <f t="shared" si="12"/>
        <v>22.546250000000001</v>
      </c>
      <c r="AM20" s="46">
        <f t="shared" si="12"/>
        <v>22.546250000000001</v>
      </c>
      <c r="AN20" s="46">
        <f t="shared" si="12"/>
        <v>22.546250000000001</v>
      </c>
      <c r="AO20" s="46">
        <f t="shared" si="12"/>
        <v>23.332175000000003</v>
      </c>
      <c r="AP20" s="46">
        <f t="shared" si="12"/>
        <v>23.332175000000003</v>
      </c>
      <c r="AQ20" s="46">
        <f t="shared" si="12"/>
        <v>23.332175000000003</v>
      </c>
      <c r="AR20" s="46">
        <f t="shared" si="12"/>
        <v>23.332175000000003</v>
      </c>
      <c r="AS20" s="46">
        <f t="shared" si="12"/>
        <v>23.332175000000003</v>
      </c>
      <c r="AT20" s="46">
        <f t="shared" si="12"/>
        <v>23.332175000000003</v>
      </c>
      <c r="AU20" s="46">
        <f t="shared" si="12"/>
        <v>23.332175000000003</v>
      </c>
      <c r="AV20" s="46">
        <f t="shared" si="12"/>
        <v>23.332175000000003</v>
      </c>
      <c r="AW20" s="46">
        <f t="shared" si="12"/>
        <v>23.332175000000003</v>
      </c>
      <c r="AX20" s="46">
        <f t="shared" si="12"/>
        <v>23.332175000000003</v>
      </c>
      <c r="AY20" s="46">
        <f t="shared" si="12"/>
        <v>23.332175000000003</v>
      </c>
      <c r="AZ20" s="46">
        <f t="shared" si="12"/>
        <v>23.332175000000003</v>
      </c>
      <c r="BA20" s="46">
        <f t="shared" si="12"/>
        <v>24.426318500000001</v>
      </c>
      <c r="BB20" s="46">
        <f t="shared" si="12"/>
        <v>24.426318500000001</v>
      </c>
      <c r="BC20" s="46">
        <f t="shared" si="12"/>
        <v>24.426318500000001</v>
      </c>
      <c r="BD20" s="46">
        <f t="shared" si="12"/>
        <v>24.426318500000001</v>
      </c>
      <c r="BE20" s="46">
        <f t="shared" si="12"/>
        <v>24.426318500000001</v>
      </c>
      <c r="BF20" s="46">
        <f t="shared" si="12"/>
        <v>24.426318500000001</v>
      </c>
      <c r="BG20" s="46">
        <f t="shared" si="12"/>
        <v>24.426318500000001</v>
      </c>
      <c r="BH20" s="46">
        <f t="shared" si="12"/>
        <v>24.426318500000001</v>
      </c>
      <c r="BI20" s="46">
        <f t="shared" si="12"/>
        <v>24.426318500000001</v>
      </c>
      <c r="BJ20" s="46">
        <f t="shared" si="12"/>
        <v>24.426318500000001</v>
      </c>
      <c r="BK20" s="46">
        <f t="shared" si="12"/>
        <v>24.426318500000001</v>
      </c>
      <c r="BL20" s="46">
        <f t="shared" si="12"/>
        <v>24.426318500000001</v>
      </c>
      <c r="BM20" s="32"/>
      <c r="BN20" s="32"/>
    </row>
    <row r="21" spans="1:66" ht="20" customHeight="1">
      <c r="A21" s="30"/>
      <c r="B21" s="30"/>
      <c r="C21" s="31" t="s">
        <v>178</v>
      </c>
      <c r="D21" s="31"/>
      <c r="E21" s="35">
        <f>Assumptions!E58/12</f>
        <v>15.416666666666666</v>
      </c>
      <c r="F21" s="35">
        <f>Assumptions!E58/12</f>
        <v>15.416666666666666</v>
      </c>
      <c r="G21" s="35">
        <f>Assumptions!E58/12</f>
        <v>15.416666666666666</v>
      </c>
      <c r="H21" s="35">
        <f>Assumptions!E58/12</f>
        <v>15.416666666666666</v>
      </c>
      <c r="I21" s="35">
        <f>Assumptions!E58/12</f>
        <v>15.416666666666666</v>
      </c>
      <c r="J21" s="35">
        <f>Assumptions!E58/12</f>
        <v>15.416666666666666</v>
      </c>
      <c r="K21" s="35">
        <f>Assumptions!E58/12</f>
        <v>15.416666666666666</v>
      </c>
      <c r="L21" s="35">
        <f>Assumptions!E58/12</f>
        <v>15.416666666666666</v>
      </c>
      <c r="M21" s="35">
        <f>Assumptions!E58/12</f>
        <v>15.416666666666666</v>
      </c>
      <c r="N21" s="35">
        <f>Assumptions!E58/12</f>
        <v>15.416666666666666</v>
      </c>
      <c r="O21" s="35">
        <f>Assumptions!E58/12</f>
        <v>15.416666666666666</v>
      </c>
      <c r="P21" s="35">
        <f>Assumptions!E58/12</f>
        <v>15.416666666666666</v>
      </c>
      <c r="Q21" s="35">
        <f>Assumptions!F58/12</f>
        <v>15.725</v>
      </c>
      <c r="R21" s="35">
        <f>Assumptions!F58/12</f>
        <v>15.725</v>
      </c>
      <c r="S21" s="35">
        <f>Assumptions!F58/12</f>
        <v>15.725</v>
      </c>
      <c r="T21" s="35">
        <f>Assumptions!F58/12</f>
        <v>15.725</v>
      </c>
      <c r="U21" s="35">
        <f>Assumptions!F58/12</f>
        <v>15.725</v>
      </c>
      <c r="V21" s="35">
        <f>Assumptions!F58/12</f>
        <v>15.725</v>
      </c>
      <c r="W21" s="35">
        <f>Assumptions!F58/12</f>
        <v>15.725</v>
      </c>
      <c r="X21" s="35">
        <f>Assumptions!F58/12</f>
        <v>15.725</v>
      </c>
      <c r="Y21" s="35">
        <f>Assumptions!F58/12</f>
        <v>15.725</v>
      </c>
      <c r="Z21" s="35">
        <f>Assumptions!F58/12</f>
        <v>15.725</v>
      </c>
      <c r="AA21" s="35">
        <f>Assumptions!F58/12</f>
        <v>15.725</v>
      </c>
      <c r="AB21" s="35">
        <f>Assumptions!F58/12</f>
        <v>15.725</v>
      </c>
      <c r="AC21" s="35">
        <f>Assumptions!G58/12</f>
        <v>16.0395</v>
      </c>
      <c r="AD21" s="35">
        <f>Assumptions!G58/12</f>
        <v>16.0395</v>
      </c>
      <c r="AE21" s="35">
        <f>Assumptions!G58/12</f>
        <v>16.0395</v>
      </c>
      <c r="AF21" s="35">
        <f>Assumptions!G58/12</f>
        <v>16.0395</v>
      </c>
      <c r="AG21" s="35">
        <f>Assumptions!G58/12</f>
        <v>16.0395</v>
      </c>
      <c r="AH21" s="35">
        <f>Assumptions!G58/12</f>
        <v>16.0395</v>
      </c>
      <c r="AI21" s="35">
        <f>Assumptions!G58/12</f>
        <v>16.0395</v>
      </c>
      <c r="AJ21" s="35">
        <f>Assumptions!G58/12</f>
        <v>16.0395</v>
      </c>
      <c r="AK21" s="35">
        <f>Assumptions!G58/12</f>
        <v>16.0395</v>
      </c>
      <c r="AL21" s="35">
        <f>Assumptions!G58/12</f>
        <v>16.0395</v>
      </c>
      <c r="AM21" s="35">
        <f>Assumptions!G58/12</f>
        <v>16.0395</v>
      </c>
      <c r="AN21" s="35">
        <f>Assumptions!G58/12</f>
        <v>16.0395</v>
      </c>
      <c r="AO21" s="35">
        <f>Assumptions!H58/12</f>
        <v>16.360289999999999</v>
      </c>
      <c r="AP21" s="35">
        <f>Assumptions!H58/12</f>
        <v>16.360289999999999</v>
      </c>
      <c r="AQ21" s="35">
        <f>Assumptions!H58/12</f>
        <v>16.360289999999999</v>
      </c>
      <c r="AR21" s="35">
        <f>Assumptions!H58/12</f>
        <v>16.360289999999999</v>
      </c>
      <c r="AS21" s="35">
        <f>Assumptions!H58/12</f>
        <v>16.360289999999999</v>
      </c>
      <c r="AT21" s="35">
        <f>Assumptions!H58/12</f>
        <v>16.360289999999999</v>
      </c>
      <c r="AU21" s="35">
        <f>Assumptions!H58/12</f>
        <v>16.360289999999999</v>
      </c>
      <c r="AV21" s="35">
        <f>Assumptions!H58/12</f>
        <v>16.360289999999999</v>
      </c>
      <c r="AW21" s="35">
        <f>Assumptions!H58/12</f>
        <v>16.360289999999999</v>
      </c>
      <c r="AX21" s="35">
        <f>Assumptions!H58/12</f>
        <v>16.360289999999999</v>
      </c>
      <c r="AY21" s="35">
        <f>Assumptions!H58/12</f>
        <v>16.360289999999999</v>
      </c>
      <c r="AZ21" s="35">
        <f>Assumptions!H58/12</f>
        <v>16.360289999999999</v>
      </c>
      <c r="BA21" s="35">
        <f>Assumptions!I58/12</f>
        <v>16.687495800000001</v>
      </c>
      <c r="BB21" s="35">
        <f>Assumptions!I58/12</f>
        <v>16.687495800000001</v>
      </c>
      <c r="BC21" s="35">
        <f>Assumptions!I58/12</f>
        <v>16.687495800000001</v>
      </c>
      <c r="BD21" s="35">
        <f>Assumptions!I58/12</f>
        <v>16.687495800000001</v>
      </c>
      <c r="BE21" s="35">
        <f>Assumptions!I58/12</f>
        <v>16.687495800000001</v>
      </c>
      <c r="BF21" s="35">
        <f>Assumptions!I58/12</f>
        <v>16.687495800000001</v>
      </c>
      <c r="BG21" s="35">
        <f>Assumptions!I58/12</f>
        <v>16.687495800000001</v>
      </c>
      <c r="BH21" s="35">
        <f>Assumptions!I58/12</f>
        <v>16.687495800000001</v>
      </c>
      <c r="BI21" s="35">
        <f>Assumptions!I58/12</f>
        <v>16.687495800000001</v>
      </c>
      <c r="BJ21" s="35">
        <f>Assumptions!I58/12</f>
        <v>16.687495800000001</v>
      </c>
      <c r="BK21" s="35">
        <f>Assumptions!I58/12</f>
        <v>16.687495800000001</v>
      </c>
      <c r="BL21" s="35">
        <f>Assumptions!I58/12</f>
        <v>16.687495800000001</v>
      </c>
      <c r="BM21" s="32"/>
      <c r="BN21" s="32"/>
    </row>
    <row r="22" spans="1:66" ht="20" customHeight="1">
      <c r="A22" s="30"/>
      <c r="B22" s="30"/>
      <c r="C22" s="31" t="s">
        <v>5</v>
      </c>
      <c r="D22" s="31"/>
      <c r="E22" s="46">
        <f t="shared" ref="E22:AJ22" si="13">E14-E19-E21</f>
        <v>17.916666666666664</v>
      </c>
      <c r="F22" s="46">
        <f t="shared" si="13"/>
        <v>17.916666666666664</v>
      </c>
      <c r="G22" s="46">
        <f t="shared" si="13"/>
        <v>17.916666666666664</v>
      </c>
      <c r="H22" s="46">
        <f t="shared" si="13"/>
        <v>17.916666666666664</v>
      </c>
      <c r="I22" s="46">
        <f t="shared" si="13"/>
        <v>17.916666666666664</v>
      </c>
      <c r="J22" s="46">
        <f t="shared" si="13"/>
        <v>17.916666666666664</v>
      </c>
      <c r="K22" s="46">
        <f t="shared" si="13"/>
        <v>17.916666666666664</v>
      </c>
      <c r="L22" s="46">
        <f t="shared" si="13"/>
        <v>17.916666666666664</v>
      </c>
      <c r="M22" s="46">
        <f t="shared" si="13"/>
        <v>17.916666666666664</v>
      </c>
      <c r="N22" s="46">
        <f t="shared" si="13"/>
        <v>17.916666666666664</v>
      </c>
      <c r="O22" s="46">
        <f t="shared" si="13"/>
        <v>17.916666666666664</v>
      </c>
      <c r="P22" s="46">
        <f t="shared" si="13"/>
        <v>17.916666666666664</v>
      </c>
      <c r="Q22" s="46">
        <f t="shared" si="13"/>
        <v>14.750000000000005</v>
      </c>
      <c r="R22" s="46">
        <f t="shared" si="13"/>
        <v>14.750000000000005</v>
      </c>
      <c r="S22" s="46">
        <f t="shared" si="13"/>
        <v>14.750000000000005</v>
      </c>
      <c r="T22" s="46">
        <f t="shared" si="13"/>
        <v>14.750000000000005</v>
      </c>
      <c r="U22" s="46">
        <f t="shared" si="13"/>
        <v>14.750000000000005</v>
      </c>
      <c r="V22" s="46">
        <f t="shared" si="13"/>
        <v>14.750000000000005</v>
      </c>
      <c r="W22" s="46">
        <f t="shared" si="13"/>
        <v>14.750000000000005</v>
      </c>
      <c r="X22" s="46">
        <f t="shared" si="13"/>
        <v>14.750000000000005</v>
      </c>
      <c r="Y22" s="46">
        <f t="shared" si="13"/>
        <v>14.750000000000005</v>
      </c>
      <c r="Z22" s="46">
        <f t="shared" si="13"/>
        <v>14.750000000000005</v>
      </c>
      <c r="AA22" s="46">
        <f t="shared" si="13"/>
        <v>14.750000000000005</v>
      </c>
      <c r="AB22" s="46">
        <f t="shared" si="13"/>
        <v>14.750000000000005</v>
      </c>
      <c r="AC22" s="46">
        <f t="shared" si="13"/>
        <v>15.29175</v>
      </c>
      <c r="AD22" s="46">
        <f t="shared" si="13"/>
        <v>15.29175</v>
      </c>
      <c r="AE22" s="46">
        <f t="shared" si="13"/>
        <v>15.29175</v>
      </c>
      <c r="AF22" s="46">
        <f t="shared" si="13"/>
        <v>15.29175</v>
      </c>
      <c r="AG22" s="46">
        <f t="shared" si="13"/>
        <v>15.29175</v>
      </c>
      <c r="AH22" s="46">
        <f t="shared" si="13"/>
        <v>15.29175</v>
      </c>
      <c r="AI22" s="46">
        <f t="shared" si="13"/>
        <v>15.29175</v>
      </c>
      <c r="AJ22" s="46">
        <f t="shared" si="13"/>
        <v>15.29175</v>
      </c>
      <c r="AK22" s="46">
        <f t="shared" ref="AK22:BP22" si="14">AK14-AK19-AK21</f>
        <v>15.29175</v>
      </c>
      <c r="AL22" s="46">
        <f t="shared" si="14"/>
        <v>15.29175</v>
      </c>
      <c r="AM22" s="46">
        <f t="shared" si="14"/>
        <v>15.29175</v>
      </c>
      <c r="AN22" s="46">
        <f t="shared" si="14"/>
        <v>15.29175</v>
      </c>
      <c r="AO22" s="46">
        <f t="shared" si="14"/>
        <v>15.456680833333333</v>
      </c>
      <c r="AP22" s="46">
        <f t="shared" si="14"/>
        <v>15.456680833333333</v>
      </c>
      <c r="AQ22" s="46">
        <f t="shared" si="14"/>
        <v>15.456680833333333</v>
      </c>
      <c r="AR22" s="46">
        <f t="shared" si="14"/>
        <v>15.456680833333333</v>
      </c>
      <c r="AS22" s="46">
        <f t="shared" si="14"/>
        <v>15.456680833333333</v>
      </c>
      <c r="AT22" s="46">
        <f t="shared" si="14"/>
        <v>15.456680833333333</v>
      </c>
      <c r="AU22" s="46">
        <f t="shared" si="14"/>
        <v>15.456680833333333</v>
      </c>
      <c r="AV22" s="46">
        <f t="shared" si="14"/>
        <v>15.456680833333333</v>
      </c>
      <c r="AW22" s="46">
        <f t="shared" si="14"/>
        <v>15.456680833333333</v>
      </c>
      <c r="AX22" s="46">
        <f t="shared" si="14"/>
        <v>15.456680833333333</v>
      </c>
      <c r="AY22" s="46">
        <f t="shared" si="14"/>
        <v>15.456680833333333</v>
      </c>
      <c r="AZ22" s="46">
        <f t="shared" si="14"/>
        <v>15.456680833333333</v>
      </c>
      <c r="BA22" s="46">
        <f t="shared" si="14"/>
        <v>15.237526491666657</v>
      </c>
      <c r="BB22" s="46">
        <f t="shared" si="14"/>
        <v>15.237526491666657</v>
      </c>
      <c r="BC22" s="46">
        <f t="shared" si="14"/>
        <v>15.237526491666657</v>
      </c>
      <c r="BD22" s="46">
        <f t="shared" si="14"/>
        <v>15.237526491666657</v>
      </c>
      <c r="BE22" s="46">
        <f t="shared" si="14"/>
        <v>15.237526491666657</v>
      </c>
      <c r="BF22" s="46">
        <f t="shared" si="14"/>
        <v>15.237526491666657</v>
      </c>
      <c r="BG22" s="46">
        <f t="shared" si="14"/>
        <v>15.237526491666657</v>
      </c>
      <c r="BH22" s="46">
        <f t="shared" si="14"/>
        <v>15.237526491666657</v>
      </c>
      <c r="BI22" s="46">
        <f t="shared" si="14"/>
        <v>15.237526491666657</v>
      </c>
      <c r="BJ22" s="46">
        <f t="shared" si="14"/>
        <v>15.237526491666657</v>
      </c>
      <c r="BK22" s="46">
        <f t="shared" si="14"/>
        <v>15.237526491666657</v>
      </c>
      <c r="BL22" s="46">
        <f t="shared" si="14"/>
        <v>15.237526491666657</v>
      </c>
      <c r="BM22" s="32"/>
      <c r="BN22" s="32"/>
    </row>
    <row r="23" spans="1:66" ht="20" customHeight="1">
      <c r="A23" s="30"/>
      <c r="B23" s="30"/>
      <c r="C23" s="31"/>
      <c r="D23" s="31"/>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row>
    <row r="24" spans="1:66" ht="20" customHeight="1">
      <c r="A24" s="30"/>
      <c r="B24" s="30"/>
      <c r="C24" s="31" t="s">
        <v>180</v>
      </c>
      <c r="D24" s="31"/>
      <c r="E24" s="35">
        <f>Assumptions!E183/12</f>
        <v>1.8333333333333333</v>
      </c>
      <c r="F24" s="35">
        <f>Assumptions!E183/12</f>
        <v>1.8333333333333333</v>
      </c>
      <c r="G24" s="35">
        <f>Assumptions!E183/12</f>
        <v>1.8333333333333333</v>
      </c>
      <c r="H24" s="35">
        <f>Assumptions!E183/12</f>
        <v>1.8333333333333333</v>
      </c>
      <c r="I24" s="35">
        <f>Assumptions!E183/12</f>
        <v>1.8333333333333333</v>
      </c>
      <c r="J24" s="35">
        <f>Assumptions!E183/12</f>
        <v>1.8333333333333333</v>
      </c>
      <c r="K24" s="35">
        <f>Assumptions!E183/12</f>
        <v>1.8333333333333333</v>
      </c>
      <c r="L24" s="35">
        <f>Assumptions!E183/12</f>
        <v>1.8333333333333333</v>
      </c>
      <c r="M24" s="35">
        <f>Assumptions!E183/12</f>
        <v>1.8333333333333333</v>
      </c>
      <c r="N24" s="35">
        <f>Assumptions!E183/12</f>
        <v>1.8333333333333333</v>
      </c>
      <c r="O24" s="35">
        <f>Assumptions!E183/12</f>
        <v>1.8333333333333333</v>
      </c>
      <c r="P24" s="35">
        <f>Assumptions!E183/12</f>
        <v>1.8333333333333333</v>
      </c>
      <c r="Q24" s="35">
        <f>Assumptions!F183/12</f>
        <v>1.8333333333333333</v>
      </c>
      <c r="R24" s="35">
        <f>Assumptions!F183/12</f>
        <v>1.8333333333333333</v>
      </c>
      <c r="S24" s="35">
        <f>Assumptions!F183/12</f>
        <v>1.8333333333333333</v>
      </c>
      <c r="T24" s="35">
        <f>Assumptions!F183/12</f>
        <v>1.8333333333333333</v>
      </c>
      <c r="U24" s="35">
        <f>Assumptions!F183/12</f>
        <v>1.8333333333333333</v>
      </c>
      <c r="V24" s="35">
        <f>Assumptions!F183/12</f>
        <v>1.8333333333333333</v>
      </c>
      <c r="W24" s="35">
        <f>Assumptions!F183/12</f>
        <v>1.8333333333333333</v>
      </c>
      <c r="X24" s="35">
        <f>Assumptions!F183/12</f>
        <v>1.8333333333333333</v>
      </c>
      <c r="Y24" s="35">
        <f>Assumptions!F183/12</f>
        <v>1.8333333333333333</v>
      </c>
      <c r="Z24" s="35">
        <f>Assumptions!F183/12</f>
        <v>1.8333333333333333</v>
      </c>
      <c r="AA24" s="35">
        <f>Assumptions!F183/12</f>
        <v>1.8333333333333333</v>
      </c>
      <c r="AB24" s="35">
        <f>Assumptions!F183/12</f>
        <v>1.8333333333333333</v>
      </c>
      <c r="AC24" s="35">
        <f>Assumptions!G183/12</f>
        <v>1.8333333333333333</v>
      </c>
      <c r="AD24" s="35">
        <f>Assumptions!G183/12</f>
        <v>1.8333333333333333</v>
      </c>
      <c r="AE24" s="35">
        <f>Assumptions!G183/12</f>
        <v>1.8333333333333333</v>
      </c>
      <c r="AF24" s="35">
        <f>Assumptions!G183/12</f>
        <v>1.8333333333333333</v>
      </c>
      <c r="AG24" s="35">
        <f>Assumptions!G183/12</f>
        <v>1.8333333333333333</v>
      </c>
      <c r="AH24" s="35">
        <f>Assumptions!G183/12</f>
        <v>1.8333333333333333</v>
      </c>
      <c r="AI24" s="35">
        <f>Assumptions!G183/12</f>
        <v>1.8333333333333333</v>
      </c>
      <c r="AJ24" s="35">
        <f>Assumptions!G183/12</f>
        <v>1.8333333333333333</v>
      </c>
      <c r="AK24" s="35">
        <f>Assumptions!G183/12</f>
        <v>1.8333333333333333</v>
      </c>
      <c r="AL24" s="35">
        <f>Assumptions!G183/12</f>
        <v>1.8333333333333333</v>
      </c>
      <c r="AM24" s="35">
        <f>Assumptions!G183/12</f>
        <v>1.8333333333333333</v>
      </c>
      <c r="AN24" s="35">
        <f>Assumptions!G183/12</f>
        <v>1.8333333333333333</v>
      </c>
      <c r="AO24" s="35">
        <f>Assumptions!H183/12</f>
        <v>1.8333333333333333</v>
      </c>
      <c r="AP24" s="35">
        <f>Assumptions!H183/12</f>
        <v>1.8333333333333333</v>
      </c>
      <c r="AQ24" s="35">
        <f>Assumptions!H183/12</f>
        <v>1.8333333333333333</v>
      </c>
      <c r="AR24" s="35">
        <f>Assumptions!H183/12</f>
        <v>1.8333333333333333</v>
      </c>
      <c r="AS24" s="35">
        <f>Assumptions!H183/12</f>
        <v>1.8333333333333333</v>
      </c>
      <c r="AT24" s="35">
        <f>Assumptions!H183/12</f>
        <v>1.8333333333333333</v>
      </c>
      <c r="AU24" s="35">
        <f>Assumptions!H183/12</f>
        <v>1.8333333333333333</v>
      </c>
      <c r="AV24" s="35">
        <f>Assumptions!H183/12</f>
        <v>1.8333333333333333</v>
      </c>
      <c r="AW24" s="35">
        <f>Assumptions!H183/12</f>
        <v>1.8333333333333333</v>
      </c>
      <c r="AX24" s="35">
        <f>Assumptions!H183/12</f>
        <v>1.8333333333333333</v>
      </c>
      <c r="AY24" s="35">
        <f>Assumptions!H183/12</f>
        <v>1.8333333333333333</v>
      </c>
      <c r="AZ24" s="35">
        <f>Assumptions!H183/12</f>
        <v>1.8333333333333333</v>
      </c>
      <c r="BA24" s="35">
        <f>Assumptions!I183/12</f>
        <v>1.8333333333333333</v>
      </c>
      <c r="BB24" s="35">
        <f>Assumptions!I183/12</f>
        <v>1.8333333333333333</v>
      </c>
      <c r="BC24" s="35">
        <f>Assumptions!I183/12</f>
        <v>1.8333333333333333</v>
      </c>
      <c r="BD24" s="35">
        <f>Assumptions!I183/12</f>
        <v>1.8333333333333333</v>
      </c>
      <c r="BE24" s="35">
        <f>Assumptions!I183/12</f>
        <v>1.8333333333333333</v>
      </c>
      <c r="BF24" s="35">
        <f>Assumptions!I183/12</f>
        <v>1.8333333333333333</v>
      </c>
      <c r="BG24" s="35">
        <f>Assumptions!I183/12</f>
        <v>1.8333333333333333</v>
      </c>
      <c r="BH24" s="35">
        <f>Assumptions!I183/12</f>
        <v>1.8333333333333333</v>
      </c>
      <c r="BI24" s="35">
        <f>Assumptions!I183/12</f>
        <v>1.8333333333333333</v>
      </c>
      <c r="BJ24" s="35">
        <f>Assumptions!I183/12</f>
        <v>1.8333333333333333</v>
      </c>
      <c r="BK24" s="35">
        <f>Assumptions!I183/12</f>
        <v>1.8333333333333333</v>
      </c>
      <c r="BL24" s="35">
        <f>Assumptions!I183/12</f>
        <v>1.8333333333333333</v>
      </c>
      <c r="BM24" s="32"/>
      <c r="BN24" s="32"/>
    </row>
    <row r="25" spans="1:66" ht="20" customHeight="1">
      <c r="A25" s="30"/>
      <c r="B25" s="30"/>
      <c r="C25" s="31" t="s">
        <v>227</v>
      </c>
      <c r="D25" s="31"/>
      <c r="E25" s="35">
        <f>Assumptions!E188/12</f>
        <v>0.28333333333333333</v>
      </c>
      <c r="F25" s="35">
        <f>Assumptions!E188/12</f>
        <v>0.28333333333333333</v>
      </c>
      <c r="G25" s="35">
        <f>Assumptions!E188/12</f>
        <v>0.28333333333333333</v>
      </c>
      <c r="H25" s="35">
        <f>Assumptions!E188/12</f>
        <v>0.28333333333333333</v>
      </c>
      <c r="I25" s="35">
        <f>Assumptions!E188/12</f>
        <v>0.28333333333333333</v>
      </c>
      <c r="J25" s="35">
        <f>Assumptions!E188/12</f>
        <v>0.28333333333333333</v>
      </c>
      <c r="K25" s="35">
        <f>Assumptions!E188/12</f>
        <v>0.28333333333333333</v>
      </c>
      <c r="L25" s="35">
        <f>Assumptions!E188/12</f>
        <v>0.28333333333333333</v>
      </c>
      <c r="M25" s="35">
        <f>Assumptions!E188/12</f>
        <v>0.28333333333333333</v>
      </c>
      <c r="N25" s="35">
        <f>Assumptions!E188/12</f>
        <v>0.28333333333333333</v>
      </c>
      <c r="O25" s="35">
        <f>Assumptions!E188/12</f>
        <v>0.28333333333333333</v>
      </c>
      <c r="P25" s="35">
        <f>Assumptions!E188/12</f>
        <v>0.28333333333333333</v>
      </c>
      <c r="Q25" s="35">
        <f>Assumptions!F188/12</f>
        <v>0.28333333333333333</v>
      </c>
      <c r="R25" s="35">
        <f>Assumptions!F188/12</f>
        <v>0.28333333333333333</v>
      </c>
      <c r="S25" s="35">
        <f>Assumptions!F188/12</f>
        <v>0.28333333333333333</v>
      </c>
      <c r="T25" s="35">
        <f>Assumptions!F188/12</f>
        <v>0.28333333333333333</v>
      </c>
      <c r="U25" s="35">
        <f>Assumptions!F188/12</f>
        <v>0.28333333333333333</v>
      </c>
      <c r="V25" s="35">
        <f>Assumptions!F188/12</f>
        <v>0.28333333333333333</v>
      </c>
      <c r="W25" s="35">
        <f>Assumptions!F188/12</f>
        <v>0.28333333333333333</v>
      </c>
      <c r="X25" s="35">
        <f>Assumptions!F188/12</f>
        <v>0.28333333333333333</v>
      </c>
      <c r="Y25" s="35">
        <f>Assumptions!F188/12</f>
        <v>0.28333333333333333</v>
      </c>
      <c r="Z25" s="35">
        <f>Assumptions!F188/12</f>
        <v>0.28333333333333333</v>
      </c>
      <c r="AA25" s="35">
        <f>Assumptions!F188/12</f>
        <v>0.28333333333333333</v>
      </c>
      <c r="AB25" s="35">
        <f>Assumptions!F188/12</f>
        <v>0.28333333333333333</v>
      </c>
      <c r="AC25" s="35">
        <f>Assumptions!G188/12</f>
        <v>0.28333333333333333</v>
      </c>
      <c r="AD25" s="35">
        <f>Assumptions!G188/12</f>
        <v>0.28333333333333333</v>
      </c>
      <c r="AE25" s="35">
        <f>Assumptions!G188/12</f>
        <v>0.28333333333333333</v>
      </c>
      <c r="AF25" s="35">
        <f>Assumptions!G188/12</f>
        <v>0.28333333333333333</v>
      </c>
      <c r="AG25" s="35">
        <f>Assumptions!G188/12</f>
        <v>0.28333333333333333</v>
      </c>
      <c r="AH25" s="35">
        <f>Assumptions!G188/12</f>
        <v>0.28333333333333333</v>
      </c>
      <c r="AI25" s="35">
        <f>Assumptions!G188/12</f>
        <v>0.28333333333333333</v>
      </c>
      <c r="AJ25" s="35">
        <f>Assumptions!G188/12</f>
        <v>0.28333333333333333</v>
      </c>
      <c r="AK25" s="35">
        <f>Assumptions!G188/12</f>
        <v>0.28333333333333333</v>
      </c>
      <c r="AL25" s="35">
        <f>Assumptions!G188/12</f>
        <v>0.28333333333333333</v>
      </c>
      <c r="AM25" s="35">
        <f>Assumptions!G188/12</f>
        <v>0.28333333333333333</v>
      </c>
      <c r="AN25" s="35">
        <f>Assumptions!G188/12</f>
        <v>0.28333333333333333</v>
      </c>
      <c r="AO25" s="35">
        <f>Assumptions!H188/12</f>
        <v>0.28333333333333333</v>
      </c>
      <c r="AP25" s="35">
        <f>Assumptions!H188/12</f>
        <v>0.28333333333333333</v>
      </c>
      <c r="AQ25" s="35">
        <f>Assumptions!H188/12</f>
        <v>0.28333333333333333</v>
      </c>
      <c r="AR25" s="35">
        <f>Assumptions!H188/12</f>
        <v>0.28333333333333333</v>
      </c>
      <c r="AS25" s="35">
        <f>Assumptions!H188/12</f>
        <v>0.28333333333333333</v>
      </c>
      <c r="AT25" s="35">
        <f>Assumptions!H188/12</f>
        <v>0.28333333333333333</v>
      </c>
      <c r="AU25" s="35">
        <f>Assumptions!H188/12</f>
        <v>0.28333333333333333</v>
      </c>
      <c r="AV25" s="35">
        <f>Assumptions!H188/12</f>
        <v>0.28333333333333333</v>
      </c>
      <c r="AW25" s="35">
        <f>Assumptions!H188/12</f>
        <v>0.28333333333333333</v>
      </c>
      <c r="AX25" s="35">
        <f>Assumptions!H188/12</f>
        <v>0.28333333333333333</v>
      </c>
      <c r="AY25" s="35">
        <f>Assumptions!H188/12</f>
        <v>0.28333333333333333</v>
      </c>
      <c r="AZ25" s="35">
        <f>Assumptions!H188/12</f>
        <v>0.28333333333333333</v>
      </c>
      <c r="BA25" s="35">
        <f>Assumptions!I188/12</f>
        <v>0.28333333333333333</v>
      </c>
      <c r="BB25" s="35">
        <f>Assumptions!I188/12</f>
        <v>0.28333333333333333</v>
      </c>
      <c r="BC25" s="35">
        <f>Assumptions!I188/12</f>
        <v>0.28333333333333333</v>
      </c>
      <c r="BD25" s="35">
        <f>Assumptions!I188/12</f>
        <v>0.28333333333333333</v>
      </c>
      <c r="BE25" s="35">
        <f>Assumptions!I188/12</f>
        <v>0.28333333333333333</v>
      </c>
      <c r="BF25" s="35">
        <f>Assumptions!I188/12</f>
        <v>0.28333333333333333</v>
      </c>
      <c r="BG25" s="35">
        <f>Assumptions!I188/12</f>
        <v>0.28333333333333333</v>
      </c>
      <c r="BH25" s="35">
        <f>Assumptions!I188/12</f>
        <v>0.28333333333333333</v>
      </c>
      <c r="BI25" s="35">
        <f>Assumptions!I188/12</f>
        <v>0.28333333333333333</v>
      </c>
      <c r="BJ25" s="35">
        <f>Assumptions!I188/12</f>
        <v>0.28333333333333333</v>
      </c>
      <c r="BK25" s="35">
        <f>Assumptions!I188/12</f>
        <v>0.28333333333333333</v>
      </c>
      <c r="BL25" s="35">
        <f>Assumptions!I188/12</f>
        <v>0.28333333333333333</v>
      </c>
      <c r="BM25" s="32"/>
      <c r="BN25" s="32"/>
    </row>
    <row r="26" spans="1:66" ht="20" customHeight="1">
      <c r="A26" s="30"/>
      <c r="B26" s="30"/>
      <c r="C26" s="31" t="s">
        <v>228</v>
      </c>
      <c r="D26" s="31"/>
      <c r="E26" s="35">
        <f>Assumptions!E178/12</f>
        <v>2.0833333333333335</v>
      </c>
      <c r="F26" s="35">
        <f>Assumptions!E178/12</f>
        <v>2.0833333333333335</v>
      </c>
      <c r="G26" s="35">
        <f>Assumptions!E178/12</f>
        <v>2.0833333333333335</v>
      </c>
      <c r="H26" s="35">
        <f>Assumptions!E178/12</f>
        <v>2.0833333333333335</v>
      </c>
      <c r="I26" s="35">
        <f>Assumptions!E178/12</f>
        <v>2.0833333333333335</v>
      </c>
      <c r="J26" s="35">
        <f>Assumptions!E178/12</f>
        <v>2.0833333333333335</v>
      </c>
      <c r="K26" s="35">
        <f>Assumptions!E178/12</f>
        <v>2.0833333333333335</v>
      </c>
      <c r="L26" s="35">
        <f>Assumptions!E178/12</f>
        <v>2.0833333333333335</v>
      </c>
      <c r="M26" s="35">
        <f>Assumptions!E178/12</f>
        <v>2.0833333333333335</v>
      </c>
      <c r="N26" s="35">
        <f>Assumptions!E178/12</f>
        <v>2.0833333333333335</v>
      </c>
      <c r="O26" s="35">
        <f>Assumptions!E178/12</f>
        <v>2.0833333333333335</v>
      </c>
      <c r="P26" s="35">
        <f>Assumptions!E178/12</f>
        <v>2.0833333333333335</v>
      </c>
      <c r="Q26" s="35">
        <f>Assumptions!F178/12</f>
        <v>2.0833333333333335</v>
      </c>
      <c r="R26" s="35">
        <f>Assumptions!F178/12</f>
        <v>2.0833333333333335</v>
      </c>
      <c r="S26" s="35">
        <f>Assumptions!F178/12</f>
        <v>2.0833333333333335</v>
      </c>
      <c r="T26" s="35">
        <f>Assumptions!F178/12</f>
        <v>2.0833333333333335</v>
      </c>
      <c r="U26" s="35">
        <f>Assumptions!F178/12</f>
        <v>2.0833333333333335</v>
      </c>
      <c r="V26" s="35">
        <f>Assumptions!F178/12</f>
        <v>2.0833333333333335</v>
      </c>
      <c r="W26" s="35">
        <f>Assumptions!F178/12</f>
        <v>2.0833333333333335</v>
      </c>
      <c r="X26" s="35">
        <f>Assumptions!F178/12</f>
        <v>2.0833333333333335</v>
      </c>
      <c r="Y26" s="35">
        <f>Assumptions!F178/12</f>
        <v>2.0833333333333335</v>
      </c>
      <c r="Z26" s="35">
        <f>Assumptions!F178/12</f>
        <v>2.0833333333333335</v>
      </c>
      <c r="AA26" s="35">
        <f>Assumptions!F178/12</f>
        <v>2.0833333333333335</v>
      </c>
      <c r="AB26" s="35">
        <f>Assumptions!F178/12</f>
        <v>2.0833333333333335</v>
      </c>
      <c r="AC26" s="35">
        <f>Assumptions!G178/12</f>
        <v>2.0833333333333335</v>
      </c>
      <c r="AD26" s="35">
        <f>Assumptions!G178/12</f>
        <v>2.0833333333333335</v>
      </c>
      <c r="AE26" s="35">
        <f>Assumptions!G178/12</f>
        <v>2.0833333333333335</v>
      </c>
      <c r="AF26" s="35">
        <f>Assumptions!G178/12</f>
        <v>2.0833333333333335</v>
      </c>
      <c r="AG26" s="35">
        <f>Assumptions!G178/12</f>
        <v>2.0833333333333335</v>
      </c>
      <c r="AH26" s="35">
        <f>Assumptions!G178/12</f>
        <v>2.0833333333333335</v>
      </c>
      <c r="AI26" s="35">
        <f>Assumptions!G178/12</f>
        <v>2.0833333333333335</v>
      </c>
      <c r="AJ26" s="35">
        <f>Assumptions!G178/12</f>
        <v>2.0833333333333335</v>
      </c>
      <c r="AK26" s="35">
        <f>Assumptions!G178/12</f>
        <v>2.0833333333333335</v>
      </c>
      <c r="AL26" s="35">
        <f>Assumptions!G178/12</f>
        <v>2.0833333333333335</v>
      </c>
      <c r="AM26" s="35">
        <f>Assumptions!G178/12</f>
        <v>2.0833333333333335</v>
      </c>
      <c r="AN26" s="35">
        <f>Assumptions!G178/12</f>
        <v>2.0833333333333335</v>
      </c>
      <c r="AO26" s="35">
        <f>Assumptions!H178/12</f>
        <v>2.0833333333333335</v>
      </c>
      <c r="AP26" s="35">
        <f>Assumptions!H178/12</f>
        <v>2.0833333333333335</v>
      </c>
      <c r="AQ26" s="35">
        <f>Assumptions!H178/12</f>
        <v>2.0833333333333335</v>
      </c>
      <c r="AR26" s="35">
        <f>Assumptions!H178/12</f>
        <v>2.0833333333333335</v>
      </c>
      <c r="AS26" s="35">
        <f>Assumptions!H178/12</f>
        <v>2.0833333333333335</v>
      </c>
      <c r="AT26" s="35">
        <f>Assumptions!H178/12</f>
        <v>2.0833333333333335</v>
      </c>
      <c r="AU26" s="35">
        <f>Assumptions!H178/12</f>
        <v>2.0833333333333335</v>
      </c>
      <c r="AV26" s="35">
        <f>Assumptions!H178/12</f>
        <v>2.0833333333333335</v>
      </c>
      <c r="AW26" s="35">
        <f>Assumptions!H178/12</f>
        <v>2.0833333333333335</v>
      </c>
      <c r="AX26" s="35">
        <f>Assumptions!H178/12</f>
        <v>2.0833333333333335</v>
      </c>
      <c r="AY26" s="35">
        <f>Assumptions!H178/12</f>
        <v>2.0833333333333335</v>
      </c>
      <c r="AZ26" s="35">
        <f>Assumptions!H178/12</f>
        <v>2.0833333333333335</v>
      </c>
      <c r="BA26" s="35">
        <f>Assumptions!I178/12</f>
        <v>2.0833333333333335</v>
      </c>
      <c r="BB26" s="35">
        <f>Assumptions!I178/12</f>
        <v>2.0833333333333335</v>
      </c>
      <c r="BC26" s="35">
        <f>Assumptions!I178/12</f>
        <v>2.0833333333333335</v>
      </c>
      <c r="BD26" s="35">
        <f>Assumptions!I178/12</f>
        <v>2.0833333333333335</v>
      </c>
      <c r="BE26" s="35">
        <f>Assumptions!I178/12</f>
        <v>2.0833333333333335</v>
      </c>
      <c r="BF26" s="35">
        <f>Assumptions!I178/12</f>
        <v>2.0833333333333335</v>
      </c>
      <c r="BG26" s="35">
        <f>Assumptions!I178/12</f>
        <v>2.0833333333333335</v>
      </c>
      <c r="BH26" s="35">
        <f>Assumptions!I178/12</f>
        <v>2.0833333333333335</v>
      </c>
      <c r="BI26" s="35">
        <f>Assumptions!I178/12</f>
        <v>2.0833333333333335</v>
      </c>
      <c r="BJ26" s="35">
        <f>Assumptions!I178/12</f>
        <v>2.0833333333333335</v>
      </c>
      <c r="BK26" s="35">
        <f>Assumptions!I178/12</f>
        <v>2.0833333333333335</v>
      </c>
      <c r="BL26" s="35">
        <f>Assumptions!I178/12</f>
        <v>2.0833333333333335</v>
      </c>
      <c r="BM26" s="32"/>
      <c r="BN26" s="32"/>
    </row>
    <row r="27" spans="1:66" ht="20" customHeight="1">
      <c r="A27" s="30"/>
      <c r="B27" s="30"/>
      <c r="C27" s="31" t="s">
        <v>229</v>
      </c>
      <c r="D27" s="31"/>
      <c r="E27" s="35">
        <f>Assumptions!E193/12</f>
        <v>0.28333333333333333</v>
      </c>
      <c r="F27" s="35">
        <f>Assumptions!E193/12</f>
        <v>0.28333333333333333</v>
      </c>
      <c r="G27" s="35">
        <f>Assumptions!E193/12</f>
        <v>0.28333333333333333</v>
      </c>
      <c r="H27" s="35">
        <f>Assumptions!E193/12</f>
        <v>0.28333333333333333</v>
      </c>
      <c r="I27" s="35">
        <f>Assumptions!E193/12</f>
        <v>0.28333333333333333</v>
      </c>
      <c r="J27" s="35">
        <f>Assumptions!E193/12</f>
        <v>0.28333333333333333</v>
      </c>
      <c r="K27" s="35">
        <f>Assumptions!E193/12</f>
        <v>0.28333333333333333</v>
      </c>
      <c r="L27" s="35">
        <f>Assumptions!E193/12</f>
        <v>0.28333333333333333</v>
      </c>
      <c r="M27" s="35">
        <f>Assumptions!E193/12</f>
        <v>0.28333333333333333</v>
      </c>
      <c r="N27" s="35">
        <f>Assumptions!E193/12</f>
        <v>0.28333333333333333</v>
      </c>
      <c r="O27" s="35">
        <f>Assumptions!E193/12</f>
        <v>0.28333333333333333</v>
      </c>
      <c r="P27" s="35">
        <f>Assumptions!E193/12</f>
        <v>0.28333333333333333</v>
      </c>
      <c r="Q27" s="35">
        <f>Assumptions!F193/12</f>
        <v>0.28333333333333333</v>
      </c>
      <c r="R27" s="35">
        <f>Assumptions!F193/12</f>
        <v>0.28333333333333333</v>
      </c>
      <c r="S27" s="35">
        <f>Assumptions!F193/12</f>
        <v>0.28333333333333333</v>
      </c>
      <c r="T27" s="35">
        <f>Assumptions!F193/12</f>
        <v>0.28333333333333333</v>
      </c>
      <c r="U27" s="35">
        <f>Assumptions!F193/12</f>
        <v>0.28333333333333333</v>
      </c>
      <c r="V27" s="35">
        <f>Assumptions!F193/12</f>
        <v>0.28333333333333333</v>
      </c>
      <c r="W27" s="35">
        <f>Assumptions!F193/12</f>
        <v>0.28333333333333333</v>
      </c>
      <c r="X27" s="35">
        <f>Assumptions!F193/12</f>
        <v>0.28333333333333333</v>
      </c>
      <c r="Y27" s="35">
        <f>Assumptions!F193/12</f>
        <v>0.28333333333333333</v>
      </c>
      <c r="Z27" s="35">
        <f>Assumptions!F193/12</f>
        <v>0.28333333333333333</v>
      </c>
      <c r="AA27" s="35">
        <f>Assumptions!F193/12</f>
        <v>0.28333333333333333</v>
      </c>
      <c r="AB27" s="35">
        <f>Assumptions!F193/12</f>
        <v>0.28333333333333333</v>
      </c>
      <c r="AC27" s="35">
        <f>Assumptions!G193/12</f>
        <v>0.28333333333333333</v>
      </c>
      <c r="AD27" s="35">
        <f>Assumptions!G193/12</f>
        <v>0.28333333333333333</v>
      </c>
      <c r="AE27" s="35">
        <f>Assumptions!G193/12</f>
        <v>0.28333333333333333</v>
      </c>
      <c r="AF27" s="35">
        <f>Assumptions!G193/12</f>
        <v>0.28333333333333333</v>
      </c>
      <c r="AG27" s="35">
        <f>Assumptions!G193/12</f>
        <v>0.28333333333333333</v>
      </c>
      <c r="AH27" s="35">
        <f>Assumptions!G193/12</f>
        <v>0.28333333333333333</v>
      </c>
      <c r="AI27" s="35">
        <f>Assumptions!G193/12</f>
        <v>0.28333333333333333</v>
      </c>
      <c r="AJ27" s="35">
        <f>Assumptions!G193/12</f>
        <v>0.28333333333333333</v>
      </c>
      <c r="AK27" s="35">
        <f>Assumptions!G193/12</f>
        <v>0.28333333333333333</v>
      </c>
      <c r="AL27" s="35">
        <f>Assumptions!G193/12</f>
        <v>0.28333333333333333</v>
      </c>
      <c r="AM27" s="35">
        <f>Assumptions!G193/12</f>
        <v>0.28333333333333333</v>
      </c>
      <c r="AN27" s="35">
        <f>Assumptions!G193/12</f>
        <v>0.28333333333333333</v>
      </c>
      <c r="AO27" s="35">
        <f>Assumptions!H193/12</f>
        <v>0.28333333333333333</v>
      </c>
      <c r="AP27" s="35">
        <f>Assumptions!H193/12</f>
        <v>0.28333333333333333</v>
      </c>
      <c r="AQ27" s="35">
        <f>Assumptions!H193/12</f>
        <v>0.28333333333333333</v>
      </c>
      <c r="AR27" s="35">
        <f>Assumptions!H193/12</f>
        <v>0.28333333333333333</v>
      </c>
      <c r="AS27" s="35">
        <f>Assumptions!H193/12</f>
        <v>0.28333333333333333</v>
      </c>
      <c r="AT27" s="35">
        <f>Assumptions!H193/12</f>
        <v>0.28333333333333333</v>
      </c>
      <c r="AU27" s="35">
        <f>Assumptions!H193/12</f>
        <v>0.28333333333333333</v>
      </c>
      <c r="AV27" s="35">
        <f>Assumptions!H193/12</f>
        <v>0.28333333333333333</v>
      </c>
      <c r="AW27" s="35">
        <f>Assumptions!H193/12</f>
        <v>0.28333333333333333</v>
      </c>
      <c r="AX27" s="35">
        <f>Assumptions!H193/12</f>
        <v>0.28333333333333333</v>
      </c>
      <c r="AY27" s="35">
        <f>Assumptions!H193/12</f>
        <v>0.28333333333333333</v>
      </c>
      <c r="AZ27" s="35">
        <f>Assumptions!H193/12</f>
        <v>0.28333333333333333</v>
      </c>
      <c r="BA27" s="35">
        <f>Assumptions!I193/12</f>
        <v>0.28333333333333333</v>
      </c>
      <c r="BB27" s="35">
        <f>Assumptions!I193/12</f>
        <v>0.28333333333333333</v>
      </c>
      <c r="BC27" s="35">
        <f>Assumptions!I193/12</f>
        <v>0.28333333333333333</v>
      </c>
      <c r="BD27" s="35">
        <f>Assumptions!I193/12</f>
        <v>0.28333333333333333</v>
      </c>
      <c r="BE27" s="35">
        <f>Assumptions!I193/12</f>
        <v>0.28333333333333333</v>
      </c>
      <c r="BF27" s="35">
        <f>Assumptions!I193/12</f>
        <v>0.28333333333333333</v>
      </c>
      <c r="BG27" s="35">
        <f>Assumptions!I193/12</f>
        <v>0.28333333333333333</v>
      </c>
      <c r="BH27" s="35">
        <f>Assumptions!I193/12</f>
        <v>0.28333333333333333</v>
      </c>
      <c r="BI27" s="35">
        <f>Assumptions!I193/12</f>
        <v>0.28333333333333333</v>
      </c>
      <c r="BJ27" s="35">
        <f>Assumptions!I193/12</f>
        <v>0.28333333333333333</v>
      </c>
      <c r="BK27" s="35">
        <f>Assumptions!I193/12</f>
        <v>0.28333333333333333</v>
      </c>
      <c r="BL27" s="35">
        <f>Assumptions!I193/12</f>
        <v>0.28333333333333333</v>
      </c>
      <c r="BM27" s="32"/>
      <c r="BN27" s="32"/>
    </row>
    <row r="28" spans="1:66" ht="20" customHeight="1">
      <c r="A28" s="30"/>
      <c r="B28" s="30"/>
      <c r="C28" s="31" t="s">
        <v>230</v>
      </c>
      <c r="D28" s="31"/>
      <c r="E28" s="35">
        <f>Assumptions!E228/12</f>
        <v>8.3333333333333329E-2</v>
      </c>
      <c r="F28" s="35">
        <f>Assumptions!E228/12</f>
        <v>8.3333333333333329E-2</v>
      </c>
      <c r="G28" s="35">
        <f>Assumptions!E228/12</f>
        <v>8.3333333333333329E-2</v>
      </c>
      <c r="H28" s="35">
        <f>Assumptions!E228/12</f>
        <v>8.3333333333333329E-2</v>
      </c>
      <c r="I28" s="35">
        <f>Assumptions!E228/12</f>
        <v>8.3333333333333329E-2</v>
      </c>
      <c r="J28" s="35">
        <f>Assumptions!E228/12</f>
        <v>8.3333333333333329E-2</v>
      </c>
      <c r="K28" s="35">
        <f>Assumptions!E228/12</f>
        <v>8.3333333333333329E-2</v>
      </c>
      <c r="L28" s="35">
        <f>Assumptions!E228/12</f>
        <v>8.3333333333333329E-2</v>
      </c>
      <c r="M28" s="35">
        <f>Assumptions!E228/12</f>
        <v>8.3333333333333329E-2</v>
      </c>
      <c r="N28" s="35">
        <f>Assumptions!E228/12</f>
        <v>8.3333333333333329E-2</v>
      </c>
      <c r="O28" s="35">
        <f>Assumptions!E228/12</f>
        <v>8.3333333333333329E-2</v>
      </c>
      <c r="P28" s="35">
        <f>Assumptions!E228/12</f>
        <v>8.3333333333333329E-2</v>
      </c>
      <c r="Q28" s="35">
        <f>Assumptions!F228/12</f>
        <v>8.3333333333333329E-2</v>
      </c>
      <c r="R28" s="35">
        <f>Assumptions!F228/12</f>
        <v>8.3333333333333329E-2</v>
      </c>
      <c r="S28" s="35">
        <f>Assumptions!F228/12</f>
        <v>8.3333333333333329E-2</v>
      </c>
      <c r="T28" s="35">
        <f>Assumptions!F228/12</f>
        <v>8.3333333333333329E-2</v>
      </c>
      <c r="U28" s="35">
        <f>Assumptions!F228/12</f>
        <v>8.3333333333333329E-2</v>
      </c>
      <c r="V28" s="35">
        <f>Assumptions!F228/12</f>
        <v>8.3333333333333329E-2</v>
      </c>
      <c r="W28" s="35">
        <f>Assumptions!F228/12</f>
        <v>8.3333333333333329E-2</v>
      </c>
      <c r="X28" s="35">
        <f>Assumptions!F228/12</f>
        <v>8.3333333333333329E-2</v>
      </c>
      <c r="Y28" s="35">
        <f>Assumptions!F228/12</f>
        <v>8.3333333333333329E-2</v>
      </c>
      <c r="Z28" s="35">
        <f>Assumptions!F228/12</f>
        <v>8.3333333333333329E-2</v>
      </c>
      <c r="AA28" s="35">
        <f>Assumptions!F228/12</f>
        <v>8.3333333333333329E-2</v>
      </c>
      <c r="AB28" s="35">
        <f>Assumptions!F228/12</f>
        <v>8.3333333333333329E-2</v>
      </c>
      <c r="AC28" s="35">
        <f>Assumptions!G228/12</f>
        <v>8.3333333333333329E-2</v>
      </c>
      <c r="AD28" s="35">
        <f>Assumptions!G228/12</f>
        <v>8.3333333333333329E-2</v>
      </c>
      <c r="AE28" s="35">
        <f>Assumptions!G228/12</f>
        <v>8.3333333333333329E-2</v>
      </c>
      <c r="AF28" s="35">
        <f>Assumptions!G228/12</f>
        <v>8.3333333333333329E-2</v>
      </c>
      <c r="AG28" s="35">
        <f>Assumptions!G228/12</f>
        <v>8.3333333333333329E-2</v>
      </c>
      <c r="AH28" s="35">
        <f>Assumptions!G228/12</f>
        <v>8.3333333333333329E-2</v>
      </c>
      <c r="AI28" s="35">
        <f>Assumptions!G228/12</f>
        <v>8.3333333333333329E-2</v>
      </c>
      <c r="AJ28" s="35">
        <f>Assumptions!G228/12</f>
        <v>8.3333333333333329E-2</v>
      </c>
      <c r="AK28" s="35">
        <f>Assumptions!G228/12</f>
        <v>8.3333333333333329E-2</v>
      </c>
      <c r="AL28" s="35">
        <f>Assumptions!G228/12</f>
        <v>8.3333333333333329E-2</v>
      </c>
      <c r="AM28" s="35">
        <f>Assumptions!G228/12</f>
        <v>8.3333333333333329E-2</v>
      </c>
      <c r="AN28" s="35">
        <f>Assumptions!G228/12</f>
        <v>8.3333333333333329E-2</v>
      </c>
      <c r="AO28" s="35">
        <f>Assumptions!H228/12</f>
        <v>8.3333333333333329E-2</v>
      </c>
      <c r="AP28" s="35">
        <f>Assumptions!H228/12</f>
        <v>8.3333333333333329E-2</v>
      </c>
      <c r="AQ28" s="35">
        <f>Assumptions!H228/12</f>
        <v>8.3333333333333329E-2</v>
      </c>
      <c r="AR28" s="35">
        <f>Assumptions!H228/12</f>
        <v>8.3333333333333329E-2</v>
      </c>
      <c r="AS28" s="35">
        <f>Assumptions!H228/12</f>
        <v>8.3333333333333329E-2</v>
      </c>
      <c r="AT28" s="35">
        <f>Assumptions!H228/12</f>
        <v>8.3333333333333329E-2</v>
      </c>
      <c r="AU28" s="35">
        <f>Assumptions!H228/12</f>
        <v>8.3333333333333329E-2</v>
      </c>
      <c r="AV28" s="35">
        <f>Assumptions!H228/12</f>
        <v>8.3333333333333329E-2</v>
      </c>
      <c r="AW28" s="35">
        <f>Assumptions!H228/12</f>
        <v>8.3333333333333329E-2</v>
      </c>
      <c r="AX28" s="35">
        <f>Assumptions!H228/12</f>
        <v>8.3333333333333329E-2</v>
      </c>
      <c r="AY28" s="35">
        <f>Assumptions!H228/12</f>
        <v>8.3333333333333329E-2</v>
      </c>
      <c r="AZ28" s="35">
        <f>Assumptions!H228/12</f>
        <v>8.3333333333333329E-2</v>
      </c>
      <c r="BA28" s="35">
        <f>Assumptions!I228/12</f>
        <v>8.3333333333333329E-2</v>
      </c>
      <c r="BB28" s="35">
        <f>Assumptions!I228/12</f>
        <v>8.3333333333333329E-2</v>
      </c>
      <c r="BC28" s="35">
        <f>Assumptions!I228/12</f>
        <v>8.3333333333333329E-2</v>
      </c>
      <c r="BD28" s="35">
        <f>Assumptions!I228/12</f>
        <v>8.3333333333333329E-2</v>
      </c>
      <c r="BE28" s="35">
        <f>Assumptions!I228/12</f>
        <v>8.3333333333333329E-2</v>
      </c>
      <c r="BF28" s="35">
        <f>Assumptions!I228/12</f>
        <v>8.3333333333333329E-2</v>
      </c>
      <c r="BG28" s="35">
        <f>Assumptions!I228/12</f>
        <v>8.3333333333333329E-2</v>
      </c>
      <c r="BH28" s="35">
        <f>Assumptions!I228/12</f>
        <v>8.3333333333333329E-2</v>
      </c>
      <c r="BI28" s="35">
        <f>Assumptions!I228/12</f>
        <v>8.3333333333333329E-2</v>
      </c>
      <c r="BJ28" s="35">
        <f>Assumptions!I228/12</f>
        <v>8.3333333333333329E-2</v>
      </c>
      <c r="BK28" s="35">
        <f>Assumptions!I228/12</f>
        <v>8.3333333333333329E-2</v>
      </c>
      <c r="BL28" s="35">
        <f>Assumptions!I228/12</f>
        <v>8.3333333333333329E-2</v>
      </c>
      <c r="BM28" s="32"/>
      <c r="BN28" s="32"/>
    </row>
    <row r="29" spans="1:66" ht="20" customHeight="1">
      <c r="A29" s="30"/>
      <c r="B29" s="30"/>
      <c r="C29" s="31" t="s">
        <v>231</v>
      </c>
      <c r="D29" s="31"/>
      <c r="E29" s="35">
        <f>Assumptions!E233/12</f>
        <v>0</v>
      </c>
      <c r="F29" s="35">
        <f>Assumptions!E233/12</f>
        <v>0</v>
      </c>
      <c r="G29" s="35">
        <f>Assumptions!E233/12</f>
        <v>0</v>
      </c>
      <c r="H29" s="35">
        <f>Assumptions!E233/12</f>
        <v>0</v>
      </c>
      <c r="I29" s="35">
        <f>Assumptions!E233/12</f>
        <v>0</v>
      </c>
      <c r="J29" s="35">
        <f>Assumptions!E233/12</f>
        <v>0</v>
      </c>
      <c r="K29" s="35">
        <f>Assumptions!E233/12</f>
        <v>0</v>
      </c>
      <c r="L29" s="35">
        <f>Assumptions!E233/12</f>
        <v>0</v>
      </c>
      <c r="M29" s="35">
        <f>Assumptions!E233/12</f>
        <v>0</v>
      </c>
      <c r="N29" s="35">
        <f>Assumptions!E233/12</f>
        <v>0</v>
      </c>
      <c r="O29" s="35">
        <f>Assumptions!E233/12</f>
        <v>0</v>
      </c>
      <c r="P29" s="35">
        <f>Assumptions!E233/12</f>
        <v>0</v>
      </c>
      <c r="Q29" s="35">
        <f>Assumptions!F233/12</f>
        <v>0</v>
      </c>
      <c r="R29" s="35">
        <f>Assumptions!F233/12</f>
        <v>0</v>
      </c>
      <c r="S29" s="35">
        <f>Assumptions!F233/12</f>
        <v>0</v>
      </c>
      <c r="T29" s="35">
        <f>Assumptions!F233/12</f>
        <v>0</v>
      </c>
      <c r="U29" s="35">
        <f>Assumptions!F233/12</f>
        <v>0</v>
      </c>
      <c r="V29" s="35">
        <f>Assumptions!F233/12</f>
        <v>0</v>
      </c>
      <c r="W29" s="35">
        <f>Assumptions!F233/12</f>
        <v>0</v>
      </c>
      <c r="X29" s="35">
        <f>Assumptions!F233/12</f>
        <v>0</v>
      </c>
      <c r="Y29" s="35">
        <f>Assumptions!F233/12</f>
        <v>0</v>
      </c>
      <c r="Z29" s="35">
        <f>Assumptions!F233/12</f>
        <v>0</v>
      </c>
      <c r="AA29" s="35">
        <f>Assumptions!F233/12</f>
        <v>0</v>
      </c>
      <c r="AB29" s="35">
        <f>Assumptions!F233/12</f>
        <v>0</v>
      </c>
      <c r="AC29" s="35">
        <f>Assumptions!G233/12</f>
        <v>0</v>
      </c>
      <c r="AD29" s="35">
        <f>Assumptions!G233/12</f>
        <v>0</v>
      </c>
      <c r="AE29" s="35">
        <f>Assumptions!G233/12</f>
        <v>0</v>
      </c>
      <c r="AF29" s="35">
        <f>Assumptions!G233/12</f>
        <v>0</v>
      </c>
      <c r="AG29" s="35">
        <f>Assumptions!G233/12</f>
        <v>0</v>
      </c>
      <c r="AH29" s="35">
        <f>Assumptions!G233/12</f>
        <v>0</v>
      </c>
      <c r="AI29" s="35">
        <f>Assumptions!G233/12</f>
        <v>0</v>
      </c>
      <c r="AJ29" s="35">
        <f>Assumptions!G233/12</f>
        <v>0</v>
      </c>
      <c r="AK29" s="35">
        <f>Assumptions!G233/12</f>
        <v>0</v>
      </c>
      <c r="AL29" s="35">
        <f>Assumptions!G233/12</f>
        <v>0</v>
      </c>
      <c r="AM29" s="35">
        <f>Assumptions!G233/12</f>
        <v>0</v>
      </c>
      <c r="AN29" s="35">
        <f>Assumptions!G233/12</f>
        <v>0</v>
      </c>
      <c r="AO29" s="35">
        <f>Assumptions!H233/12</f>
        <v>0</v>
      </c>
      <c r="AP29" s="35">
        <f>Assumptions!H233/12</f>
        <v>0</v>
      </c>
      <c r="AQ29" s="35">
        <f>Assumptions!H233/12</f>
        <v>0</v>
      </c>
      <c r="AR29" s="35">
        <f>Assumptions!H233/12</f>
        <v>0</v>
      </c>
      <c r="AS29" s="35">
        <f>Assumptions!H233/12</f>
        <v>0</v>
      </c>
      <c r="AT29" s="35">
        <f>Assumptions!H233/12</f>
        <v>0</v>
      </c>
      <c r="AU29" s="35">
        <f>Assumptions!H233/12</f>
        <v>0</v>
      </c>
      <c r="AV29" s="35">
        <f>Assumptions!H233/12</f>
        <v>0</v>
      </c>
      <c r="AW29" s="35">
        <f>Assumptions!H233/12</f>
        <v>0</v>
      </c>
      <c r="AX29" s="35">
        <f>Assumptions!H233/12</f>
        <v>0</v>
      </c>
      <c r="AY29" s="35">
        <f>Assumptions!H233/12</f>
        <v>0</v>
      </c>
      <c r="AZ29" s="35">
        <f>Assumptions!H233/12</f>
        <v>0</v>
      </c>
      <c r="BA29" s="35">
        <f>Assumptions!I233/12</f>
        <v>0</v>
      </c>
      <c r="BB29" s="35">
        <f>Assumptions!I233/12</f>
        <v>0</v>
      </c>
      <c r="BC29" s="35">
        <f>Assumptions!I233/12</f>
        <v>0</v>
      </c>
      <c r="BD29" s="35">
        <f>Assumptions!I233/12</f>
        <v>0</v>
      </c>
      <c r="BE29" s="35">
        <f>Assumptions!I233/12</f>
        <v>0</v>
      </c>
      <c r="BF29" s="35">
        <f>Assumptions!I233/12</f>
        <v>0</v>
      </c>
      <c r="BG29" s="35">
        <f>Assumptions!I233/12</f>
        <v>0</v>
      </c>
      <c r="BH29" s="35">
        <f>Assumptions!I233/12</f>
        <v>0</v>
      </c>
      <c r="BI29" s="35">
        <f>Assumptions!I233/12</f>
        <v>0</v>
      </c>
      <c r="BJ29" s="35">
        <f>Assumptions!I233/12</f>
        <v>0</v>
      </c>
      <c r="BK29" s="35">
        <f>Assumptions!I233/12</f>
        <v>0</v>
      </c>
      <c r="BL29" s="35">
        <f>Assumptions!I233/12</f>
        <v>0</v>
      </c>
      <c r="BM29" s="32"/>
      <c r="BN29" s="32"/>
    </row>
    <row r="30" spans="1:66" ht="20" customHeight="1">
      <c r="A30" s="30"/>
      <c r="B30" s="30"/>
      <c r="C30" s="31" t="s">
        <v>232</v>
      </c>
      <c r="D30" s="31"/>
      <c r="E30" s="35">
        <f>Assumptions!E33/12-E9</f>
        <v>0</v>
      </c>
      <c r="F30" s="35">
        <f>Assumptions!E33/12-F9</f>
        <v>0</v>
      </c>
      <c r="G30" s="35">
        <f>Assumptions!E33/12-G9</f>
        <v>0</v>
      </c>
      <c r="H30" s="35">
        <f>Assumptions!E33/12-H9</f>
        <v>0</v>
      </c>
      <c r="I30" s="35">
        <f>Assumptions!E33/12-I9</f>
        <v>0</v>
      </c>
      <c r="J30" s="35">
        <f>Assumptions!E33/12-J9</f>
        <v>0</v>
      </c>
      <c r="K30" s="35">
        <f>Assumptions!E33/12-K9</f>
        <v>0</v>
      </c>
      <c r="L30" s="35">
        <f>Assumptions!E33/12-L9</f>
        <v>0</v>
      </c>
      <c r="M30" s="35">
        <f>Assumptions!E33/12-M9</f>
        <v>0</v>
      </c>
      <c r="N30" s="35">
        <f>Assumptions!E33/12-N9</f>
        <v>0</v>
      </c>
      <c r="O30" s="35">
        <f>Assumptions!E33/12-O9</f>
        <v>0</v>
      </c>
      <c r="P30" s="35">
        <f>Assumptions!E33/12-P9</f>
        <v>0</v>
      </c>
      <c r="Q30" s="35">
        <f>Assumptions!F33/12-Q9</f>
        <v>0.76666666666666672</v>
      </c>
      <c r="R30" s="35">
        <f>Assumptions!F33/12-R9</f>
        <v>0.76666666666666672</v>
      </c>
      <c r="S30" s="35">
        <f>Assumptions!F33/12-S9</f>
        <v>0.76666666666666672</v>
      </c>
      <c r="T30" s="35">
        <f>Assumptions!F33/12-T9</f>
        <v>0.76666666666666672</v>
      </c>
      <c r="U30" s="35">
        <f>Assumptions!F33/12-U9</f>
        <v>0.76666666666666672</v>
      </c>
      <c r="V30" s="35">
        <f>Assumptions!F33/12-V9</f>
        <v>0.76666666666666672</v>
      </c>
      <c r="W30" s="35">
        <f>Assumptions!F33/12-W9</f>
        <v>0.76666666666666672</v>
      </c>
      <c r="X30" s="35">
        <f>Assumptions!F33/12-X9</f>
        <v>0.76666666666666672</v>
      </c>
      <c r="Y30" s="35">
        <f>Assumptions!F33/12-Y9</f>
        <v>0.76666666666666672</v>
      </c>
      <c r="Z30" s="35">
        <f>Assumptions!F33/12-Z9</f>
        <v>0.76666666666666672</v>
      </c>
      <c r="AA30" s="35">
        <f>Assumptions!F33/12-AA9</f>
        <v>0.76666666666666672</v>
      </c>
      <c r="AB30" s="35">
        <f>Assumptions!F33/12-AB9</f>
        <v>0.76666666666666672</v>
      </c>
      <c r="AC30" s="35">
        <f>Assumptions!G33/12-AC9</f>
        <v>-6.6666666666666666E-2</v>
      </c>
      <c r="AD30" s="35">
        <f>Assumptions!G33/12-AD9</f>
        <v>-6.6666666666666666E-2</v>
      </c>
      <c r="AE30" s="35">
        <f>Assumptions!G33/12-AE9</f>
        <v>-6.6666666666666666E-2</v>
      </c>
      <c r="AF30" s="35">
        <f>Assumptions!G33/12-AF9</f>
        <v>-6.6666666666666666E-2</v>
      </c>
      <c r="AG30" s="35">
        <f>Assumptions!G33/12-AG9</f>
        <v>-6.6666666666666666E-2</v>
      </c>
      <c r="AH30" s="35">
        <f>Assumptions!G33/12-AH9</f>
        <v>-6.6666666666666666E-2</v>
      </c>
      <c r="AI30" s="35">
        <f>Assumptions!G33/12-AI9</f>
        <v>-6.6666666666666666E-2</v>
      </c>
      <c r="AJ30" s="35">
        <f>Assumptions!G33/12-AJ9</f>
        <v>-6.6666666666666666E-2</v>
      </c>
      <c r="AK30" s="35">
        <f>Assumptions!G33/12-AK9</f>
        <v>-6.6666666666666666E-2</v>
      </c>
      <c r="AL30" s="35">
        <f>Assumptions!G33/12-AL9</f>
        <v>-6.6666666666666666E-2</v>
      </c>
      <c r="AM30" s="35">
        <f>Assumptions!G33/12-AM9</f>
        <v>-6.6666666666666666E-2</v>
      </c>
      <c r="AN30" s="35">
        <f>Assumptions!G33/12-AN9</f>
        <v>-6.6666666666666666E-2</v>
      </c>
      <c r="AO30" s="35">
        <f>Assumptions!H33/12-AO9</f>
        <v>-6.6666666666666666E-2</v>
      </c>
      <c r="AP30" s="35">
        <f>Assumptions!H33/12-AP9</f>
        <v>-6.6666666666666666E-2</v>
      </c>
      <c r="AQ30" s="35">
        <f>Assumptions!H33/12-AQ9</f>
        <v>-6.6666666666666666E-2</v>
      </c>
      <c r="AR30" s="35">
        <f>Assumptions!H33/12-AR9</f>
        <v>-6.6666666666666666E-2</v>
      </c>
      <c r="AS30" s="35">
        <f>Assumptions!H33/12-AS9</f>
        <v>-6.6666666666666666E-2</v>
      </c>
      <c r="AT30" s="35">
        <f>Assumptions!H33/12-AT9</f>
        <v>-6.6666666666666666E-2</v>
      </c>
      <c r="AU30" s="35">
        <f>Assumptions!H33/12-AU9</f>
        <v>-6.6666666666666666E-2</v>
      </c>
      <c r="AV30" s="35">
        <f>Assumptions!H33/12-AV9</f>
        <v>-6.6666666666666666E-2</v>
      </c>
      <c r="AW30" s="35">
        <f>Assumptions!H33/12-AW9</f>
        <v>-6.6666666666666666E-2</v>
      </c>
      <c r="AX30" s="35">
        <f>Assumptions!H33/12-AX9</f>
        <v>-6.6666666666666666E-2</v>
      </c>
      <c r="AY30" s="35">
        <f>Assumptions!H33/12-AY9</f>
        <v>-6.6666666666666666E-2</v>
      </c>
      <c r="AZ30" s="35">
        <f>Assumptions!H33/12-AZ9</f>
        <v>-6.6666666666666666E-2</v>
      </c>
      <c r="BA30" s="35">
        <f>Assumptions!I33/12-BA9</f>
        <v>-6.6666666666666666E-2</v>
      </c>
      <c r="BB30" s="35">
        <f>Assumptions!I33/12-BB9</f>
        <v>-6.6666666666666666E-2</v>
      </c>
      <c r="BC30" s="35">
        <f>Assumptions!I33/12-BC9</f>
        <v>-6.6666666666666666E-2</v>
      </c>
      <c r="BD30" s="35">
        <f>Assumptions!I33/12-BD9</f>
        <v>-6.6666666666666666E-2</v>
      </c>
      <c r="BE30" s="35">
        <f>Assumptions!I33/12-BE9</f>
        <v>-6.6666666666666666E-2</v>
      </c>
      <c r="BF30" s="35">
        <f>Assumptions!I33/12-BF9</f>
        <v>-6.6666666666666666E-2</v>
      </c>
      <c r="BG30" s="35">
        <f>Assumptions!I33/12-BG9</f>
        <v>-6.6666666666666666E-2</v>
      </c>
      <c r="BH30" s="35">
        <f>Assumptions!I33/12-BH9</f>
        <v>-6.6666666666666666E-2</v>
      </c>
      <c r="BI30" s="35">
        <f>Assumptions!I33/12-BI9</f>
        <v>-6.6666666666666666E-2</v>
      </c>
      <c r="BJ30" s="35">
        <f>Assumptions!I33/12-BJ9</f>
        <v>-6.6666666666666666E-2</v>
      </c>
      <c r="BK30" s="35">
        <f>Assumptions!I33/12-BK9</f>
        <v>-6.6666666666666666E-2</v>
      </c>
      <c r="BL30" s="35">
        <f>Assumptions!I33/12-BL9</f>
        <v>-6.6666666666666666E-2</v>
      </c>
      <c r="BM30" s="32"/>
      <c r="BN30" s="32"/>
    </row>
    <row r="31" spans="1:66" ht="20" customHeight="1">
      <c r="A31" s="30"/>
      <c r="B31" s="30"/>
      <c r="C31" s="31"/>
      <c r="D31" s="31"/>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row>
    <row r="32" spans="1:66" ht="20" customHeight="1">
      <c r="A32" s="30"/>
      <c r="B32" s="30"/>
      <c r="C32" s="31"/>
      <c r="D32" s="31"/>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row>
    <row r="33" spans="1:66" ht="20" customHeight="1">
      <c r="A33" s="30"/>
      <c r="B33" s="30"/>
      <c r="C33" s="31"/>
      <c r="D33" s="31"/>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row>
    <row r="34" spans="1:66" ht="20" customHeight="1">
      <c r="A34" s="30"/>
      <c r="B34" s="30"/>
      <c r="C34" s="31"/>
      <c r="D34" s="31"/>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row>
    <row r="35" spans="1:66" ht="20" customHeight="1">
      <c r="A35" s="30"/>
      <c r="B35" s="30"/>
      <c r="C35" s="31"/>
      <c r="D35" s="31"/>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row>
    <row r="36" spans="1:66" ht="20" customHeight="1">
      <c r="A36" s="30"/>
      <c r="B36" s="30"/>
      <c r="C36" s="31"/>
      <c r="D36" s="31"/>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row>
    <row r="37" spans="1:66" ht="20" customHeight="1">
      <c r="A37" s="30"/>
      <c r="B37" s="30"/>
      <c r="C37" s="31"/>
      <c r="D37" s="31"/>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row>
    <row r="38" spans="1:66" ht="20" customHeight="1">
      <c r="A38" s="30"/>
      <c r="B38" s="30"/>
      <c r="C38" s="31"/>
      <c r="D38" s="31"/>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row>
    <row r="39" spans="1:66" ht="20" customHeight="1">
      <c r="A39" s="30"/>
      <c r="B39" s="30"/>
      <c r="C39" s="31"/>
      <c r="D39" s="31"/>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row>
    <row r="40" spans="1:66" ht="20" customHeight="1">
      <c r="A40" s="30"/>
      <c r="B40" s="30"/>
      <c r="C40" s="31"/>
      <c r="D40" s="31"/>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row>
    <row r="41" spans="1:66" ht="20" customHeight="1">
      <c r="A41" s="30"/>
      <c r="B41" s="30"/>
      <c r="C41" s="31"/>
      <c r="D41" s="31"/>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row>
    <row r="42" spans="1:66" ht="20" customHeight="1">
      <c r="A42" s="30"/>
      <c r="B42" s="30"/>
      <c r="C42" s="31"/>
      <c r="D42" s="31"/>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row>
    <row r="43" spans="1:66" ht="20" customHeight="1">
      <c r="A43" s="30"/>
      <c r="B43" s="30"/>
      <c r="C43" s="31"/>
      <c r="D43" s="31"/>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row>
    <row r="44" spans="1:66" ht="20" customHeight="1">
      <c r="A44" s="30"/>
      <c r="B44" s="30"/>
      <c r="C44" s="31"/>
      <c r="D44" s="31"/>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row>
    <row r="45" spans="1:66" ht="20" customHeight="1">
      <c r="A45" s="30"/>
      <c r="B45" s="30"/>
      <c r="C45" s="31"/>
      <c r="D45" s="31"/>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row>
    <row r="46" spans="1:66" ht="20" customHeight="1">
      <c r="A46" s="30"/>
      <c r="B46" s="30"/>
      <c r="C46" s="31"/>
      <c r="D46" s="31"/>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row>
    <row r="47" spans="1:66" ht="20" customHeight="1">
      <c r="A47" s="30"/>
      <c r="B47" s="30"/>
      <c r="C47" s="31"/>
      <c r="D47" s="31"/>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row>
    <row r="48" spans="1:66" ht="20" customHeight="1">
      <c r="A48" s="30"/>
      <c r="B48" s="30"/>
      <c r="C48" s="31"/>
      <c r="D48" s="31"/>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row>
    <row r="49" spans="1:66" ht="20" customHeight="1">
      <c r="A49" s="30"/>
      <c r="B49" s="30"/>
      <c r="C49" s="31"/>
      <c r="D49" s="31"/>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row>
    <row r="50" spans="1:66" ht="20" customHeight="1">
      <c r="A50" s="30"/>
      <c r="B50" s="30"/>
      <c r="C50" s="31"/>
      <c r="D50" s="31"/>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row>
    <row r="51" spans="1:66" ht="20" customHeight="1">
      <c r="A51" s="30"/>
      <c r="B51" s="30"/>
      <c r="C51" s="31"/>
      <c r="D51" s="31"/>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row>
    <row r="52" spans="1:66" ht="20" customHeight="1">
      <c r="A52" s="30"/>
      <c r="B52" s="30"/>
      <c r="C52" s="31"/>
      <c r="D52" s="31"/>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row>
    <row r="53" spans="1:66" ht="20" customHeight="1">
      <c r="A53" s="30"/>
      <c r="B53" s="30"/>
      <c r="C53" s="31"/>
      <c r="D53" s="31"/>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row>
    <row r="54" spans="1:66" ht="20" customHeight="1">
      <c r="A54" s="30"/>
      <c r="B54" s="30"/>
      <c r="C54" s="31"/>
      <c r="D54" s="31"/>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row>
    <row r="55" spans="1:66" ht="20" customHeight="1">
      <c r="A55" s="30"/>
      <c r="B55" s="30"/>
      <c r="C55" s="31"/>
      <c r="D55" s="31"/>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row>
    <row r="56" spans="1:66" ht="20" customHeight="1">
      <c r="A56" s="30"/>
      <c r="B56" s="30"/>
      <c r="C56" s="31"/>
      <c r="D56" s="31"/>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row>
    <row r="57" spans="1:66" ht="20" customHeight="1">
      <c r="A57" s="30"/>
      <c r="B57" s="30"/>
      <c r="C57" s="31"/>
      <c r="D57" s="31"/>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row>
    <row r="58" spans="1:66" ht="20" customHeight="1">
      <c r="A58" s="30"/>
      <c r="B58" s="30"/>
      <c r="C58" s="31"/>
      <c r="D58" s="31"/>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row>
    <row r="59" spans="1:66" ht="20" customHeight="1">
      <c r="A59" s="30"/>
      <c r="B59" s="30"/>
      <c r="C59" s="31"/>
      <c r="D59" s="31"/>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row>
    <row r="60" spans="1:66" ht="20" customHeight="1">
      <c r="A60" s="30"/>
      <c r="B60" s="30"/>
      <c r="C60" s="31"/>
      <c r="D60" s="31"/>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row>
    <row r="61" spans="1:66" ht="20" customHeight="1">
      <c r="A61" s="30"/>
      <c r="B61" s="30"/>
      <c r="C61" s="31"/>
      <c r="D61" s="31"/>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row>
    <row r="62" spans="1:66" ht="20" customHeight="1">
      <c r="A62" s="30"/>
      <c r="B62" s="30"/>
      <c r="C62" s="31"/>
      <c r="D62" s="31"/>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row>
    <row r="63" spans="1:66" ht="20" customHeight="1">
      <c r="A63" s="30"/>
      <c r="B63" s="30"/>
      <c r="C63" s="31"/>
      <c r="D63" s="31"/>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row>
    <row r="64" spans="1:66" ht="20" customHeight="1">
      <c r="A64" s="30"/>
      <c r="B64" s="30"/>
      <c r="C64" s="31"/>
      <c r="D64" s="31"/>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row>
    <row r="65" spans="1:66" ht="20" customHeight="1">
      <c r="A65" s="30"/>
      <c r="B65" s="30"/>
      <c r="C65" s="31"/>
      <c r="D65" s="31"/>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row>
    <row r="66" spans="1:66" ht="20" customHeight="1">
      <c r="A66" s="30"/>
      <c r="B66" s="30"/>
      <c r="C66" s="31"/>
      <c r="D66" s="31"/>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row>
    <row r="67" spans="1:66" ht="20" customHeight="1">
      <c r="A67" s="30"/>
      <c r="B67" s="30"/>
      <c r="C67" s="31"/>
      <c r="D67" s="31"/>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row>
    <row r="68" spans="1:66" ht="20" customHeight="1">
      <c r="A68" s="30"/>
      <c r="B68" s="30"/>
      <c r="C68" s="31"/>
      <c r="D68" s="31"/>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row>
    <row r="69" spans="1:66" ht="20" customHeight="1">
      <c r="A69" s="30"/>
      <c r="B69" s="30"/>
      <c r="C69" s="31"/>
      <c r="D69" s="31"/>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row>
    <row r="70" spans="1:66" ht="20" customHeight="1">
      <c r="A70" s="30"/>
      <c r="B70" s="30"/>
      <c r="C70" s="31"/>
      <c r="D70" s="31"/>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row>
    <row r="71" spans="1:66" ht="20" customHeight="1">
      <c r="A71" s="30"/>
      <c r="B71" s="30"/>
      <c r="C71" s="31"/>
      <c r="D71" s="31"/>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row>
    <row r="72" spans="1:66" ht="20" customHeight="1">
      <c r="A72" s="30"/>
      <c r="B72" s="30"/>
      <c r="C72" s="31"/>
      <c r="D72" s="31"/>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row>
    <row r="73" spans="1:66" ht="20" customHeight="1">
      <c r="A73" s="30"/>
      <c r="B73" s="30"/>
      <c r="C73" s="31"/>
      <c r="D73" s="31"/>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row>
    <row r="74" spans="1:66" ht="20" customHeight="1">
      <c r="A74" s="30"/>
      <c r="B74" s="30"/>
      <c r="C74" s="31"/>
      <c r="D74" s="31"/>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row>
    <row r="75" spans="1:66" ht="20" customHeight="1">
      <c r="A75" s="30"/>
      <c r="B75" s="30"/>
      <c r="C75" s="31"/>
      <c r="D75" s="31"/>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row>
    <row r="76" spans="1:66" ht="20" customHeight="1">
      <c r="A76" s="30"/>
      <c r="B76" s="30"/>
      <c r="C76" s="31"/>
      <c r="D76" s="31"/>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row>
    <row r="77" spans="1:66" ht="20" customHeight="1">
      <c r="A77" s="30"/>
      <c r="B77" s="30"/>
      <c r="C77" s="31"/>
      <c r="D77" s="31"/>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row>
    <row r="78" spans="1:66" ht="20" customHeight="1">
      <c r="A78" s="30"/>
      <c r="B78" s="30"/>
      <c r="C78" s="31"/>
      <c r="D78" s="31"/>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row>
    <row r="79" spans="1:66" ht="20" customHeight="1">
      <c r="A79" s="30"/>
      <c r="B79" s="30"/>
      <c r="C79" s="31"/>
      <c r="D79" s="31"/>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row>
    <row r="80" spans="1:66" ht="20" customHeight="1">
      <c r="A80" s="30"/>
      <c r="B80" s="30"/>
      <c r="C80" s="31"/>
      <c r="D80" s="31"/>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row>
    <row r="81" spans="1:66" ht="20" customHeight="1">
      <c r="A81" s="30"/>
      <c r="B81" s="30"/>
      <c r="C81" s="31"/>
      <c r="D81" s="31"/>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row>
    <row r="82" spans="1:66" ht="20" customHeight="1">
      <c r="A82" s="30"/>
      <c r="B82" s="30"/>
      <c r="C82" s="31"/>
      <c r="D82" s="31"/>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row>
    <row r="83" spans="1:66" ht="20" customHeight="1">
      <c r="A83" s="30"/>
      <c r="B83" s="30"/>
      <c r="C83" s="31"/>
      <c r="D83" s="31"/>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row>
    <row r="84" spans="1:66" ht="20" customHeight="1">
      <c r="A84" s="30"/>
      <c r="B84" s="30"/>
      <c r="C84" s="31"/>
      <c r="D84" s="31"/>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row>
    <row r="85" spans="1:66" ht="20" customHeight="1">
      <c r="A85" s="30"/>
      <c r="B85" s="30"/>
      <c r="C85" s="31"/>
      <c r="D85" s="31"/>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row>
    <row r="86" spans="1:66" ht="20" customHeight="1">
      <c r="A86" s="30"/>
      <c r="B86" s="30"/>
      <c r="C86" s="31"/>
      <c r="D86" s="31"/>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row>
    <row r="87" spans="1:66" ht="20" customHeight="1">
      <c r="A87" s="30"/>
      <c r="B87" s="30"/>
      <c r="C87" s="31"/>
      <c r="D87" s="31"/>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row>
    <row r="88" spans="1:66" ht="20" customHeight="1">
      <c r="A88" s="30"/>
      <c r="B88" s="30"/>
      <c r="C88" s="31"/>
      <c r="D88" s="31"/>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row>
    <row r="89" spans="1:66" ht="20" customHeight="1">
      <c r="A89" s="30"/>
      <c r="B89" s="30"/>
      <c r="C89" s="31"/>
      <c r="D89" s="31"/>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row>
    <row r="90" spans="1:66" ht="20" customHeight="1">
      <c r="A90" s="30"/>
      <c r="B90" s="30"/>
      <c r="C90" s="31"/>
      <c r="D90" s="31"/>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row>
    <row r="91" spans="1:66" ht="20" customHeight="1">
      <c r="A91" s="30"/>
      <c r="B91" s="30"/>
      <c r="C91" s="31"/>
      <c r="D91" s="31"/>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row>
    <row r="92" spans="1:66" ht="20" customHeight="1">
      <c r="A92" s="30"/>
      <c r="B92" s="30"/>
      <c r="C92" s="31"/>
      <c r="D92" s="31"/>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row>
    <row r="93" spans="1:66" ht="20" customHeight="1">
      <c r="A93" s="30"/>
      <c r="B93" s="30"/>
      <c r="C93" s="31"/>
      <c r="D93" s="31"/>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row>
    <row r="94" spans="1:66" ht="20" customHeight="1">
      <c r="A94" s="30"/>
      <c r="B94" s="30"/>
      <c r="C94" s="31"/>
      <c r="D94" s="31"/>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row>
    <row r="95" spans="1:66" ht="20" customHeight="1">
      <c r="A95" s="30"/>
      <c r="B95" s="30"/>
      <c r="C95" s="31"/>
      <c r="D95" s="31"/>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row>
    <row r="96" spans="1:66" ht="20" customHeight="1">
      <c r="A96" s="30"/>
      <c r="B96" s="30"/>
      <c r="C96" s="31"/>
      <c r="D96" s="31"/>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row>
    <row r="97" spans="1:66" ht="20" customHeight="1">
      <c r="A97" s="30"/>
      <c r="B97" s="30"/>
      <c r="C97" s="31"/>
      <c r="D97" s="31"/>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row>
    <row r="98" spans="1:66" ht="20" customHeight="1">
      <c r="A98" s="30"/>
      <c r="B98" s="30"/>
      <c r="C98" s="31"/>
      <c r="D98" s="31"/>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row>
    <row r="99" spans="1:66" ht="20" customHeight="1">
      <c r="A99" s="30"/>
      <c r="B99" s="30"/>
      <c r="C99" s="31"/>
      <c r="D99" s="31"/>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row>
    <row r="100" spans="1:66" ht="20" customHeight="1">
      <c r="A100" s="30"/>
      <c r="B100" s="30"/>
      <c r="C100" s="31"/>
      <c r="D100" s="31"/>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row>
    <row r="101" spans="1:66" ht="20" customHeight="1">
      <c r="A101" s="30"/>
      <c r="B101" s="30"/>
      <c r="C101" s="31"/>
      <c r="D101" s="31"/>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row>
    <row r="102" spans="1:66" ht="20" customHeight="1">
      <c r="A102" s="30"/>
      <c r="B102" s="30"/>
      <c r="C102" s="31"/>
      <c r="D102" s="31"/>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row>
    <row r="103" spans="1:66" ht="20" customHeight="1">
      <c r="A103" s="30"/>
      <c r="B103" s="30"/>
      <c r="C103" s="31"/>
      <c r="D103" s="31"/>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row>
    <row r="104" spans="1:66" ht="20" customHeight="1">
      <c r="A104" s="30"/>
      <c r="B104" s="30"/>
      <c r="C104" s="31"/>
      <c r="D104" s="31"/>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row>
    <row r="105" spans="1:66" ht="20" customHeight="1">
      <c r="A105" s="30"/>
      <c r="B105" s="30"/>
      <c r="C105" s="31"/>
      <c r="D105" s="31"/>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row>
    <row r="106" spans="1:66" ht="20" customHeight="1">
      <c r="A106" s="30"/>
      <c r="B106" s="30"/>
      <c r="C106" s="31"/>
      <c r="D106" s="31"/>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row>
    <row r="107" spans="1:66" ht="20" customHeight="1">
      <c r="A107" s="30"/>
      <c r="B107" s="30"/>
      <c r="C107" s="31"/>
      <c r="D107" s="31"/>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row>
    <row r="108" spans="1:66" ht="20" customHeight="1">
      <c r="A108" s="30"/>
      <c r="B108" s="30"/>
      <c r="C108" s="31"/>
      <c r="D108" s="31"/>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row>
    <row r="109" spans="1:66" ht="20" customHeight="1">
      <c r="A109" s="30"/>
      <c r="B109" s="30"/>
      <c r="C109" s="31"/>
      <c r="D109" s="31"/>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row>
    <row r="110" spans="1:66" ht="20" customHeight="1">
      <c r="A110" s="30"/>
      <c r="B110" s="30"/>
      <c r="C110" s="31"/>
      <c r="D110" s="31"/>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row>
    <row r="111" spans="1:66" ht="20" customHeight="1">
      <c r="A111" s="30"/>
      <c r="B111" s="30"/>
      <c r="C111" s="31"/>
      <c r="D111" s="31"/>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row>
    <row r="112" spans="1:66" ht="20" customHeight="1">
      <c r="A112" s="30"/>
      <c r="B112" s="30"/>
      <c r="C112" s="31"/>
      <c r="D112" s="31"/>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row>
    <row r="113" spans="1:66" ht="20" customHeight="1">
      <c r="A113" s="30"/>
      <c r="B113" s="30"/>
      <c r="C113" s="31"/>
      <c r="D113" s="31"/>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row>
    <row r="114" spans="1:66" ht="20" customHeight="1">
      <c r="A114" s="30"/>
      <c r="B114" s="30"/>
      <c r="C114" s="31"/>
      <c r="D114" s="31"/>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row>
    <row r="115" spans="1:66" ht="20" customHeight="1">
      <c r="A115" s="30"/>
      <c r="B115" s="30"/>
      <c r="C115" s="31"/>
      <c r="D115" s="31"/>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row>
    <row r="116" spans="1:66" ht="20" customHeight="1">
      <c r="A116" s="30"/>
      <c r="B116" s="30"/>
      <c r="C116" s="31"/>
      <c r="D116" s="31"/>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row>
    <row r="117" spans="1:66" ht="20" customHeight="1">
      <c r="A117" s="30"/>
      <c r="B117" s="30"/>
      <c r="C117" s="31"/>
      <c r="D117" s="31"/>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row>
    <row r="118" spans="1:66" ht="20" customHeight="1">
      <c r="A118" s="30"/>
      <c r="B118" s="30"/>
      <c r="C118" s="31"/>
      <c r="D118" s="31"/>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row>
    <row r="119" spans="1:66" ht="20" customHeight="1">
      <c r="A119" s="30"/>
      <c r="B119" s="30"/>
      <c r="C119" s="31"/>
      <c r="D119" s="31"/>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row>
    <row r="120" spans="1:66" ht="20" customHeight="1">
      <c r="A120" s="30"/>
      <c r="B120" s="30"/>
      <c r="C120" s="31"/>
      <c r="D120" s="31"/>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row>
    <row r="121" spans="1:66" ht="20" customHeight="1">
      <c r="A121" s="30"/>
      <c r="B121" s="30"/>
      <c r="C121" s="31"/>
      <c r="D121" s="31"/>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row>
    <row r="122" spans="1:66" ht="20" customHeight="1">
      <c r="A122" s="30"/>
      <c r="B122" s="30"/>
      <c r="C122" s="31"/>
      <c r="D122" s="31"/>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row>
    <row r="123" spans="1:66" ht="20" customHeight="1">
      <c r="A123" s="30"/>
      <c r="B123" s="30"/>
      <c r="C123" s="31"/>
      <c r="D123" s="31"/>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row>
    <row r="124" spans="1:66" ht="20" customHeight="1">
      <c r="A124" s="30"/>
      <c r="B124" s="30"/>
      <c r="C124" s="31"/>
      <c r="D124" s="31"/>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row>
    <row r="125" spans="1:66" ht="20" customHeight="1">
      <c r="A125" s="30"/>
      <c r="B125" s="30"/>
      <c r="C125" s="31"/>
      <c r="D125" s="31"/>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row>
    <row r="126" spans="1:66" ht="20" customHeight="1">
      <c r="A126" s="30"/>
      <c r="B126" s="30"/>
      <c r="C126" s="31"/>
      <c r="D126" s="31"/>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row>
    <row r="127" spans="1:66" ht="20" customHeight="1">
      <c r="A127" s="30"/>
      <c r="B127" s="30"/>
      <c r="C127" s="31"/>
      <c r="D127" s="31"/>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row>
    <row r="128" spans="1:66" ht="20" customHeight="1">
      <c r="A128" s="30"/>
      <c r="B128" s="30"/>
      <c r="C128" s="31"/>
      <c r="D128" s="31"/>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row>
    <row r="129" spans="1:66" ht="20" customHeight="1">
      <c r="A129" s="30"/>
      <c r="B129" s="30"/>
      <c r="C129" s="31"/>
      <c r="D129" s="31"/>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row>
    <row r="130" spans="1:66" ht="20" customHeight="1">
      <c r="A130" s="30"/>
      <c r="B130" s="30"/>
      <c r="C130" s="31"/>
      <c r="D130" s="31"/>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row>
    <row r="131" spans="1:66" ht="20" customHeight="1">
      <c r="A131" s="30"/>
      <c r="B131" s="30"/>
      <c r="C131" s="31"/>
      <c r="D131" s="31"/>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row>
    <row r="132" spans="1:66" ht="20" customHeight="1">
      <c r="A132" s="30"/>
      <c r="B132" s="30"/>
      <c r="C132" s="31"/>
      <c r="D132" s="31"/>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row>
    <row r="133" spans="1:66" ht="20" customHeight="1">
      <c r="A133" s="30"/>
      <c r="B133" s="30"/>
      <c r="C133" s="31"/>
      <c r="D133" s="31"/>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row>
    <row r="134" spans="1:66" ht="20" customHeight="1">
      <c r="A134" s="30"/>
      <c r="B134" s="30"/>
      <c r="C134" s="31"/>
      <c r="D134" s="31"/>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row>
    <row r="135" spans="1:66" ht="20" customHeight="1">
      <c r="A135" s="30"/>
      <c r="B135" s="30"/>
      <c r="C135" s="31"/>
      <c r="D135" s="31"/>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row>
    <row r="136" spans="1:66" ht="20" customHeight="1">
      <c r="A136" s="30"/>
      <c r="B136" s="30"/>
      <c r="C136" s="31"/>
      <c r="D136" s="31"/>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row>
    <row r="137" spans="1:66" ht="20" customHeight="1">
      <c r="A137" s="30"/>
      <c r="B137" s="30"/>
      <c r="C137" s="31"/>
      <c r="D137" s="31"/>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row>
    <row r="138" spans="1:66" ht="20" customHeight="1">
      <c r="A138" s="30"/>
      <c r="B138" s="30"/>
      <c r="C138" s="31"/>
      <c r="D138" s="31"/>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row>
    <row r="139" spans="1:66" ht="20" customHeight="1">
      <c r="A139" s="30"/>
      <c r="B139" s="30"/>
      <c r="C139" s="31"/>
      <c r="D139" s="31"/>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row>
    <row r="140" spans="1:66" ht="20" customHeight="1">
      <c r="A140" s="30"/>
      <c r="B140" s="30"/>
      <c r="C140" s="31"/>
      <c r="D140" s="31"/>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row>
    <row r="141" spans="1:66" ht="20" customHeight="1">
      <c r="A141" s="30"/>
      <c r="B141" s="30"/>
      <c r="C141" s="31"/>
      <c r="D141" s="31"/>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row>
    <row r="142" spans="1:66" ht="20" customHeight="1">
      <c r="A142" s="30"/>
      <c r="B142" s="30"/>
      <c r="C142" s="31"/>
      <c r="D142" s="31"/>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row>
    <row r="143" spans="1:66" ht="20" customHeight="1">
      <c r="A143" s="30"/>
      <c r="B143" s="30"/>
      <c r="C143" s="31"/>
      <c r="D143" s="31"/>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row>
    <row r="144" spans="1:66" ht="20" customHeight="1">
      <c r="A144" s="30"/>
      <c r="B144" s="30"/>
      <c r="C144" s="31"/>
      <c r="D144" s="31"/>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row>
    <row r="145" spans="1:66" ht="20" customHeight="1">
      <c r="A145" s="30"/>
      <c r="B145" s="30"/>
      <c r="C145" s="31"/>
      <c r="D145" s="31"/>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row>
    <row r="146" spans="1:66" ht="20" customHeight="1">
      <c r="A146" s="30"/>
      <c r="B146" s="30"/>
      <c r="C146" s="31"/>
      <c r="D146" s="31"/>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row>
    <row r="147" spans="1:66" ht="20" customHeight="1">
      <c r="A147" s="30"/>
      <c r="B147" s="30"/>
      <c r="C147" s="31"/>
      <c r="D147" s="31"/>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row>
    <row r="148" spans="1:66" ht="20" customHeight="1">
      <c r="A148" s="30"/>
      <c r="B148" s="30"/>
      <c r="C148" s="31"/>
      <c r="D148" s="31"/>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row>
    <row r="149" spans="1:66" ht="20" customHeight="1">
      <c r="A149" s="30"/>
      <c r="B149" s="30"/>
      <c r="C149" s="31"/>
      <c r="D149" s="31"/>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row>
    <row r="150" spans="1:66" ht="20" customHeight="1">
      <c r="A150" s="30"/>
      <c r="B150" s="30"/>
      <c r="C150" s="31"/>
      <c r="D150" s="31"/>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row>
    <row r="151" spans="1:66" ht="20" customHeight="1">
      <c r="A151" s="30"/>
      <c r="B151" s="30"/>
      <c r="C151" s="31"/>
      <c r="D151" s="31"/>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row>
    <row r="152" spans="1:66" ht="20" customHeight="1">
      <c r="A152" s="30"/>
      <c r="B152" s="30"/>
      <c r="C152" s="31"/>
      <c r="D152" s="31"/>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row>
    <row r="153" spans="1:66" ht="20" customHeight="1">
      <c r="A153" s="30"/>
      <c r="B153" s="30"/>
      <c r="C153" s="31"/>
      <c r="D153" s="31"/>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row>
    <row r="154" spans="1:66" ht="20" customHeight="1">
      <c r="A154" s="30"/>
      <c r="B154" s="30"/>
      <c r="C154" s="31"/>
      <c r="D154" s="31"/>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row>
    <row r="155" spans="1:66" ht="20" customHeight="1">
      <c r="A155" s="30"/>
      <c r="B155" s="30"/>
      <c r="C155" s="31"/>
      <c r="D155" s="31"/>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row>
    <row r="156" spans="1:66" ht="20" customHeight="1">
      <c r="A156" s="30"/>
      <c r="B156" s="30"/>
      <c r="C156" s="31"/>
      <c r="D156" s="31"/>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row>
    <row r="157" spans="1:66" ht="20" customHeight="1">
      <c r="A157" s="30"/>
      <c r="B157" s="30"/>
      <c r="C157" s="31"/>
      <c r="D157" s="31"/>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row>
    <row r="158" spans="1:66" ht="20" customHeight="1">
      <c r="A158" s="30"/>
      <c r="B158" s="30"/>
      <c r="C158" s="31"/>
      <c r="D158" s="31"/>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row>
    <row r="159" spans="1:66" ht="20" customHeight="1">
      <c r="A159" s="30"/>
      <c r="B159" s="30"/>
      <c r="C159" s="31"/>
      <c r="D159" s="31"/>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row>
    <row r="160" spans="1:66" ht="20" customHeight="1">
      <c r="A160" s="30"/>
      <c r="B160" s="30"/>
      <c r="C160" s="31"/>
      <c r="D160" s="31"/>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row>
    <row r="161" spans="1:66" ht="20" customHeight="1">
      <c r="A161" s="30"/>
      <c r="B161" s="30"/>
      <c r="C161" s="31"/>
      <c r="D161" s="31"/>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row>
    <row r="162" spans="1:66" ht="20" customHeight="1">
      <c r="A162" s="30"/>
      <c r="B162" s="30"/>
      <c r="C162" s="31"/>
      <c r="D162" s="31"/>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row>
    <row r="163" spans="1:66" ht="20" customHeight="1">
      <c r="A163" s="30"/>
      <c r="B163" s="30"/>
      <c r="C163" s="31"/>
      <c r="D163" s="31"/>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row>
    <row r="164" spans="1:66" ht="20" customHeight="1">
      <c r="A164" s="30"/>
      <c r="B164" s="30"/>
      <c r="C164" s="31"/>
      <c r="D164" s="31"/>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row>
    <row r="165" spans="1:66" ht="20" customHeight="1">
      <c r="A165" s="30"/>
      <c r="B165" s="30"/>
      <c r="C165" s="31"/>
      <c r="D165" s="31"/>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row>
    <row r="166" spans="1:66" ht="20" customHeight="1">
      <c r="A166" s="30"/>
      <c r="B166" s="30"/>
      <c r="C166" s="31"/>
      <c r="D166" s="31"/>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row>
    <row r="167" spans="1:66" ht="20" customHeight="1">
      <c r="A167" s="30"/>
      <c r="B167" s="30"/>
      <c r="C167" s="31"/>
      <c r="D167" s="31"/>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row>
    <row r="168" spans="1:66" ht="20" customHeight="1">
      <c r="A168" s="30"/>
      <c r="B168" s="30"/>
      <c r="C168" s="31"/>
      <c r="D168" s="31"/>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row>
    <row r="169" spans="1:66" ht="20" customHeight="1">
      <c r="A169" s="30"/>
      <c r="B169" s="30"/>
      <c r="C169" s="31"/>
      <c r="D169" s="31"/>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row>
    <row r="170" spans="1:66" ht="20" customHeight="1">
      <c r="A170" s="30"/>
      <c r="B170" s="30"/>
      <c r="C170" s="31"/>
      <c r="D170" s="31"/>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row>
    <row r="171" spans="1:66" ht="20" customHeight="1">
      <c r="A171" s="30"/>
      <c r="B171" s="30"/>
      <c r="C171" s="31"/>
      <c r="D171" s="31"/>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row>
    <row r="172" spans="1:66" ht="20" customHeight="1">
      <c r="A172" s="30"/>
      <c r="B172" s="30"/>
      <c r="C172" s="31"/>
      <c r="D172" s="31"/>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row>
    <row r="173" spans="1:66" ht="20" customHeight="1">
      <c r="A173" s="30"/>
      <c r="B173" s="30"/>
      <c r="C173" s="31"/>
      <c r="D173" s="31"/>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row>
    <row r="174" spans="1:66" ht="20" customHeight="1">
      <c r="A174" s="30"/>
      <c r="B174" s="30"/>
      <c r="C174" s="31"/>
      <c r="D174" s="31"/>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row>
    <row r="175" spans="1:66" ht="20" customHeight="1">
      <c r="A175" s="30"/>
      <c r="B175" s="30"/>
      <c r="C175" s="31"/>
      <c r="D175" s="31"/>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row>
    <row r="176" spans="1:66" ht="20" customHeight="1">
      <c r="A176" s="30"/>
      <c r="B176" s="30"/>
      <c r="C176" s="31"/>
      <c r="D176" s="31"/>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row>
    <row r="177" spans="1:66" ht="20" customHeight="1">
      <c r="A177" s="30"/>
      <c r="B177" s="30"/>
      <c r="C177" s="31"/>
      <c r="D177" s="31"/>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row>
    <row r="178" spans="1:66" ht="20" customHeight="1">
      <c r="A178" s="30"/>
      <c r="B178" s="30"/>
      <c r="C178" s="31"/>
      <c r="D178" s="31"/>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row>
    <row r="179" spans="1:66" ht="20" customHeight="1">
      <c r="A179" s="30"/>
      <c r="B179" s="30"/>
      <c r="C179" s="31"/>
      <c r="D179" s="31"/>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row>
    <row r="180" spans="1:66" ht="20" customHeight="1">
      <c r="A180" s="30"/>
      <c r="B180" s="30"/>
      <c r="C180" s="31"/>
      <c r="D180" s="31"/>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row>
    <row r="181" spans="1:66" ht="20" customHeight="1">
      <c r="A181" s="30"/>
      <c r="B181" s="30"/>
      <c r="C181" s="31"/>
      <c r="D181" s="31"/>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row>
    <row r="182" spans="1:66" ht="20" customHeight="1">
      <c r="A182" s="30"/>
      <c r="B182" s="30"/>
      <c r="C182" s="31"/>
      <c r="D182" s="31"/>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row>
    <row r="183" spans="1:66" ht="20" customHeight="1">
      <c r="A183" s="30"/>
      <c r="B183" s="30"/>
      <c r="C183" s="31"/>
      <c r="D183" s="31"/>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row>
    <row r="184" spans="1:66" ht="20" customHeight="1">
      <c r="A184" s="30"/>
      <c r="B184" s="30"/>
      <c r="C184" s="31"/>
      <c r="D184" s="31"/>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row>
    <row r="185" spans="1:66" ht="20" customHeight="1">
      <c r="A185" s="30"/>
      <c r="B185" s="30"/>
      <c r="C185" s="31"/>
      <c r="D185" s="31"/>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row>
    <row r="186" spans="1:66" ht="20" customHeight="1">
      <c r="A186" s="30"/>
      <c r="B186" s="30"/>
      <c r="C186" s="31"/>
      <c r="D186" s="31"/>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row>
    <row r="187" spans="1:66" ht="20" customHeight="1">
      <c r="A187" s="30"/>
      <c r="B187" s="30"/>
      <c r="C187" s="31"/>
      <c r="D187" s="31"/>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row>
    <row r="188" spans="1:66" ht="20" customHeight="1">
      <c r="A188" s="30"/>
      <c r="B188" s="30"/>
      <c r="C188" s="31"/>
      <c r="D188" s="31"/>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row>
    <row r="189" spans="1:66" ht="20" customHeight="1">
      <c r="A189" s="30"/>
      <c r="B189" s="30"/>
      <c r="C189" s="31"/>
      <c r="D189" s="31"/>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row>
    <row r="190" spans="1:66" ht="20" customHeight="1">
      <c r="A190" s="30"/>
      <c r="B190" s="30"/>
      <c r="C190" s="31"/>
      <c r="D190" s="31"/>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row>
    <row r="191" spans="1:66" ht="20" customHeight="1">
      <c r="A191" s="30"/>
      <c r="B191" s="30"/>
      <c r="C191" s="31"/>
      <c r="D191" s="31"/>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row>
    <row r="192" spans="1:66" ht="20" customHeight="1">
      <c r="A192" s="30"/>
      <c r="B192" s="30"/>
      <c r="C192" s="31"/>
      <c r="D192" s="31"/>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row>
    <row r="193" spans="1:66" ht="20" customHeight="1">
      <c r="A193" s="30"/>
      <c r="B193" s="30"/>
      <c r="C193" s="31"/>
      <c r="D193" s="31"/>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row>
    <row r="194" spans="1:66" ht="20" customHeight="1">
      <c r="A194" s="30"/>
      <c r="B194" s="30"/>
      <c r="C194" s="31"/>
      <c r="D194" s="31"/>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row>
    <row r="195" spans="1:66" ht="20" customHeight="1">
      <c r="A195" s="30"/>
      <c r="B195" s="30"/>
      <c r="C195" s="31"/>
      <c r="D195" s="31"/>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row>
    <row r="196" spans="1:66" ht="20" customHeight="1">
      <c r="A196" s="30"/>
      <c r="B196" s="30"/>
      <c r="C196" s="31"/>
      <c r="D196" s="31"/>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row>
    <row r="197" spans="1:66" ht="20" customHeight="1">
      <c r="A197" s="30"/>
      <c r="B197" s="30"/>
      <c r="C197" s="31"/>
      <c r="D197" s="31"/>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row>
    <row r="198" spans="1:66" ht="20" customHeight="1">
      <c r="A198" s="30"/>
      <c r="B198" s="30"/>
      <c r="C198" s="31"/>
      <c r="D198" s="31"/>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row>
    <row r="199" spans="1:66" ht="20" customHeight="1">
      <c r="A199" s="30"/>
      <c r="B199" s="30"/>
      <c r="C199" s="31"/>
      <c r="D199" s="31"/>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row>
    <row r="200" spans="1:66" ht="20" customHeight="1">
      <c r="A200" s="30"/>
      <c r="B200" s="30"/>
      <c r="C200" s="31"/>
      <c r="D200" s="31"/>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07483"/>
  </sheetPr>
  <dimension ref="A1:BN200"/>
  <sheetViews>
    <sheetView showGridLines="0" workbookViewId="0">
      <pane xSplit="4" ySplit="7" topLeftCell="E8" activePane="bottomRight" state="frozen"/>
      <selection pane="topRight"/>
      <selection pane="bottomLeft"/>
      <selection pane="bottomRight" activeCell="E8" sqref="E8"/>
    </sheetView>
  </sheetViews>
  <sheetFormatPr baseColWidth="10" defaultColWidth="8.83203125" defaultRowHeight="14"/>
  <cols>
    <col min="1" max="2" width="2" customWidth="1"/>
    <col min="3" max="3" width="48" customWidth="1"/>
    <col min="4" max="4" width="3" customWidth="1"/>
    <col min="5" max="66" width="14" customWidth="1"/>
  </cols>
  <sheetData>
    <row r="1" spans="1:66" ht="20" customHeight="1">
      <c r="A1" s="30"/>
      <c r="B1" s="30"/>
      <c r="C1" s="31"/>
      <c r="D1" s="31"/>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row>
    <row r="2" spans="1:66" ht="20" customHeight="1">
      <c r="A2" s="30"/>
      <c r="B2" s="30"/>
      <c r="C2" s="33" t="s">
        <v>233</v>
      </c>
      <c r="D2" s="31"/>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row>
    <row r="3" spans="1:66" ht="20" customHeight="1">
      <c r="A3" s="30"/>
      <c r="B3" s="30"/>
      <c r="C3" s="34" t="s">
        <v>49</v>
      </c>
      <c r="D3" s="31"/>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row>
    <row r="4" spans="1:66" ht="20" customHeight="1">
      <c r="A4" s="30"/>
      <c r="B4" s="30"/>
      <c r="C4" s="31" t="s">
        <v>2</v>
      </c>
      <c r="D4" s="31"/>
      <c r="E4" s="35" t="str">
        <f>CHOOSE(Assumptions!$E$5,"Base","Downside","Upside")</f>
        <v>Base</v>
      </c>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row>
    <row r="5" spans="1:66" ht="20" customHeight="1">
      <c r="A5" s="30"/>
      <c r="B5" s="30"/>
      <c r="C5" s="31"/>
      <c r="D5" s="31"/>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row>
    <row r="6" spans="1:66" ht="20" customHeight="1">
      <c r="A6" s="30"/>
      <c r="B6" s="30"/>
      <c r="C6" s="31"/>
      <c r="D6" s="31"/>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row>
    <row r="7" spans="1:66" ht="24" customHeight="1">
      <c r="A7" s="30"/>
      <c r="B7" s="30"/>
      <c r="C7" s="36" t="s">
        <v>214</v>
      </c>
      <c r="D7" s="36"/>
      <c r="E7" s="45">
        <v>46204</v>
      </c>
      <c r="F7" s="45">
        <v>46235</v>
      </c>
      <c r="G7" s="45">
        <v>46266</v>
      </c>
      <c r="H7" s="45">
        <v>46296</v>
      </c>
      <c r="I7" s="45">
        <v>46327</v>
      </c>
      <c r="J7" s="45">
        <v>46357</v>
      </c>
      <c r="K7" s="45">
        <v>46388</v>
      </c>
      <c r="L7" s="45">
        <v>46419</v>
      </c>
      <c r="M7" s="45">
        <v>46447</v>
      </c>
      <c r="N7" s="45">
        <v>46478</v>
      </c>
      <c r="O7" s="45">
        <v>46508</v>
      </c>
      <c r="P7" s="45">
        <v>46539</v>
      </c>
      <c r="Q7" s="45">
        <v>46569</v>
      </c>
      <c r="R7" s="45">
        <v>46600</v>
      </c>
      <c r="S7" s="45">
        <v>46631</v>
      </c>
      <c r="T7" s="45">
        <v>46661</v>
      </c>
      <c r="U7" s="45">
        <v>46692</v>
      </c>
      <c r="V7" s="45">
        <v>46722</v>
      </c>
      <c r="W7" s="45">
        <v>46753</v>
      </c>
      <c r="X7" s="45">
        <v>46784</v>
      </c>
      <c r="Y7" s="45">
        <v>46813</v>
      </c>
      <c r="Z7" s="45">
        <v>46844</v>
      </c>
      <c r="AA7" s="45">
        <v>46874</v>
      </c>
      <c r="AB7" s="45">
        <v>46905</v>
      </c>
      <c r="AC7" s="45">
        <v>46935</v>
      </c>
      <c r="AD7" s="45">
        <v>46966</v>
      </c>
      <c r="AE7" s="45">
        <v>46997</v>
      </c>
      <c r="AF7" s="45">
        <v>47027</v>
      </c>
      <c r="AG7" s="45">
        <v>47058</v>
      </c>
      <c r="AH7" s="45">
        <v>47088</v>
      </c>
      <c r="AI7" s="45">
        <v>47119</v>
      </c>
      <c r="AJ7" s="45">
        <v>47150</v>
      </c>
      <c r="AK7" s="45">
        <v>47178</v>
      </c>
      <c r="AL7" s="45">
        <v>47209</v>
      </c>
      <c r="AM7" s="45">
        <v>47239</v>
      </c>
      <c r="AN7" s="45">
        <v>47270</v>
      </c>
      <c r="AO7" s="45">
        <v>47300</v>
      </c>
      <c r="AP7" s="45">
        <v>47331</v>
      </c>
      <c r="AQ7" s="45">
        <v>47362</v>
      </c>
      <c r="AR7" s="45">
        <v>47392</v>
      </c>
      <c r="AS7" s="45">
        <v>47423</v>
      </c>
      <c r="AT7" s="45">
        <v>47453</v>
      </c>
      <c r="AU7" s="45">
        <v>47484</v>
      </c>
      <c r="AV7" s="45">
        <v>47515</v>
      </c>
      <c r="AW7" s="45">
        <v>47543</v>
      </c>
      <c r="AX7" s="45">
        <v>47574</v>
      </c>
      <c r="AY7" s="45">
        <v>47604</v>
      </c>
      <c r="AZ7" s="45">
        <v>47635</v>
      </c>
      <c r="BA7" s="45">
        <v>47665</v>
      </c>
      <c r="BB7" s="45">
        <v>47696</v>
      </c>
      <c r="BC7" s="45">
        <v>47727</v>
      </c>
      <c r="BD7" s="45">
        <v>47757</v>
      </c>
      <c r="BE7" s="45">
        <v>47788</v>
      </c>
      <c r="BF7" s="45">
        <v>47818</v>
      </c>
      <c r="BG7" s="45">
        <v>47849</v>
      </c>
      <c r="BH7" s="45">
        <v>47880</v>
      </c>
      <c r="BI7" s="45">
        <v>47908</v>
      </c>
      <c r="BJ7" s="45">
        <v>47939</v>
      </c>
      <c r="BK7" s="45">
        <v>47969</v>
      </c>
      <c r="BL7" s="45">
        <v>48000</v>
      </c>
      <c r="BM7" s="32"/>
      <c r="BN7" s="32"/>
    </row>
    <row r="8" spans="1:66" ht="20" customHeight="1">
      <c r="A8" s="30"/>
      <c r="B8" s="30"/>
      <c r="C8" s="31" t="s">
        <v>234</v>
      </c>
      <c r="D8" s="31"/>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row>
    <row r="9" spans="1:66" ht="20" customHeight="1">
      <c r="A9" s="30"/>
      <c r="B9" s="30"/>
      <c r="C9" s="31" t="s">
        <v>235</v>
      </c>
      <c r="D9" s="31"/>
      <c r="E9" s="35">
        <f>(1)*(Assumptions!E143-Assumptions!F143)</f>
        <v>31.099999999999994</v>
      </c>
      <c r="F9" s="46">
        <f t="shared" ref="F9:AK9" si="0">E14</f>
        <v>28.508333333333329</v>
      </c>
      <c r="G9" s="46">
        <f t="shared" si="0"/>
        <v>25.387476341369261</v>
      </c>
      <c r="H9" s="46">
        <f t="shared" si="0"/>
        <v>22.821602806850787</v>
      </c>
      <c r="I9" s="46">
        <f t="shared" si="0"/>
        <v>20.285869161645145</v>
      </c>
      <c r="J9" s="46">
        <f t="shared" si="0"/>
        <v>17.750135516439503</v>
      </c>
      <c r="K9" s="46">
        <f t="shared" si="0"/>
        <v>15.214401871233861</v>
      </c>
      <c r="L9" s="46">
        <f t="shared" si="0"/>
        <v>12.678668226028217</v>
      </c>
      <c r="M9" s="46">
        <f t="shared" si="0"/>
        <v>10.142934580822573</v>
      </c>
      <c r="N9" s="46">
        <f t="shared" si="0"/>
        <v>7.6072009356169294</v>
      </c>
      <c r="O9" s="46">
        <f t="shared" si="0"/>
        <v>5.0714672904112863</v>
      </c>
      <c r="P9" s="46">
        <f t="shared" si="0"/>
        <v>2.5357336452056431</v>
      </c>
      <c r="Q9" s="46">
        <f t="shared" si="0"/>
        <v>0</v>
      </c>
      <c r="R9" s="46">
        <f t="shared" si="0"/>
        <v>0</v>
      </c>
      <c r="S9" s="46">
        <f t="shared" si="0"/>
        <v>0</v>
      </c>
      <c r="T9" s="46">
        <f t="shared" si="0"/>
        <v>0</v>
      </c>
      <c r="U9" s="46">
        <f t="shared" si="0"/>
        <v>0</v>
      </c>
      <c r="V9" s="46">
        <f t="shared" si="0"/>
        <v>0</v>
      </c>
      <c r="W9" s="46">
        <f t="shared" si="0"/>
        <v>0</v>
      </c>
      <c r="X9" s="46">
        <f t="shared" si="0"/>
        <v>0</v>
      </c>
      <c r="Y9" s="46">
        <f t="shared" si="0"/>
        <v>0</v>
      </c>
      <c r="Z9" s="46">
        <f t="shared" si="0"/>
        <v>0</v>
      </c>
      <c r="AA9" s="46">
        <f t="shared" si="0"/>
        <v>0</v>
      </c>
      <c r="AB9" s="46">
        <f t="shared" si="0"/>
        <v>0</v>
      </c>
      <c r="AC9" s="46">
        <f t="shared" si="0"/>
        <v>0</v>
      </c>
      <c r="AD9" s="46">
        <f t="shared" si="0"/>
        <v>0</v>
      </c>
      <c r="AE9" s="46">
        <f t="shared" si="0"/>
        <v>0</v>
      </c>
      <c r="AF9" s="46">
        <f t="shared" si="0"/>
        <v>0</v>
      </c>
      <c r="AG9" s="46">
        <f t="shared" si="0"/>
        <v>0</v>
      </c>
      <c r="AH9" s="46">
        <f t="shared" si="0"/>
        <v>0</v>
      </c>
      <c r="AI9" s="46">
        <f t="shared" si="0"/>
        <v>0</v>
      </c>
      <c r="AJ9" s="46">
        <f t="shared" si="0"/>
        <v>0</v>
      </c>
      <c r="AK9" s="46">
        <f t="shared" si="0"/>
        <v>0</v>
      </c>
      <c r="AL9" s="46">
        <f t="shared" ref="AL9:BL9" si="1">AK14</f>
        <v>0</v>
      </c>
      <c r="AM9" s="46">
        <f t="shared" si="1"/>
        <v>0</v>
      </c>
      <c r="AN9" s="46">
        <f t="shared" si="1"/>
        <v>0</v>
      </c>
      <c r="AO9" s="46">
        <f t="shared" si="1"/>
        <v>0</v>
      </c>
      <c r="AP9" s="46">
        <f t="shared" si="1"/>
        <v>0</v>
      </c>
      <c r="AQ9" s="46">
        <f t="shared" si="1"/>
        <v>0</v>
      </c>
      <c r="AR9" s="46">
        <f t="shared" si="1"/>
        <v>0</v>
      </c>
      <c r="AS9" s="46">
        <f t="shared" si="1"/>
        <v>0</v>
      </c>
      <c r="AT9" s="46">
        <f t="shared" si="1"/>
        <v>0</v>
      </c>
      <c r="AU9" s="46">
        <f t="shared" si="1"/>
        <v>0</v>
      </c>
      <c r="AV9" s="46">
        <f t="shared" si="1"/>
        <v>0</v>
      </c>
      <c r="AW9" s="46">
        <f t="shared" si="1"/>
        <v>0</v>
      </c>
      <c r="AX9" s="46">
        <f t="shared" si="1"/>
        <v>0</v>
      </c>
      <c r="AY9" s="46">
        <f t="shared" si="1"/>
        <v>0</v>
      </c>
      <c r="AZ9" s="46">
        <f t="shared" si="1"/>
        <v>0</v>
      </c>
      <c r="BA9" s="46">
        <f t="shared" si="1"/>
        <v>0</v>
      </c>
      <c r="BB9" s="46">
        <f t="shared" si="1"/>
        <v>0</v>
      </c>
      <c r="BC9" s="46">
        <f t="shared" si="1"/>
        <v>0</v>
      </c>
      <c r="BD9" s="46">
        <f t="shared" si="1"/>
        <v>0</v>
      </c>
      <c r="BE9" s="46">
        <f t="shared" si="1"/>
        <v>0</v>
      </c>
      <c r="BF9" s="46">
        <f t="shared" si="1"/>
        <v>0</v>
      </c>
      <c r="BG9" s="46">
        <f t="shared" si="1"/>
        <v>0</v>
      </c>
      <c r="BH9" s="46">
        <f t="shared" si="1"/>
        <v>0</v>
      </c>
      <c r="BI9" s="46">
        <f t="shared" si="1"/>
        <v>0</v>
      </c>
      <c r="BJ9" s="46">
        <f t="shared" si="1"/>
        <v>0</v>
      </c>
      <c r="BK9" s="46">
        <f t="shared" si="1"/>
        <v>0</v>
      </c>
      <c r="BL9" s="46">
        <f t="shared" si="1"/>
        <v>0</v>
      </c>
      <c r="BM9" s="32"/>
      <c r="BN9" s="32"/>
    </row>
    <row r="10" spans="1:66" ht="20" customHeight="1">
      <c r="A10" s="30"/>
      <c r="B10" s="30"/>
      <c r="C10" s="31" t="s">
        <v>236</v>
      </c>
      <c r="D10" s="31"/>
      <c r="E10" s="46">
        <f>0</f>
        <v>0</v>
      </c>
      <c r="F10" s="46">
        <f>0</f>
        <v>0</v>
      </c>
      <c r="G10" s="46">
        <f>0</f>
        <v>0</v>
      </c>
      <c r="H10" s="46">
        <f>0</f>
        <v>0</v>
      </c>
      <c r="I10" s="46">
        <f>0</f>
        <v>0</v>
      </c>
      <c r="J10" s="46">
        <f>0</f>
        <v>0</v>
      </c>
      <c r="K10" s="46">
        <f>0</f>
        <v>0</v>
      </c>
      <c r="L10" s="46">
        <f>0</f>
        <v>0</v>
      </c>
      <c r="M10" s="46">
        <f>0</f>
        <v>0</v>
      </c>
      <c r="N10" s="46">
        <f>0</f>
        <v>0</v>
      </c>
      <c r="O10" s="46">
        <f>0</f>
        <v>0</v>
      </c>
      <c r="P10" s="46">
        <f>0</f>
        <v>0</v>
      </c>
      <c r="Q10" s="46">
        <f>0</f>
        <v>0</v>
      </c>
      <c r="R10" s="46">
        <f>0</f>
        <v>0</v>
      </c>
      <c r="S10" s="46">
        <f>0</f>
        <v>0</v>
      </c>
      <c r="T10" s="46">
        <f>0</f>
        <v>0</v>
      </c>
      <c r="U10" s="46">
        <f>0</f>
        <v>0</v>
      </c>
      <c r="V10" s="46">
        <f>0</f>
        <v>0</v>
      </c>
      <c r="W10" s="46">
        <f>0</f>
        <v>0</v>
      </c>
      <c r="X10" s="46">
        <f>0</f>
        <v>0</v>
      </c>
      <c r="Y10" s="46">
        <f>0</f>
        <v>0</v>
      </c>
      <c r="Z10" s="46">
        <f>0</f>
        <v>0</v>
      </c>
      <c r="AA10" s="46">
        <f>0</f>
        <v>0</v>
      </c>
      <c r="AB10" s="46">
        <f>0</f>
        <v>0</v>
      </c>
      <c r="AC10" s="46">
        <f>0</f>
        <v>0</v>
      </c>
      <c r="AD10" s="46">
        <f>0</f>
        <v>0</v>
      </c>
      <c r="AE10" s="46">
        <f>0</f>
        <v>0</v>
      </c>
      <c r="AF10" s="46">
        <f>0</f>
        <v>0</v>
      </c>
      <c r="AG10" s="46">
        <f>0</f>
        <v>0</v>
      </c>
      <c r="AH10" s="46">
        <f>0</f>
        <v>0</v>
      </c>
      <c r="AI10" s="46">
        <f>0</f>
        <v>0</v>
      </c>
      <c r="AJ10" s="46">
        <f>0</f>
        <v>0</v>
      </c>
      <c r="AK10" s="46">
        <f>0</f>
        <v>0</v>
      </c>
      <c r="AL10" s="46">
        <f>0</f>
        <v>0</v>
      </c>
      <c r="AM10" s="46">
        <f>0</f>
        <v>0</v>
      </c>
      <c r="AN10" s="46">
        <f>0</f>
        <v>0</v>
      </c>
      <c r="AO10" s="46">
        <f>0</f>
        <v>0</v>
      </c>
      <c r="AP10" s="46">
        <f>0</f>
        <v>0</v>
      </c>
      <c r="AQ10" s="46">
        <f>0</f>
        <v>0</v>
      </c>
      <c r="AR10" s="46">
        <f>0</f>
        <v>0</v>
      </c>
      <c r="AS10" s="46">
        <f>0</f>
        <v>0</v>
      </c>
      <c r="AT10" s="46">
        <f>0</f>
        <v>0</v>
      </c>
      <c r="AU10" s="46">
        <f>0</f>
        <v>0</v>
      </c>
      <c r="AV10" s="46">
        <f>0</f>
        <v>0</v>
      </c>
      <c r="AW10" s="46">
        <f>0</f>
        <v>0</v>
      </c>
      <c r="AX10" s="46">
        <f>0</f>
        <v>0</v>
      </c>
      <c r="AY10" s="46">
        <f>0</f>
        <v>0</v>
      </c>
      <c r="AZ10" s="46">
        <f>0</f>
        <v>0</v>
      </c>
      <c r="BA10" s="46">
        <f>0</f>
        <v>0</v>
      </c>
      <c r="BB10" s="46">
        <f>0</f>
        <v>0</v>
      </c>
      <c r="BC10" s="46">
        <f>0</f>
        <v>0</v>
      </c>
      <c r="BD10" s="46">
        <f>0</f>
        <v>0</v>
      </c>
      <c r="BE10" s="46">
        <f>0</f>
        <v>0</v>
      </c>
      <c r="BF10" s="46">
        <f>0</f>
        <v>0</v>
      </c>
      <c r="BG10" s="46">
        <f>0</f>
        <v>0</v>
      </c>
      <c r="BH10" s="46">
        <f>0</f>
        <v>0</v>
      </c>
      <c r="BI10" s="46">
        <f>0</f>
        <v>0</v>
      </c>
      <c r="BJ10" s="46">
        <f>0</f>
        <v>0</v>
      </c>
      <c r="BK10" s="46">
        <f>0</f>
        <v>0</v>
      </c>
      <c r="BL10" s="46">
        <f>0</f>
        <v>0</v>
      </c>
      <c r="BM10" s="32"/>
      <c r="BN10" s="32"/>
    </row>
    <row r="11" spans="1:66" ht="20" customHeight="1">
      <c r="A11" s="30"/>
      <c r="B11" s="30"/>
      <c r="C11" s="31" t="s">
        <v>237</v>
      </c>
      <c r="D11" s="31"/>
      <c r="E11" s="46">
        <f>IF(0&lt;0,0,IF(12-(0-0)&gt;0,MIN(E9+E10,(E9+E10)/MAX(1,12-(0-0))),E9+E10))</f>
        <v>2.5916666666666663</v>
      </c>
      <c r="F11" s="46">
        <f>IF(1&lt;0,0,IF(12-(1-0)&gt;0,MIN(F9+F10,(F9+F10)/MAX(1,12-(1-0))),F9+F10))</f>
        <v>2.5916666666666663</v>
      </c>
      <c r="G11" s="46">
        <f>IF(2&lt;0,0,IF(12-(2-0)&gt;0,MIN(G9+G10,(G9+G10)/MAX(1,12-(2-0))),G9+G10))</f>
        <v>2.5387476341369259</v>
      </c>
      <c r="H11" s="46">
        <f>IF(3&lt;0,0,IF(12-(3-0)&gt;0,MIN(H9+H10,(H9+H10)/MAX(1,12-(3-0))),H9+H10))</f>
        <v>2.5357336452056431</v>
      </c>
      <c r="I11" s="46">
        <f>IF(4&lt;0,0,IF(12-(4-0)&gt;0,MIN(I9+I10,(I9+I10)/MAX(1,12-(4-0))),I9+I10))</f>
        <v>2.5357336452056431</v>
      </c>
      <c r="J11" s="46">
        <f>IF(5&lt;0,0,IF(12-(5-0)&gt;0,MIN(J9+J10,(J9+J10)/MAX(1,12-(5-0))),J9+J10))</f>
        <v>2.5357336452056431</v>
      </c>
      <c r="K11" s="46">
        <f>IF(6&lt;0,0,IF(12-(6-0)&gt;0,MIN(K9+K10,(K9+K10)/MAX(1,12-(6-0))),K9+K10))</f>
        <v>2.5357336452056436</v>
      </c>
      <c r="L11" s="46">
        <f>IF(7&lt;0,0,IF(12-(7-0)&gt;0,MIN(L9+L10,(L9+L10)/MAX(1,12-(7-0))),L9+L10))</f>
        <v>2.5357336452056431</v>
      </c>
      <c r="M11" s="46">
        <f>IF(8&lt;0,0,IF(12-(8-0)&gt;0,MIN(M9+M10,(M9+M10)/MAX(1,12-(8-0))),M9+M10))</f>
        <v>2.5357336452056431</v>
      </c>
      <c r="N11" s="46">
        <f>IF(9&lt;0,0,IF(12-(9-0)&gt;0,MIN(N9+N10,(N9+N10)/MAX(1,12-(9-0))),N9+N10))</f>
        <v>2.5357336452056431</v>
      </c>
      <c r="O11" s="46">
        <f>IF(10&lt;0,0,IF(12-(10-0)&gt;0,MIN(O9+O10,(O9+O10)/MAX(1,12-(10-0))),O9+O10))</f>
        <v>2.5357336452056431</v>
      </c>
      <c r="P11" s="46">
        <f>IF(11&lt;0,0,IF(12-(11-0)&gt;0,MIN(P9+P10,(P9+P10)/MAX(1,12-(11-0))),P9+P10))</f>
        <v>2.5357336452056431</v>
      </c>
      <c r="Q11" s="46">
        <f>IF(12&lt;0,0,IF(12-(12-0)&gt;0,MIN(Q9+Q10,(Q9+Q10)/MAX(1,12-(12-0))),Q9+Q10))</f>
        <v>0</v>
      </c>
      <c r="R11" s="46">
        <f>IF(13&lt;0,0,IF(12-(13-0)&gt;0,MIN(R9+R10,(R9+R10)/MAX(1,12-(13-0))),R9+R10))</f>
        <v>0</v>
      </c>
      <c r="S11" s="46">
        <f>IF(14&lt;0,0,IF(12-(14-0)&gt;0,MIN(S9+S10,(S9+S10)/MAX(1,12-(14-0))),S9+S10))</f>
        <v>0</v>
      </c>
      <c r="T11" s="46">
        <f>IF(15&lt;0,0,IF(12-(15-0)&gt;0,MIN(T9+T10,(T9+T10)/MAX(1,12-(15-0))),T9+T10))</f>
        <v>0</v>
      </c>
      <c r="U11" s="46">
        <f>IF(16&lt;0,0,IF(12-(16-0)&gt;0,MIN(U9+U10,(U9+U10)/MAX(1,12-(16-0))),U9+U10))</f>
        <v>0</v>
      </c>
      <c r="V11" s="46">
        <f>IF(17&lt;0,0,IF(12-(17-0)&gt;0,MIN(V9+V10,(V9+V10)/MAX(1,12-(17-0))),V9+V10))</f>
        <v>0</v>
      </c>
      <c r="W11" s="46">
        <f>IF(18&lt;0,0,IF(12-(18-0)&gt;0,MIN(W9+W10,(W9+W10)/MAX(1,12-(18-0))),W9+W10))</f>
        <v>0</v>
      </c>
      <c r="X11" s="46">
        <f>IF(19&lt;0,0,IF(12-(19-0)&gt;0,MIN(X9+X10,(X9+X10)/MAX(1,12-(19-0))),X9+X10))</f>
        <v>0</v>
      </c>
      <c r="Y11" s="46">
        <f>IF(20&lt;0,0,IF(12-(20-0)&gt;0,MIN(Y9+Y10,(Y9+Y10)/MAX(1,12-(20-0))),Y9+Y10))</f>
        <v>0</v>
      </c>
      <c r="Z11" s="46">
        <f>IF(21&lt;0,0,IF(12-(21-0)&gt;0,MIN(Z9+Z10,(Z9+Z10)/MAX(1,12-(21-0))),Z9+Z10))</f>
        <v>0</v>
      </c>
      <c r="AA11" s="46">
        <f>IF(22&lt;0,0,IF(12-(22-0)&gt;0,MIN(AA9+AA10,(AA9+AA10)/MAX(1,12-(22-0))),AA9+AA10))</f>
        <v>0</v>
      </c>
      <c r="AB11" s="46">
        <f>IF(23&lt;0,0,IF(12-(23-0)&gt;0,MIN(AB9+AB10,(AB9+AB10)/MAX(1,12-(23-0))),AB9+AB10))</f>
        <v>0</v>
      </c>
      <c r="AC11" s="46">
        <f>IF(24&lt;0,0,IF(12-(24-0)&gt;0,MIN(AC9+AC10,(AC9+AC10)/MAX(1,12-(24-0))),AC9+AC10))</f>
        <v>0</v>
      </c>
      <c r="AD11" s="46">
        <f>IF(25&lt;0,0,IF(12-(25-0)&gt;0,MIN(AD9+AD10,(AD9+AD10)/MAX(1,12-(25-0))),AD9+AD10))</f>
        <v>0</v>
      </c>
      <c r="AE11" s="46">
        <f>IF(26&lt;0,0,IF(12-(26-0)&gt;0,MIN(AE9+AE10,(AE9+AE10)/MAX(1,12-(26-0))),AE9+AE10))</f>
        <v>0</v>
      </c>
      <c r="AF11" s="46">
        <f>IF(27&lt;0,0,IF(12-(27-0)&gt;0,MIN(AF9+AF10,(AF9+AF10)/MAX(1,12-(27-0))),AF9+AF10))</f>
        <v>0</v>
      </c>
      <c r="AG11" s="46">
        <f>IF(28&lt;0,0,IF(12-(28-0)&gt;0,MIN(AG9+AG10,(AG9+AG10)/MAX(1,12-(28-0))),AG9+AG10))</f>
        <v>0</v>
      </c>
      <c r="AH11" s="46">
        <f>IF(29&lt;0,0,IF(12-(29-0)&gt;0,MIN(AH9+AH10,(AH9+AH10)/MAX(1,12-(29-0))),AH9+AH10))</f>
        <v>0</v>
      </c>
      <c r="AI11" s="46">
        <f>IF(30&lt;0,0,IF(12-(30-0)&gt;0,MIN(AI9+AI10,(AI9+AI10)/MAX(1,12-(30-0))),AI9+AI10))</f>
        <v>0</v>
      </c>
      <c r="AJ11" s="46">
        <f>IF(31&lt;0,0,IF(12-(31-0)&gt;0,MIN(AJ9+AJ10,(AJ9+AJ10)/MAX(1,12-(31-0))),AJ9+AJ10))</f>
        <v>0</v>
      </c>
      <c r="AK11" s="46">
        <f>IF(32&lt;0,0,IF(12-(32-0)&gt;0,MIN(AK9+AK10,(AK9+AK10)/MAX(1,12-(32-0))),AK9+AK10))</f>
        <v>0</v>
      </c>
      <c r="AL11" s="46">
        <f>IF(33&lt;0,0,IF(12-(33-0)&gt;0,MIN(AL9+AL10,(AL9+AL10)/MAX(1,12-(33-0))),AL9+AL10))</f>
        <v>0</v>
      </c>
      <c r="AM11" s="46">
        <f>IF(34&lt;0,0,IF(12-(34-0)&gt;0,MIN(AM9+AM10,(AM9+AM10)/MAX(1,12-(34-0))),AM9+AM10))</f>
        <v>0</v>
      </c>
      <c r="AN11" s="46">
        <f>IF(35&lt;0,0,IF(12-(35-0)&gt;0,MIN(AN9+AN10,(AN9+AN10)/MAX(1,12-(35-0))),AN9+AN10))</f>
        <v>0</v>
      </c>
      <c r="AO11" s="46">
        <f>IF(36&lt;0,0,IF(12-(36-0)&gt;0,MIN(AO9+AO10,(AO9+AO10)/MAX(1,12-(36-0))),AO9+AO10))</f>
        <v>0</v>
      </c>
      <c r="AP11" s="46">
        <f>IF(37&lt;0,0,IF(12-(37-0)&gt;0,MIN(AP9+AP10,(AP9+AP10)/MAX(1,12-(37-0))),AP9+AP10))</f>
        <v>0</v>
      </c>
      <c r="AQ11" s="46">
        <f>IF(38&lt;0,0,IF(12-(38-0)&gt;0,MIN(AQ9+AQ10,(AQ9+AQ10)/MAX(1,12-(38-0))),AQ9+AQ10))</f>
        <v>0</v>
      </c>
      <c r="AR11" s="46">
        <f>IF(39&lt;0,0,IF(12-(39-0)&gt;0,MIN(AR9+AR10,(AR9+AR10)/MAX(1,12-(39-0))),AR9+AR10))</f>
        <v>0</v>
      </c>
      <c r="AS11" s="46">
        <f>IF(40&lt;0,0,IF(12-(40-0)&gt;0,MIN(AS9+AS10,(AS9+AS10)/MAX(1,12-(40-0))),AS9+AS10))</f>
        <v>0</v>
      </c>
      <c r="AT11" s="46">
        <f>IF(41&lt;0,0,IF(12-(41-0)&gt;0,MIN(AT9+AT10,(AT9+AT10)/MAX(1,12-(41-0))),AT9+AT10))</f>
        <v>0</v>
      </c>
      <c r="AU11" s="46">
        <f>IF(42&lt;0,0,IF(12-(42-0)&gt;0,MIN(AU9+AU10,(AU9+AU10)/MAX(1,12-(42-0))),AU9+AU10))</f>
        <v>0</v>
      </c>
      <c r="AV11" s="46">
        <f>IF(43&lt;0,0,IF(12-(43-0)&gt;0,MIN(AV9+AV10,(AV9+AV10)/MAX(1,12-(43-0))),AV9+AV10))</f>
        <v>0</v>
      </c>
      <c r="AW11" s="46">
        <f>IF(44&lt;0,0,IF(12-(44-0)&gt;0,MIN(AW9+AW10,(AW9+AW10)/MAX(1,12-(44-0))),AW9+AW10))</f>
        <v>0</v>
      </c>
      <c r="AX11" s="46">
        <f>IF(45&lt;0,0,IF(12-(45-0)&gt;0,MIN(AX9+AX10,(AX9+AX10)/MAX(1,12-(45-0))),AX9+AX10))</f>
        <v>0</v>
      </c>
      <c r="AY11" s="46">
        <f>IF(46&lt;0,0,IF(12-(46-0)&gt;0,MIN(AY9+AY10,(AY9+AY10)/MAX(1,12-(46-0))),AY9+AY10))</f>
        <v>0</v>
      </c>
      <c r="AZ11" s="46">
        <f>IF(47&lt;0,0,IF(12-(47-0)&gt;0,MIN(AZ9+AZ10,(AZ9+AZ10)/MAX(1,12-(47-0))),AZ9+AZ10))</f>
        <v>0</v>
      </c>
      <c r="BA11" s="46">
        <f>IF(48&lt;0,0,IF(12-(48-0)&gt;0,MIN(BA9+BA10,(BA9+BA10)/MAX(1,12-(48-0))),BA9+BA10))</f>
        <v>0</v>
      </c>
      <c r="BB11" s="46">
        <f>IF(49&lt;0,0,IF(12-(49-0)&gt;0,MIN(BB9+BB10,(BB9+BB10)/MAX(1,12-(49-0))),BB9+BB10))</f>
        <v>0</v>
      </c>
      <c r="BC11" s="46">
        <f>IF(50&lt;0,0,IF(12-(50-0)&gt;0,MIN(BC9+BC10,(BC9+BC10)/MAX(1,12-(50-0))),BC9+BC10))</f>
        <v>0</v>
      </c>
      <c r="BD11" s="46">
        <f>IF(51&lt;0,0,IF(12-(51-0)&gt;0,MIN(BD9+BD10,(BD9+BD10)/MAX(1,12-(51-0))),BD9+BD10))</f>
        <v>0</v>
      </c>
      <c r="BE11" s="46">
        <f>IF(52&lt;0,0,IF(12-(52-0)&gt;0,MIN(BE9+BE10,(BE9+BE10)/MAX(1,12-(52-0))),BE9+BE10))</f>
        <v>0</v>
      </c>
      <c r="BF11" s="46">
        <f>IF(53&lt;0,0,IF(12-(53-0)&gt;0,MIN(BF9+BF10,(BF9+BF10)/MAX(1,12-(53-0))),BF9+BF10))</f>
        <v>0</v>
      </c>
      <c r="BG11" s="46">
        <f>IF(54&lt;0,0,IF(12-(54-0)&gt;0,MIN(BG9+BG10,(BG9+BG10)/MAX(1,12-(54-0))),BG9+BG10))</f>
        <v>0</v>
      </c>
      <c r="BH11" s="46">
        <f>IF(55&lt;0,0,IF(12-(55-0)&gt;0,MIN(BH9+BH10,(BH9+BH10)/MAX(1,12-(55-0))),BH9+BH10))</f>
        <v>0</v>
      </c>
      <c r="BI11" s="46">
        <f>IF(56&lt;0,0,IF(12-(56-0)&gt;0,MIN(BI9+BI10,(BI9+BI10)/MAX(1,12-(56-0))),BI9+BI10))</f>
        <v>0</v>
      </c>
      <c r="BJ11" s="46">
        <f>IF(57&lt;0,0,IF(12-(57-0)&gt;0,MIN(BJ9+BJ10,(BJ9+BJ10)/MAX(1,12-(57-0))),BJ9+BJ10))</f>
        <v>0</v>
      </c>
      <c r="BK11" s="46">
        <f>IF(58&lt;0,0,IF(12-(58-0)&gt;0,MIN(BK9+BK10,(BK9+BK10)/MAX(1,12-(58-0))),BK9+BK10))</f>
        <v>0</v>
      </c>
      <c r="BL11" s="46">
        <f>IF(59&lt;0,0,IF(12-(59-0)&gt;0,MIN(BL9+BL10,(BL9+BL10)/MAX(1,12-(59-0))),BL9+BL10))</f>
        <v>0</v>
      </c>
      <c r="BM11" s="32"/>
      <c r="BN11" s="32"/>
    </row>
    <row r="12" spans="1:66" ht="20" customHeight="1">
      <c r="A12" s="30"/>
      <c r="B12" s="30"/>
      <c r="C12" s="31" t="s">
        <v>238</v>
      </c>
      <c r="D12" s="31"/>
      <c r="E12" s="46">
        <f t="shared" ref="E12:AJ12" si="2">E9+E10-E11</f>
        <v>28.508333333333329</v>
      </c>
      <c r="F12" s="46">
        <f t="shared" si="2"/>
        <v>25.916666666666664</v>
      </c>
      <c r="G12" s="46">
        <f t="shared" si="2"/>
        <v>22.848728707232336</v>
      </c>
      <c r="H12" s="46">
        <f t="shared" si="2"/>
        <v>20.285869161645145</v>
      </c>
      <c r="I12" s="46">
        <f t="shared" si="2"/>
        <v>17.750135516439503</v>
      </c>
      <c r="J12" s="46">
        <f t="shared" si="2"/>
        <v>15.214401871233861</v>
      </c>
      <c r="K12" s="46">
        <f t="shared" si="2"/>
        <v>12.678668226028217</v>
      </c>
      <c r="L12" s="46">
        <f t="shared" si="2"/>
        <v>10.142934580822573</v>
      </c>
      <c r="M12" s="46">
        <f t="shared" si="2"/>
        <v>7.6072009356169294</v>
      </c>
      <c r="N12" s="46">
        <f t="shared" si="2"/>
        <v>5.0714672904112863</v>
      </c>
      <c r="O12" s="46">
        <f t="shared" si="2"/>
        <v>2.5357336452056431</v>
      </c>
      <c r="P12" s="46">
        <f t="shared" si="2"/>
        <v>0</v>
      </c>
      <c r="Q12" s="46">
        <f t="shared" si="2"/>
        <v>0</v>
      </c>
      <c r="R12" s="46">
        <f t="shared" si="2"/>
        <v>0</v>
      </c>
      <c r="S12" s="46">
        <f t="shared" si="2"/>
        <v>0</v>
      </c>
      <c r="T12" s="46">
        <f t="shared" si="2"/>
        <v>0</v>
      </c>
      <c r="U12" s="46">
        <f t="shared" si="2"/>
        <v>0</v>
      </c>
      <c r="V12" s="46">
        <f t="shared" si="2"/>
        <v>0</v>
      </c>
      <c r="W12" s="46">
        <f t="shared" si="2"/>
        <v>0</v>
      </c>
      <c r="X12" s="46">
        <f t="shared" si="2"/>
        <v>0</v>
      </c>
      <c r="Y12" s="46">
        <f t="shared" si="2"/>
        <v>0</v>
      </c>
      <c r="Z12" s="46">
        <f t="shared" si="2"/>
        <v>0</v>
      </c>
      <c r="AA12" s="46">
        <f t="shared" si="2"/>
        <v>0</v>
      </c>
      <c r="AB12" s="46">
        <f t="shared" si="2"/>
        <v>0</v>
      </c>
      <c r="AC12" s="46">
        <f t="shared" si="2"/>
        <v>0</v>
      </c>
      <c r="AD12" s="46">
        <f t="shared" si="2"/>
        <v>0</v>
      </c>
      <c r="AE12" s="46">
        <f t="shared" si="2"/>
        <v>0</v>
      </c>
      <c r="AF12" s="46">
        <f t="shared" si="2"/>
        <v>0</v>
      </c>
      <c r="AG12" s="46">
        <f t="shared" si="2"/>
        <v>0</v>
      </c>
      <c r="AH12" s="46">
        <f t="shared" si="2"/>
        <v>0</v>
      </c>
      <c r="AI12" s="46">
        <f t="shared" si="2"/>
        <v>0</v>
      </c>
      <c r="AJ12" s="46">
        <f t="shared" si="2"/>
        <v>0</v>
      </c>
      <c r="AK12" s="46">
        <f t="shared" ref="AK12:BP12" si="3">AK9+AK10-AK11</f>
        <v>0</v>
      </c>
      <c r="AL12" s="46">
        <f t="shared" si="3"/>
        <v>0</v>
      </c>
      <c r="AM12" s="46">
        <f t="shared" si="3"/>
        <v>0</v>
      </c>
      <c r="AN12" s="46">
        <f t="shared" si="3"/>
        <v>0</v>
      </c>
      <c r="AO12" s="46">
        <f t="shared" si="3"/>
        <v>0</v>
      </c>
      <c r="AP12" s="46">
        <f t="shared" si="3"/>
        <v>0</v>
      </c>
      <c r="AQ12" s="46">
        <f t="shared" si="3"/>
        <v>0</v>
      </c>
      <c r="AR12" s="46">
        <f t="shared" si="3"/>
        <v>0</v>
      </c>
      <c r="AS12" s="46">
        <f t="shared" si="3"/>
        <v>0</v>
      </c>
      <c r="AT12" s="46">
        <f t="shared" si="3"/>
        <v>0</v>
      </c>
      <c r="AU12" s="46">
        <f t="shared" si="3"/>
        <v>0</v>
      </c>
      <c r="AV12" s="46">
        <f t="shared" si="3"/>
        <v>0</v>
      </c>
      <c r="AW12" s="46">
        <f t="shared" si="3"/>
        <v>0</v>
      </c>
      <c r="AX12" s="46">
        <f t="shared" si="3"/>
        <v>0</v>
      </c>
      <c r="AY12" s="46">
        <f t="shared" si="3"/>
        <v>0</v>
      </c>
      <c r="AZ12" s="46">
        <f t="shared" si="3"/>
        <v>0</v>
      </c>
      <c r="BA12" s="46">
        <f t="shared" si="3"/>
        <v>0</v>
      </c>
      <c r="BB12" s="46">
        <f t="shared" si="3"/>
        <v>0</v>
      </c>
      <c r="BC12" s="46">
        <f t="shared" si="3"/>
        <v>0</v>
      </c>
      <c r="BD12" s="46">
        <f t="shared" si="3"/>
        <v>0</v>
      </c>
      <c r="BE12" s="46">
        <f t="shared" si="3"/>
        <v>0</v>
      </c>
      <c r="BF12" s="46">
        <f t="shared" si="3"/>
        <v>0</v>
      </c>
      <c r="BG12" s="46">
        <f t="shared" si="3"/>
        <v>0</v>
      </c>
      <c r="BH12" s="46">
        <f t="shared" si="3"/>
        <v>0</v>
      </c>
      <c r="BI12" s="46">
        <f t="shared" si="3"/>
        <v>0</v>
      </c>
      <c r="BJ12" s="46">
        <f t="shared" si="3"/>
        <v>0</v>
      </c>
      <c r="BK12" s="46">
        <f t="shared" si="3"/>
        <v>0</v>
      </c>
      <c r="BL12" s="46">
        <f t="shared" si="3"/>
        <v>0</v>
      </c>
      <c r="BM12" s="32"/>
      <c r="BN12" s="32"/>
    </row>
    <row r="13" spans="1:66" ht="20" customHeight="1">
      <c r="A13" s="30"/>
      <c r="B13" s="30"/>
      <c r="C13" s="31" t="s">
        <v>239</v>
      </c>
      <c r="D13" s="31"/>
      <c r="E13" s="35">
        <f>IF(E91&gt;0,E12/E91*Transfers!E24,0)</f>
        <v>0</v>
      </c>
      <c r="F13" s="35">
        <f>IF(F91&gt;0,F12/F91*Transfers!F24,0)</f>
        <v>0.52919032529740195</v>
      </c>
      <c r="G13" s="35">
        <f>IF(G91&gt;0,G12/G91*Transfers!G24,0)</f>
        <v>2.7125900381548537E-2</v>
      </c>
      <c r="H13" s="35">
        <f>IF(H91&gt;0,H12/H91*Transfers!H24,0)</f>
        <v>0</v>
      </c>
      <c r="I13" s="35">
        <f>IF(I91&gt;0,I12/I91*Transfers!I24,0)</f>
        <v>0</v>
      </c>
      <c r="J13" s="35">
        <f>IF(J91&gt;0,J12/J91*Transfers!J24,0)</f>
        <v>0</v>
      </c>
      <c r="K13" s="35">
        <f>IF(K91&gt;0,K12/K91*Transfers!K24,0)</f>
        <v>0</v>
      </c>
      <c r="L13" s="35">
        <f>IF(L91&gt;0,L12/L91*Transfers!L24,0)</f>
        <v>0</v>
      </c>
      <c r="M13" s="35">
        <f>IF(M91&gt;0,M12/M91*Transfers!M24,0)</f>
        <v>0</v>
      </c>
      <c r="N13" s="35">
        <f>IF(N91&gt;0,N12/N91*Transfers!N24,0)</f>
        <v>0</v>
      </c>
      <c r="O13" s="35">
        <f>IF(O91&gt;0,O12/O91*Transfers!O24,0)</f>
        <v>0</v>
      </c>
      <c r="P13" s="35">
        <f>IF(P91&gt;0,P12/P91*Transfers!P24,0)</f>
        <v>0</v>
      </c>
      <c r="Q13" s="35">
        <f>IF(Q91&gt;0,Q12/Q91*Transfers!Q24,0)</f>
        <v>0</v>
      </c>
      <c r="R13" s="35">
        <f>IF(R91&gt;0,R12/R91*Transfers!R24,0)</f>
        <v>0</v>
      </c>
      <c r="S13" s="35">
        <f>IF(S91&gt;0,S12/S91*Transfers!S24,0)</f>
        <v>0</v>
      </c>
      <c r="T13" s="35">
        <f>IF(T91&gt;0,T12/T91*Transfers!T24,0)</f>
        <v>0</v>
      </c>
      <c r="U13" s="35">
        <f>IF(U91&gt;0,U12/U91*Transfers!U24,0)</f>
        <v>0</v>
      </c>
      <c r="V13" s="35">
        <f>IF(V91&gt;0,V12/V91*Transfers!V24,0)</f>
        <v>0</v>
      </c>
      <c r="W13" s="35">
        <f>IF(W91&gt;0,W12/W91*Transfers!W24,0)</f>
        <v>0</v>
      </c>
      <c r="X13" s="35">
        <f>IF(X91&gt;0,X12/X91*Transfers!X24,0)</f>
        <v>0</v>
      </c>
      <c r="Y13" s="35">
        <f>IF(Y91&gt;0,Y12/Y91*Transfers!Y24,0)</f>
        <v>0</v>
      </c>
      <c r="Z13" s="35">
        <f>IF(Z91&gt;0,Z12/Z91*Transfers!Z24,0)</f>
        <v>0</v>
      </c>
      <c r="AA13" s="35">
        <f>IF(AA91&gt;0,AA12/AA91*Transfers!AA24,0)</f>
        <v>0</v>
      </c>
      <c r="AB13" s="35">
        <f>IF(AB91&gt;0,AB12/AB91*Transfers!AB24,0)</f>
        <v>0</v>
      </c>
      <c r="AC13" s="35">
        <f>IF(AC91&gt;0,AC12/AC91*Transfers!AC24,0)</f>
        <v>0</v>
      </c>
      <c r="AD13" s="35">
        <f>IF(AD91&gt;0,AD12/AD91*Transfers!AD24,0)</f>
        <v>0</v>
      </c>
      <c r="AE13" s="35">
        <f>IF(AE91&gt;0,AE12/AE91*Transfers!AE24,0)</f>
        <v>0</v>
      </c>
      <c r="AF13" s="35">
        <f>IF(AF91&gt;0,AF12/AF91*Transfers!AF24,0)</f>
        <v>0</v>
      </c>
      <c r="AG13" s="35">
        <f>IF(AG91&gt;0,AG12/AG91*Transfers!AG24,0)</f>
        <v>0</v>
      </c>
      <c r="AH13" s="35">
        <f>IF(AH91&gt;0,AH12/AH91*Transfers!AH24,0)</f>
        <v>0</v>
      </c>
      <c r="AI13" s="35">
        <f>IF(AI91&gt;0,AI12/AI91*Transfers!AI24,0)</f>
        <v>0</v>
      </c>
      <c r="AJ13" s="35">
        <f>IF(AJ91&gt;0,AJ12/AJ91*Transfers!AJ24,0)</f>
        <v>0</v>
      </c>
      <c r="AK13" s="35">
        <f>IF(AK91&gt;0,AK12/AK91*Transfers!AK24,0)</f>
        <v>0</v>
      </c>
      <c r="AL13" s="35">
        <f>IF(AL91&gt;0,AL12/AL91*Transfers!AL24,0)</f>
        <v>0</v>
      </c>
      <c r="AM13" s="35">
        <f>IF(AM91&gt;0,AM12/AM91*Transfers!AM24,0)</f>
        <v>0</v>
      </c>
      <c r="AN13" s="35">
        <f>IF(AN91&gt;0,AN12/AN91*Transfers!AN24,0)</f>
        <v>0</v>
      </c>
      <c r="AO13" s="35">
        <f>IF(AO91&gt;0,AO12/AO91*Transfers!AO24,0)</f>
        <v>0</v>
      </c>
      <c r="AP13" s="35">
        <f>IF(AP91&gt;0,AP12/AP91*Transfers!AP24,0)</f>
        <v>0</v>
      </c>
      <c r="AQ13" s="35">
        <f>IF(AQ91&gt;0,AQ12/AQ91*Transfers!AQ24,0)</f>
        <v>0</v>
      </c>
      <c r="AR13" s="35">
        <f>IF(AR91&gt;0,AR12/AR91*Transfers!AR24,0)</f>
        <v>0</v>
      </c>
      <c r="AS13" s="35">
        <f>IF(AS91&gt;0,AS12/AS91*Transfers!AS24,0)</f>
        <v>0</v>
      </c>
      <c r="AT13" s="35">
        <f>IF(AT91&gt;0,AT12/AT91*Transfers!AT24,0)</f>
        <v>0</v>
      </c>
      <c r="AU13" s="35">
        <f>IF(AU91&gt;0,AU12/AU91*Transfers!AU24,0)</f>
        <v>0</v>
      </c>
      <c r="AV13" s="35">
        <f>IF(AV91&gt;0,AV12/AV91*Transfers!AV24,0)</f>
        <v>0</v>
      </c>
      <c r="AW13" s="35">
        <f>IF(AW91&gt;0,AW12/AW91*Transfers!AW24,0)</f>
        <v>0</v>
      </c>
      <c r="AX13" s="35">
        <f>IF(AX91&gt;0,AX12/AX91*Transfers!AX24,0)</f>
        <v>0</v>
      </c>
      <c r="AY13" s="35">
        <f>IF(AY91&gt;0,AY12/AY91*Transfers!AY24,0)</f>
        <v>0</v>
      </c>
      <c r="AZ13" s="35">
        <f>IF(AZ91&gt;0,AZ12/AZ91*Transfers!AZ24,0)</f>
        <v>0</v>
      </c>
      <c r="BA13" s="35">
        <f>IF(BA91&gt;0,BA12/BA91*Transfers!BA24,0)</f>
        <v>0</v>
      </c>
      <c r="BB13" s="35">
        <f>IF(BB91&gt;0,BB12/BB91*Transfers!BB24,0)</f>
        <v>0</v>
      </c>
      <c r="BC13" s="35">
        <f>IF(BC91&gt;0,BC12/BC91*Transfers!BC24,0)</f>
        <v>0</v>
      </c>
      <c r="BD13" s="35">
        <f>IF(BD91&gt;0,BD12/BD91*Transfers!BD24,0)</f>
        <v>0</v>
      </c>
      <c r="BE13" s="35">
        <f>IF(BE91&gt;0,BE12/BE91*Transfers!BE24,0)</f>
        <v>0</v>
      </c>
      <c r="BF13" s="35">
        <f>IF(BF91&gt;0,BF12/BF91*Transfers!BF24,0)</f>
        <v>0</v>
      </c>
      <c r="BG13" s="35">
        <f>IF(BG91&gt;0,BG12/BG91*Transfers!BG24,0)</f>
        <v>0</v>
      </c>
      <c r="BH13" s="35">
        <f>IF(BH91&gt;0,BH12/BH91*Transfers!BH24,0)</f>
        <v>0</v>
      </c>
      <c r="BI13" s="35">
        <f>IF(BI91&gt;0,BI12/BI91*Transfers!BI24,0)</f>
        <v>0</v>
      </c>
      <c r="BJ13" s="35">
        <f>IF(BJ91&gt;0,BJ12/BJ91*Transfers!BJ24,0)</f>
        <v>0</v>
      </c>
      <c r="BK13" s="35">
        <f>IF(BK91&gt;0,BK12/BK91*Transfers!BK24,0)</f>
        <v>0</v>
      </c>
      <c r="BL13" s="35">
        <f>IF(BL91&gt;0,BL12/BL91*Transfers!BL24,0)</f>
        <v>0</v>
      </c>
      <c r="BM13" s="32"/>
      <c r="BN13" s="32"/>
    </row>
    <row r="14" spans="1:66" ht="20" customHeight="1">
      <c r="A14" s="30"/>
      <c r="B14" s="30"/>
      <c r="C14" s="31" t="s">
        <v>240</v>
      </c>
      <c r="D14" s="31"/>
      <c r="E14" s="46">
        <f t="shared" ref="E14:AJ14" si="4">E12-E13</f>
        <v>28.508333333333329</v>
      </c>
      <c r="F14" s="46">
        <f t="shared" si="4"/>
        <v>25.387476341369261</v>
      </c>
      <c r="G14" s="46">
        <f t="shared" si="4"/>
        <v>22.821602806850787</v>
      </c>
      <c r="H14" s="46">
        <f t="shared" si="4"/>
        <v>20.285869161645145</v>
      </c>
      <c r="I14" s="46">
        <f t="shared" si="4"/>
        <v>17.750135516439503</v>
      </c>
      <c r="J14" s="46">
        <f t="shared" si="4"/>
        <v>15.214401871233861</v>
      </c>
      <c r="K14" s="46">
        <f t="shared" si="4"/>
        <v>12.678668226028217</v>
      </c>
      <c r="L14" s="46">
        <f t="shared" si="4"/>
        <v>10.142934580822573</v>
      </c>
      <c r="M14" s="46">
        <f t="shared" si="4"/>
        <v>7.6072009356169294</v>
      </c>
      <c r="N14" s="46">
        <f t="shared" si="4"/>
        <v>5.0714672904112863</v>
      </c>
      <c r="O14" s="46">
        <f t="shared" si="4"/>
        <v>2.5357336452056431</v>
      </c>
      <c r="P14" s="46">
        <f t="shared" si="4"/>
        <v>0</v>
      </c>
      <c r="Q14" s="46">
        <f t="shared" si="4"/>
        <v>0</v>
      </c>
      <c r="R14" s="46">
        <f t="shared" si="4"/>
        <v>0</v>
      </c>
      <c r="S14" s="46">
        <f t="shared" si="4"/>
        <v>0</v>
      </c>
      <c r="T14" s="46">
        <f t="shared" si="4"/>
        <v>0</v>
      </c>
      <c r="U14" s="46">
        <f t="shared" si="4"/>
        <v>0</v>
      </c>
      <c r="V14" s="46">
        <f t="shared" si="4"/>
        <v>0</v>
      </c>
      <c r="W14" s="46">
        <f t="shared" si="4"/>
        <v>0</v>
      </c>
      <c r="X14" s="46">
        <f t="shared" si="4"/>
        <v>0</v>
      </c>
      <c r="Y14" s="46">
        <f t="shared" si="4"/>
        <v>0</v>
      </c>
      <c r="Z14" s="46">
        <f t="shared" si="4"/>
        <v>0</v>
      </c>
      <c r="AA14" s="46">
        <f t="shared" si="4"/>
        <v>0</v>
      </c>
      <c r="AB14" s="46">
        <f t="shared" si="4"/>
        <v>0</v>
      </c>
      <c r="AC14" s="46">
        <f t="shared" si="4"/>
        <v>0</v>
      </c>
      <c r="AD14" s="46">
        <f t="shared" si="4"/>
        <v>0</v>
      </c>
      <c r="AE14" s="46">
        <f t="shared" si="4"/>
        <v>0</v>
      </c>
      <c r="AF14" s="46">
        <f t="shared" si="4"/>
        <v>0</v>
      </c>
      <c r="AG14" s="46">
        <f t="shared" si="4"/>
        <v>0</v>
      </c>
      <c r="AH14" s="46">
        <f t="shared" si="4"/>
        <v>0</v>
      </c>
      <c r="AI14" s="46">
        <f t="shared" si="4"/>
        <v>0</v>
      </c>
      <c r="AJ14" s="46">
        <f t="shared" si="4"/>
        <v>0</v>
      </c>
      <c r="AK14" s="46">
        <f t="shared" ref="AK14:BP14" si="5">AK12-AK13</f>
        <v>0</v>
      </c>
      <c r="AL14" s="46">
        <f t="shared" si="5"/>
        <v>0</v>
      </c>
      <c r="AM14" s="46">
        <f t="shared" si="5"/>
        <v>0</v>
      </c>
      <c r="AN14" s="46">
        <f t="shared" si="5"/>
        <v>0</v>
      </c>
      <c r="AO14" s="46">
        <f t="shared" si="5"/>
        <v>0</v>
      </c>
      <c r="AP14" s="46">
        <f t="shared" si="5"/>
        <v>0</v>
      </c>
      <c r="AQ14" s="46">
        <f t="shared" si="5"/>
        <v>0</v>
      </c>
      <c r="AR14" s="46">
        <f t="shared" si="5"/>
        <v>0</v>
      </c>
      <c r="AS14" s="46">
        <f t="shared" si="5"/>
        <v>0</v>
      </c>
      <c r="AT14" s="46">
        <f t="shared" si="5"/>
        <v>0</v>
      </c>
      <c r="AU14" s="46">
        <f t="shared" si="5"/>
        <v>0</v>
      </c>
      <c r="AV14" s="46">
        <f t="shared" si="5"/>
        <v>0</v>
      </c>
      <c r="AW14" s="46">
        <f t="shared" si="5"/>
        <v>0</v>
      </c>
      <c r="AX14" s="46">
        <f t="shared" si="5"/>
        <v>0</v>
      </c>
      <c r="AY14" s="46">
        <f t="shared" si="5"/>
        <v>0</v>
      </c>
      <c r="AZ14" s="46">
        <f t="shared" si="5"/>
        <v>0</v>
      </c>
      <c r="BA14" s="46">
        <f t="shared" si="5"/>
        <v>0</v>
      </c>
      <c r="BB14" s="46">
        <f t="shared" si="5"/>
        <v>0</v>
      </c>
      <c r="BC14" s="46">
        <f t="shared" si="5"/>
        <v>0</v>
      </c>
      <c r="BD14" s="46">
        <f t="shared" si="5"/>
        <v>0</v>
      </c>
      <c r="BE14" s="46">
        <f t="shared" si="5"/>
        <v>0</v>
      </c>
      <c r="BF14" s="46">
        <f t="shared" si="5"/>
        <v>0</v>
      </c>
      <c r="BG14" s="46">
        <f t="shared" si="5"/>
        <v>0</v>
      </c>
      <c r="BH14" s="46">
        <f t="shared" si="5"/>
        <v>0</v>
      </c>
      <c r="BI14" s="46">
        <f t="shared" si="5"/>
        <v>0</v>
      </c>
      <c r="BJ14" s="46">
        <f t="shared" si="5"/>
        <v>0</v>
      </c>
      <c r="BK14" s="46">
        <f t="shared" si="5"/>
        <v>0</v>
      </c>
      <c r="BL14" s="46">
        <f t="shared" si="5"/>
        <v>0</v>
      </c>
      <c r="BM14" s="32"/>
      <c r="BN14" s="32"/>
    </row>
    <row r="15" spans="1:66" ht="20" customHeight="1">
      <c r="A15" s="30"/>
      <c r="B15" s="30"/>
      <c r="C15" s="31" t="s">
        <v>241</v>
      </c>
      <c r="D15" s="31"/>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row>
    <row r="16" spans="1:66" ht="20" customHeight="1">
      <c r="A16" s="30"/>
      <c r="B16" s="30"/>
      <c r="C16" s="31" t="s">
        <v>235</v>
      </c>
      <c r="D16" s="31"/>
      <c r="E16" s="35">
        <f>(2)*(Assumptions!F143-Assumptions!G143)</f>
        <v>70</v>
      </c>
      <c r="F16" s="46">
        <f t="shared" ref="F16:AK16" si="6">E21</f>
        <v>67.083333333333329</v>
      </c>
      <c r="G16" s="46">
        <f t="shared" si="6"/>
        <v>62.856452677988202</v>
      </c>
      <c r="H16" s="46">
        <f t="shared" si="6"/>
        <v>59.928110264506351</v>
      </c>
      <c r="I16" s="46">
        <f t="shared" si="6"/>
        <v>57.074390728101285</v>
      </c>
      <c r="J16" s="46">
        <f t="shared" si="6"/>
        <v>54.220671191696219</v>
      </c>
      <c r="K16" s="46">
        <f t="shared" si="6"/>
        <v>51.366951655291153</v>
      </c>
      <c r="L16" s="46">
        <f t="shared" si="6"/>
        <v>48.513232118886087</v>
      </c>
      <c r="M16" s="46">
        <f t="shared" si="6"/>
        <v>45.659512582481021</v>
      </c>
      <c r="N16" s="46">
        <f t="shared" si="6"/>
        <v>42.805793046075955</v>
      </c>
      <c r="O16" s="46">
        <f t="shared" si="6"/>
        <v>39.952073509670889</v>
      </c>
      <c r="P16" s="46">
        <f t="shared" si="6"/>
        <v>37.098353973265823</v>
      </c>
      <c r="Q16" s="46">
        <f t="shared" si="6"/>
        <v>34.244634436860757</v>
      </c>
      <c r="R16" s="46">
        <f t="shared" si="6"/>
        <v>31.390914900455694</v>
      </c>
      <c r="S16" s="46">
        <f t="shared" si="6"/>
        <v>27.672160879000277</v>
      </c>
      <c r="T16" s="46">
        <f t="shared" si="6"/>
        <v>24.904944791100249</v>
      </c>
      <c r="U16" s="46">
        <f t="shared" si="6"/>
        <v>22.137728703200221</v>
      </c>
      <c r="V16" s="46">
        <f t="shared" si="6"/>
        <v>19.370512615300193</v>
      </c>
      <c r="W16" s="46">
        <f t="shared" si="6"/>
        <v>16.603296527400165</v>
      </c>
      <c r="X16" s="46">
        <f t="shared" si="6"/>
        <v>13.836080439500137</v>
      </c>
      <c r="Y16" s="46">
        <f t="shared" si="6"/>
        <v>11.068864351600109</v>
      </c>
      <c r="Z16" s="46">
        <f t="shared" si="6"/>
        <v>8.3016482637000806</v>
      </c>
      <c r="AA16" s="46">
        <f t="shared" si="6"/>
        <v>5.5344321758000543</v>
      </c>
      <c r="AB16" s="46">
        <f t="shared" si="6"/>
        <v>2.7672160879000272</v>
      </c>
      <c r="AC16" s="46">
        <f t="shared" si="6"/>
        <v>0</v>
      </c>
      <c r="AD16" s="46">
        <f t="shared" si="6"/>
        <v>0</v>
      </c>
      <c r="AE16" s="46">
        <f t="shared" si="6"/>
        <v>0</v>
      </c>
      <c r="AF16" s="46">
        <f t="shared" si="6"/>
        <v>0</v>
      </c>
      <c r="AG16" s="46">
        <f t="shared" si="6"/>
        <v>0</v>
      </c>
      <c r="AH16" s="46">
        <f t="shared" si="6"/>
        <v>0</v>
      </c>
      <c r="AI16" s="46">
        <f t="shared" si="6"/>
        <v>0</v>
      </c>
      <c r="AJ16" s="46">
        <f t="shared" si="6"/>
        <v>0</v>
      </c>
      <c r="AK16" s="46">
        <f t="shared" si="6"/>
        <v>0</v>
      </c>
      <c r="AL16" s="46">
        <f t="shared" ref="AL16:BL16" si="7">AK21</f>
        <v>0</v>
      </c>
      <c r="AM16" s="46">
        <f t="shared" si="7"/>
        <v>0</v>
      </c>
      <c r="AN16" s="46">
        <f t="shared" si="7"/>
        <v>0</v>
      </c>
      <c r="AO16" s="46">
        <f t="shared" si="7"/>
        <v>0</v>
      </c>
      <c r="AP16" s="46">
        <f t="shared" si="7"/>
        <v>0</v>
      </c>
      <c r="AQ16" s="46">
        <f t="shared" si="7"/>
        <v>0</v>
      </c>
      <c r="AR16" s="46">
        <f t="shared" si="7"/>
        <v>0</v>
      </c>
      <c r="AS16" s="46">
        <f t="shared" si="7"/>
        <v>0</v>
      </c>
      <c r="AT16" s="46">
        <f t="shared" si="7"/>
        <v>0</v>
      </c>
      <c r="AU16" s="46">
        <f t="shared" si="7"/>
        <v>0</v>
      </c>
      <c r="AV16" s="46">
        <f t="shared" si="7"/>
        <v>0</v>
      </c>
      <c r="AW16" s="46">
        <f t="shared" si="7"/>
        <v>0</v>
      </c>
      <c r="AX16" s="46">
        <f t="shared" si="7"/>
        <v>0</v>
      </c>
      <c r="AY16" s="46">
        <f t="shared" si="7"/>
        <v>0</v>
      </c>
      <c r="AZ16" s="46">
        <f t="shared" si="7"/>
        <v>0</v>
      </c>
      <c r="BA16" s="46">
        <f t="shared" si="7"/>
        <v>0</v>
      </c>
      <c r="BB16" s="46">
        <f t="shared" si="7"/>
        <v>0</v>
      </c>
      <c r="BC16" s="46">
        <f t="shared" si="7"/>
        <v>0</v>
      </c>
      <c r="BD16" s="46">
        <f t="shared" si="7"/>
        <v>0</v>
      </c>
      <c r="BE16" s="46">
        <f t="shared" si="7"/>
        <v>0</v>
      </c>
      <c r="BF16" s="46">
        <f t="shared" si="7"/>
        <v>0</v>
      </c>
      <c r="BG16" s="46">
        <f t="shared" si="7"/>
        <v>0</v>
      </c>
      <c r="BH16" s="46">
        <f t="shared" si="7"/>
        <v>0</v>
      </c>
      <c r="BI16" s="46">
        <f t="shared" si="7"/>
        <v>0</v>
      </c>
      <c r="BJ16" s="46">
        <f t="shared" si="7"/>
        <v>0</v>
      </c>
      <c r="BK16" s="46">
        <f t="shared" si="7"/>
        <v>0</v>
      </c>
      <c r="BL16" s="46">
        <f t="shared" si="7"/>
        <v>0</v>
      </c>
      <c r="BM16" s="32"/>
      <c r="BN16" s="32"/>
    </row>
    <row r="17" spans="1:66" ht="20" customHeight="1">
      <c r="A17" s="30"/>
      <c r="B17" s="30"/>
      <c r="C17" s="31" t="s">
        <v>236</v>
      </c>
      <c r="D17" s="31"/>
      <c r="E17" s="46">
        <f>0</f>
        <v>0</v>
      </c>
      <c r="F17" s="46">
        <f>0</f>
        <v>0</v>
      </c>
      <c r="G17" s="46">
        <f>0</f>
        <v>0</v>
      </c>
      <c r="H17" s="46">
        <f>0</f>
        <v>0</v>
      </c>
      <c r="I17" s="46">
        <f>0</f>
        <v>0</v>
      </c>
      <c r="J17" s="46">
        <f>0</f>
        <v>0</v>
      </c>
      <c r="K17" s="46">
        <f>0</f>
        <v>0</v>
      </c>
      <c r="L17" s="46">
        <f>0</f>
        <v>0</v>
      </c>
      <c r="M17" s="46">
        <f>0</f>
        <v>0</v>
      </c>
      <c r="N17" s="46">
        <f>0</f>
        <v>0</v>
      </c>
      <c r="O17" s="46">
        <f>0</f>
        <v>0</v>
      </c>
      <c r="P17" s="46">
        <f>0</f>
        <v>0</v>
      </c>
      <c r="Q17" s="46">
        <f>0</f>
        <v>0</v>
      </c>
      <c r="R17" s="46">
        <f>0</f>
        <v>0</v>
      </c>
      <c r="S17" s="46">
        <f>0</f>
        <v>0</v>
      </c>
      <c r="T17" s="46">
        <f>0</f>
        <v>0</v>
      </c>
      <c r="U17" s="46">
        <f>0</f>
        <v>0</v>
      </c>
      <c r="V17" s="46">
        <f>0</f>
        <v>0</v>
      </c>
      <c r="W17" s="46">
        <f>0</f>
        <v>0</v>
      </c>
      <c r="X17" s="46">
        <f>0</f>
        <v>0</v>
      </c>
      <c r="Y17" s="46">
        <f>0</f>
        <v>0</v>
      </c>
      <c r="Z17" s="46">
        <f>0</f>
        <v>0</v>
      </c>
      <c r="AA17" s="46">
        <f>0</f>
        <v>0</v>
      </c>
      <c r="AB17" s="46">
        <f>0</f>
        <v>0</v>
      </c>
      <c r="AC17" s="46">
        <f>0</f>
        <v>0</v>
      </c>
      <c r="AD17" s="46">
        <f>0</f>
        <v>0</v>
      </c>
      <c r="AE17" s="46">
        <f>0</f>
        <v>0</v>
      </c>
      <c r="AF17" s="46">
        <f>0</f>
        <v>0</v>
      </c>
      <c r="AG17" s="46">
        <f>0</f>
        <v>0</v>
      </c>
      <c r="AH17" s="46">
        <f>0</f>
        <v>0</v>
      </c>
      <c r="AI17" s="46">
        <f>0</f>
        <v>0</v>
      </c>
      <c r="AJ17" s="46">
        <f>0</f>
        <v>0</v>
      </c>
      <c r="AK17" s="46">
        <f>0</f>
        <v>0</v>
      </c>
      <c r="AL17" s="46">
        <f>0</f>
        <v>0</v>
      </c>
      <c r="AM17" s="46">
        <f>0</f>
        <v>0</v>
      </c>
      <c r="AN17" s="46">
        <f>0</f>
        <v>0</v>
      </c>
      <c r="AO17" s="46">
        <f>0</f>
        <v>0</v>
      </c>
      <c r="AP17" s="46">
        <f>0</f>
        <v>0</v>
      </c>
      <c r="AQ17" s="46">
        <f>0</f>
        <v>0</v>
      </c>
      <c r="AR17" s="46">
        <f>0</f>
        <v>0</v>
      </c>
      <c r="AS17" s="46">
        <f>0</f>
        <v>0</v>
      </c>
      <c r="AT17" s="46">
        <f>0</f>
        <v>0</v>
      </c>
      <c r="AU17" s="46">
        <f>0</f>
        <v>0</v>
      </c>
      <c r="AV17" s="46">
        <f>0</f>
        <v>0</v>
      </c>
      <c r="AW17" s="46">
        <f>0</f>
        <v>0</v>
      </c>
      <c r="AX17" s="46">
        <f>0</f>
        <v>0</v>
      </c>
      <c r="AY17" s="46">
        <f>0</f>
        <v>0</v>
      </c>
      <c r="AZ17" s="46">
        <f>0</f>
        <v>0</v>
      </c>
      <c r="BA17" s="46">
        <f>0</f>
        <v>0</v>
      </c>
      <c r="BB17" s="46">
        <f>0</f>
        <v>0</v>
      </c>
      <c r="BC17" s="46">
        <f>0</f>
        <v>0</v>
      </c>
      <c r="BD17" s="46">
        <f>0</f>
        <v>0</v>
      </c>
      <c r="BE17" s="46">
        <f>0</f>
        <v>0</v>
      </c>
      <c r="BF17" s="46">
        <f>0</f>
        <v>0</v>
      </c>
      <c r="BG17" s="46">
        <f>0</f>
        <v>0</v>
      </c>
      <c r="BH17" s="46">
        <f>0</f>
        <v>0</v>
      </c>
      <c r="BI17" s="46">
        <f>0</f>
        <v>0</v>
      </c>
      <c r="BJ17" s="46">
        <f>0</f>
        <v>0</v>
      </c>
      <c r="BK17" s="46">
        <f>0</f>
        <v>0</v>
      </c>
      <c r="BL17" s="46">
        <f>0</f>
        <v>0</v>
      </c>
      <c r="BM17" s="32"/>
      <c r="BN17" s="32"/>
    </row>
    <row r="18" spans="1:66" ht="20" customHeight="1">
      <c r="A18" s="30"/>
      <c r="B18" s="30"/>
      <c r="C18" s="31" t="s">
        <v>237</v>
      </c>
      <c r="D18" s="31"/>
      <c r="E18" s="46">
        <f>IF(0&lt;0,0,IF(24-(0-0)&gt;0,MIN(E16+E17,(E16+E17)/MAX(1,24-(0-0))),E16+E17))</f>
        <v>2.9166666666666665</v>
      </c>
      <c r="F18" s="46">
        <f>IF(1&lt;0,0,IF(24-(1-0)&gt;0,MIN(F16+F17,(F16+F17)/MAX(1,24-(1-0))),F16+F17))</f>
        <v>2.9166666666666665</v>
      </c>
      <c r="G18" s="46">
        <f>IF(2&lt;0,0,IF(24-(2-0)&gt;0,MIN(G16+G17,(G16+G17)/MAX(1,24-(2-0))),G16+G17))</f>
        <v>2.8571114853631001</v>
      </c>
      <c r="H18" s="46">
        <f>IF(3&lt;0,0,IF(24-(3-0)&gt;0,MIN(H16+H17,(H16+H17)/MAX(1,24-(3-0))),H16+H17))</f>
        <v>2.8537195364050643</v>
      </c>
      <c r="I18" s="46">
        <f>IF(4&lt;0,0,IF(24-(4-0)&gt;0,MIN(I16+I17,(I16+I17)/MAX(1,24-(4-0))),I16+I17))</f>
        <v>2.8537195364050643</v>
      </c>
      <c r="J18" s="46">
        <f>IF(5&lt;0,0,IF(24-(5-0)&gt;0,MIN(J16+J17,(J16+J17)/MAX(1,24-(5-0))),J16+J17))</f>
        <v>2.8537195364050643</v>
      </c>
      <c r="K18" s="46">
        <f>IF(6&lt;0,0,IF(24-(6-0)&gt;0,MIN(K16+K17,(K16+K17)/MAX(1,24-(6-0))),K16+K17))</f>
        <v>2.8537195364050643</v>
      </c>
      <c r="L18" s="46">
        <f>IF(7&lt;0,0,IF(24-(7-0)&gt;0,MIN(L16+L17,(L16+L17)/MAX(1,24-(7-0))),L16+L17))</f>
        <v>2.8537195364050638</v>
      </c>
      <c r="M18" s="46">
        <f>IF(8&lt;0,0,IF(24-(8-0)&gt;0,MIN(M16+M17,(M16+M17)/MAX(1,24-(8-0))),M16+M17))</f>
        <v>2.8537195364050638</v>
      </c>
      <c r="N18" s="46">
        <f>IF(9&lt;0,0,IF(24-(9-0)&gt;0,MIN(N16+N17,(N16+N17)/MAX(1,24-(9-0))),N16+N17))</f>
        <v>2.8537195364050638</v>
      </c>
      <c r="O18" s="46">
        <f>IF(10&lt;0,0,IF(24-(10-0)&gt;0,MIN(O16+O17,(O16+O17)/MAX(1,24-(10-0))),O16+O17))</f>
        <v>2.8537195364050634</v>
      </c>
      <c r="P18" s="46">
        <f>IF(11&lt;0,0,IF(24-(11-0)&gt;0,MIN(P16+P17,(P16+P17)/MAX(1,24-(11-0))),P16+P17))</f>
        <v>2.8537195364050634</v>
      </c>
      <c r="Q18" s="46">
        <f>IF(12&lt;0,0,IF(24-(12-0)&gt;0,MIN(Q16+Q17,(Q16+Q17)/MAX(1,24-(12-0))),Q16+Q17))</f>
        <v>2.8537195364050629</v>
      </c>
      <c r="R18" s="46">
        <f>IF(13&lt;0,0,IF(24-(13-0)&gt;0,MIN(R16+R17,(R16+R17)/MAX(1,24-(13-0))),R16+R17))</f>
        <v>2.8537195364050629</v>
      </c>
      <c r="S18" s="46">
        <f>IF(14&lt;0,0,IF(24-(14-0)&gt;0,MIN(S16+S17,(S16+S17)/MAX(1,24-(14-0))),S16+S17))</f>
        <v>2.7672160879000276</v>
      </c>
      <c r="T18" s="46">
        <f>IF(15&lt;0,0,IF(24-(15-0)&gt;0,MIN(T16+T17,(T16+T17)/MAX(1,24-(15-0))),T16+T17))</f>
        <v>2.7672160879000276</v>
      </c>
      <c r="U18" s="46">
        <f>IF(16&lt;0,0,IF(24-(16-0)&gt;0,MIN(U16+U17,(U16+U17)/MAX(1,24-(16-0))),U16+U17))</f>
        <v>2.7672160879000276</v>
      </c>
      <c r="V18" s="46">
        <f>IF(17&lt;0,0,IF(24-(17-0)&gt;0,MIN(V16+V17,(V16+V17)/MAX(1,24-(17-0))),V16+V17))</f>
        <v>2.7672160879000276</v>
      </c>
      <c r="W18" s="46">
        <f>IF(18&lt;0,0,IF(24-(18-0)&gt;0,MIN(W16+W17,(W16+W17)/MAX(1,24-(18-0))),W16+W17))</f>
        <v>2.7672160879000276</v>
      </c>
      <c r="X18" s="46">
        <f>IF(19&lt;0,0,IF(24-(19-0)&gt;0,MIN(X16+X17,(X16+X17)/MAX(1,24-(19-0))),X16+X17))</f>
        <v>2.7672160879000272</v>
      </c>
      <c r="Y18" s="46">
        <f>IF(20&lt;0,0,IF(24-(20-0)&gt;0,MIN(Y16+Y17,(Y16+Y17)/MAX(1,24-(20-0))),Y16+Y17))</f>
        <v>2.7672160879000272</v>
      </c>
      <c r="Z18" s="46">
        <f>IF(21&lt;0,0,IF(24-(21-0)&gt;0,MIN(Z16+Z17,(Z16+Z17)/MAX(1,24-(21-0))),Z16+Z17))</f>
        <v>2.7672160879000267</v>
      </c>
      <c r="AA18" s="46">
        <f>IF(22&lt;0,0,IF(24-(22-0)&gt;0,MIN(AA16+AA17,(AA16+AA17)/MAX(1,24-(22-0))),AA16+AA17))</f>
        <v>2.7672160879000272</v>
      </c>
      <c r="AB18" s="46">
        <f>IF(23&lt;0,0,IF(24-(23-0)&gt;0,MIN(AB16+AB17,(AB16+AB17)/MAX(1,24-(23-0))),AB16+AB17))</f>
        <v>2.7672160879000272</v>
      </c>
      <c r="AC18" s="46">
        <f>IF(24&lt;0,0,IF(24-(24-0)&gt;0,MIN(AC16+AC17,(AC16+AC17)/MAX(1,24-(24-0))),AC16+AC17))</f>
        <v>0</v>
      </c>
      <c r="AD18" s="46">
        <f>IF(25&lt;0,0,IF(24-(25-0)&gt;0,MIN(AD16+AD17,(AD16+AD17)/MAX(1,24-(25-0))),AD16+AD17))</f>
        <v>0</v>
      </c>
      <c r="AE18" s="46">
        <f>IF(26&lt;0,0,IF(24-(26-0)&gt;0,MIN(AE16+AE17,(AE16+AE17)/MAX(1,24-(26-0))),AE16+AE17))</f>
        <v>0</v>
      </c>
      <c r="AF18" s="46">
        <f>IF(27&lt;0,0,IF(24-(27-0)&gt;0,MIN(AF16+AF17,(AF16+AF17)/MAX(1,24-(27-0))),AF16+AF17))</f>
        <v>0</v>
      </c>
      <c r="AG18" s="46">
        <f>IF(28&lt;0,0,IF(24-(28-0)&gt;0,MIN(AG16+AG17,(AG16+AG17)/MAX(1,24-(28-0))),AG16+AG17))</f>
        <v>0</v>
      </c>
      <c r="AH18" s="46">
        <f>IF(29&lt;0,0,IF(24-(29-0)&gt;0,MIN(AH16+AH17,(AH16+AH17)/MAX(1,24-(29-0))),AH16+AH17))</f>
        <v>0</v>
      </c>
      <c r="AI18" s="46">
        <f>IF(30&lt;0,0,IF(24-(30-0)&gt;0,MIN(AI16+AI17,(AI16+AI17)/MAX(1,24-(30-0))),AI16+AI17))</f>
        <v>0</v>
      </c>
      <c r="AJ18" s="46">
        <f>IF(31&lt;0,0,IF(24-(31-0)&gt;0,MIN(AJ16+AJ17,(AJ16+AJ17)/MAX(1,24-(31-0))),AJ16+AJ17))</f>
        <v>0</v>
      </c>
      <c r="AK18" s="46">
        <f>IF(32&lt;0,0,IF(24-(32-0)&gt;0,MIN(AK16+AK17,(AK16+AK17)/MAX(1,24-(32-0))),AK16+AK17))</f>
        <v>0</v>
      </c>
      <c r="AL18" s="46">
        <f>IF(33&lt;0,0,IF(24-(33-0)&gt;0,MIN(AL16+AL17,(AL16+AL17)/MAX(1,24-(33-0))),AL16+AL17))</f>
        <v>0</v>
      </c>
      <c r="AM18" s="46">
        <f>IF(34&lt;0,0,IF(24-(34-0)&gt;0,MIN(AM16+AM17,(AM16+AM17)/MAX(1,24-(34-0))),AM16+AM17))</f>
        <v>0</v>
      </c>
      <c r="AN18" s="46">
        <f>IF(35&lt;0,0,IF(24-(35-0)&gt;0,MIN(AN16+AN17,(AN16+AN17)/MAX(1,24-(35-0))),AN16+AN17))</f>
        <v>0</v>
      </c>
      <c r="AO18" s="46">
        <f>IF(36&lt;0,0,IF(24-(36-0)&gt;0,MIN(AO16+AO17,(AO16+AO17)/MAX(1,24-(36-0))),AO16+AO17))</f>
        <v>0</v>
      </c>
      <c r="AP18" s="46">
        <f>IF(37&lt;0,0,IF(24-(37-0)&gt;0,MIN(AP16+AP17,(AP16+AP17)/MAX(1,24-(37-0))),AP16+AP17))</f>
        <v>0</v>
      </c>
      <c r="AQ18" s="46">
        <f>IF(38&lt;0,0,IF(24-(38-0)&gt;0,MIN(AQ16+AQ17,(AQ16+AQ17)/MAX(1,24-(38-0))),AQ16+AQ17))</f>
        <v>0</v>
      </c>
      <c r="AR18" s="46">
        <f>IF(39&lt;0,0,IF(24-(39-0)&gt;0,MIN(AR16+AR17,(AR16+AR17)/MAX(1,24-(39-0))),AR16+AR17))</f>
        <v>0</v>
      </c>
      <c r="AS18" s="46">
        <f>IF(40&lt;0,0,IF(24-(40-0)&gt;0,MIN(AS16+AS17,(AS16+AS17)/MAX(1,24-(40-0))),AS16+AS17))</f>
        <v>0</v>
      </c>
      <c r="AT18" s="46">
        <f>IF(41&lt;0,0,IF(24-(41-0)&gt;0,MIN(AT16+AT17,(AT16+AT17)/MAX(1,24-(41-0))),AT16+AT17))</f>
        <v>0</v>
      </c>
      <c r="AU18" s="46">
        <f>IF(42&lt;0,0,IF(24-(42-0)&gt;0,MIN(AU16+AU17,(AU16+AU17)/MAX(1,24-(42-0))),AU16+AU17))</f>
        <v>0</v>
      </c>
      <c r="AV18" s="46">
        <f>IF(43&lt;0,0,IF(24-(43-0)&gt;0,MIN(AV16+AV17,(AV16+AV17)/MAX(1,24-(43-0))),AV16+AV17))</f>
        <v>0</v>
      </c>
      <c r="AW18" s="46">
        <f>IF(44&lt;0,0,IF(24-(44-0)&gt;0,MIN(AW16+AW17,(AW16+AW17)/MAX(1,24-(44-0))),AW16+AW17))</f>
        <v>0</v>
      </c>
      <c r="AX18" s="46">
        <f>IF(45&lt;0,0,IF(24-(45-0)&gt;0,MIN(AX16+AX17,(AX16+AX17)/MAX(1,24-(45-0))),AX16+AX17))</f>
        <v>0</v>
      </c>
      <c r="AY18" s="46">
        <f>IF(46&lt;0,0,IF(24-(46-0)&gt;0,MIN(AY16+AY17,(AY16+AY17)/MAX(1,24-(46-0))),AY16+AY17))</f>
        <v>0</v>
      </c>
      <c r="AZ18" s="46">
        <f>IF(47&lt;0,0,IF(24-(47-0)&gt;0,MIN(AZ16+AZ17,(AZ16+AZ17)/MAX(1,24-(47-0))),AZ16+AZ17))</f>
        <v>0</v>
      </c>
      <c r="BA18" s="46">
        <f>IF(48&lt;0,0,IF(24-(48-0)&gt;0,MIN(BA16+BA17,(BA16+BA17)/MAX(1,24-(48-0))),BA16+BA17))</f>
        <v>0</v>
      </c>
      <c r="BB18" s="46">
        <f>IF(49&lt;0,0,IF(24-(49-0)&gt;0,MIN(BB16+BB17,(BB16+BB17)/MAX(1,24-(49-0))),BB16+BB17))</f>
        <v>0</v>
      </c>
      <c r="BC18" s="46">
        <f>IF(50&lt;0,0,IF(24-(50-0)&gt;0,MIN(BC16+BC17,(BC16+BC17)/MAX(1,24-(50-0))),BC16+BC17))</f>
        <v>0</v>
      </c>
      <c r="BD18" s="46">
        <f>IF(51&lt;0,0,IF(24-(51-0)&gt;0,MIN(BD16+BD17,(BD16+BD17)/MAX(1,24-(51-0))),BD16+BD17))</f>
        <v>0</v>
      </c>
      <c r="BE18" s="46">
        <f>IF(52&lt;0,0,IF(24-(52-0)&gt;0,MIN(BE16+BE17,(BE16+BE17)/MAX(1,24-(52-0))),BE16+BE17))</f>
        <v>0</v>
      </c>
      <c r="BF18" s="46">
        <f>IF(53&lt;0,0,IF(24-(53-0)&gt;0,MIN(BF16+BF17,(BF16+BF17)/MAX(1,24-(53-0))),BF16+BF17))</f>
        <v>0</v>
      </c>
      <c r="BG18" s="46">
        <f>IF(54&lt;0,0,IF(24-(54-0)&gt;0,MIN(BG16+BG17,(BG16+BG17)/MAX(1,24-(54-0))),BG16+BG17))</f>
        <v>0</v>
      </c>
      <c r="BH18" s="46">
        <f>IF(55&lt;0,0,IF(24-(55-0)&gt;0,MIN(BH16+BH17,(BH16+BH17)/MAX(1,24-(55-0))),BH16+BH17))</f>
        <v>0</v>
      </c>
      <c r="BI18" s="46">
        <f>IF(56&lt;0,0,IF(24-(56-0)&gt;0,MIN(BI16+BI17,(BI16+BI17)/MAX(1,24-(56-0))),BI16+BI17))</f>
        <v>0</v>
      </c>
      <c r="BJ18" s="46">
        <f>IF(57&lt;0,0,IF(24-(57-0)&gt;0,MIN(BJ16+BJ17,(BJ16+BJ17)/MAX(1,24-(57-0))),BJ16+BJ17))</f>
        <v>0</v>
      </c>
      <c r="BK18" s="46">
        <f>IF(58&lt;0,0,IF(24-(58-0)&gt;0,MIN(BK16+BK17,(BK16+BK17)/MAX(1,24-(58-0))),BK16+BK17))</f>
        <v>0</v>
      </c>
      <c r="BL18" s="46">
        <f>IF(59&lt;0,0,IF(24-(59-0)&gt;0,MIN(BL16+BL17,(BL16+BL17)/MAX(1,24-(59-0))),BL16+BL17))</f>
        <v>0</v>
      </c>
      <c r="BM18" s="32"/>
      <c r="BN18" s="32"/>
    </row>
    <row r="19" spans="1:66" ht="20" customHeight="1">
      <c r="A19" s="30"/>
      <c r="B19" s="30"/>
      <c r="C19" s="31" t="s">
        <v>238</v>
      </c>
      <c r="D19" s="31"/>
      <c r="E19" s="46">
        <f t="shared" ref="E19:AJ19" si="8">E16+E17-E18</f>
        <v>67.083333333333329</v>
      </c>
      <c r="F19" s="46">
        <f t="shared" si="8"/>
        <v>64.166666666666657</v>
      </c>
      <c r="G19" s="46">
        <f t="shared" si="8"/>
        <v>59.999341192625103</v>
      </c>
      <c r="H19" s="46">
        <f t="shared" si="8"/>
        <v>57.074390728101285</v>
      </c>
      <c r="I19" s="46">
        <f t="shared" si="8"/>
        <v>54.220671191696219</v>
      </c>
      <c r="J19" s="46">
        <f t="shared" si="8"/>
        <v>51.366951655291153</v>
      </c>
      <c r="K19" s="46">
        <f t="shared" si="8"/>
        <v>48.513232118886087</v>
      </c>
      <c r="L19" s="46">
        <f t="shared" si="8"/>
        <v>45.659512582481021</v>
      </c>
      <c r="M19" s="46">
        <f t="shared" si="8"/>
        <v>42.805793046075955</v>
      </c>
      <c r="N19" s="46">
        <f t="shared" si="8"/>
        <v>39.952073509670889</v>
      </c>
      <c r="O19" s="46">
        <f t="shared" si="8"/>
        <v>37.098353973265823</v>
      </c>
      <c r="P19" s="46">
        <f t="shared" si="8"/>
        <v>34.244634436860757</v>
      </c>
      <c r="Q19" s="46">
        <f t="shared" si="8"/>
        <v>31.390914900455694</v>
      </c>
      <c r="R19" s="46">
        <f t="shared" si="8"/>
        <v>28.537195364050632</v>
      </c>
      <c r="S19" s="46">
        <f t="shared" si="8"/>
        <v>24.904944791100249</v>
      </c>
      <c r="T19" s="46">
        <f t="shared" si="8"/>
        <v>22.137728703200221</v>
      </c>
      <c r="U19" s="46">
        <f t="shared" si="8"/>
        <v>19.370512615300193</v>
      </c>
      <c r="V19" s="46">
        <f t="shared" si="8"/>
        <v>16.603296527400165</v>
      </c>
      <c r="W19" s="46">
        <f t="shared" si="8"/>
        <v>13.836080439500137</v>
      </c>
      <c r="X19" s="46">
        <f t="shared" si="8"/>
        <v>11.068864351600109</v>
      </c>
      <c r="Y19" s="46">
        <f t="shared" si="8"/>
        <v>8.3016482637000806</v>
      </c>
      <c r="Z19" s="46">
        <f t="shared" si="8"/>
        <v>5.5344321758000543</v>
      </c>
      <c r="AA19" s="46">
        <f t="shared" si="8"/>
        <v>2.7672160879000272</v>
      </c>
      <c r="AB19" s="46">
        <f t="shared" si="8"/>
        <v>0</v>
      </c>
      <c r="AC19" s="46">
        <f t="shared" si="8"/>
        <v>0</v>
      </c>
      <c r="AD19" s="46">
        <f t="shared" si="8"/>
        <v>0</v>
      </c>
      <c r="AE19" s="46">
        <f t="shared" si="8"/>
        <v>0</v>
      </c>
      <c r="AF19" s="46">
        <f t="shared" si="8"/>
        <v>0</v>
      </c>
      <c r="AG19" s="46">
        <f t="shared" si="8"/>
        <v>0</v>
      </c>
      <c r="AH19" s="46">
        <f t="shared" si="8"/>
        <v>0</v>
      </c>
      <c r="AI19" s="46">
        <f t="shared" si="8"/>
        <v>0</v>
      </c>
      <c r="AJ19" s="46">
        <f t="shared" si="8"/>
        <v>0</v>
      </c>
      <c r="AK19" s="46">
        <f t="shared" ref="AK19:BP19" si="9">AK16+AK17-AK18</f>
        <v>0</v>
      </c>
      <c r="AL19" s="46">
        <f t="shared" si="9"/>
        <v>0</v>
      </c>
      <c r="AM19" s="46">
        <f t="shared" si="9"/>
        <v>0</v>
      </c>
      <c r="AN19" s="46">
        <f t="shared" si="9"/>
        <v>0</v>
      </c>
      <c r="AO19" s="46">
        <f t="shared" si="9"/>
        <v>0</v>
      </c>
      <c r="AP19" s="46">
        <f t="shared" si="9"/>
        <v>0</v>
      </c>
      <c r="AQ19" s="46">
        <f t="shared" si="9"/>
        <v>0</v>
      </c>
      <c r="AR19" s="46">
        <f t="shared" si="9"/>
        <v>0</v>
      </c>
      <c r="AS19" s="46">
        <f t="shared" si="9"/>
        <v>0</v>
      </c>
      <c r="AT19" s="46">
        <f t="shared" si="9"/>
        <v>0</v>
      </c>
      <c r="AU19" s="46">
        <f t="shared" si="9"/>
        <v>0</v>
      </c>
      <c r="AV19" s="46">
        <f t="shared" si="9"/>
        <v>0</v>
      </c>
      <c r="AW19" s="46">
        <f t="shared" si="9"/>
        <v>0</v>
      </c>
      <c r="AX19" s="46">
        <f t="shared" si="9"/>
        <v>0</v>
      </c>
      <c r="AY19" s="46">
        <f t="shared" si="9"/>
        <v>0</v>
      </c>
      <c r="AZ19" s="46">
        <f t="shared" si="9"/>
        <v>0</v>
      </c>
      <c r="BA19" s="46">
        <f t="shared" si="9"/>
        <v>0</v>
      </c>
      <c r="BB19" s="46">
        <f t="shared" si="9"/>
        <v>0</v>
      </c>
      <c r="BC19" s="46">
        <f t="shared" si="9"/>
        <v>0</v>
      </c>
      <c r="BD19" s="46">
        <f t="shared" si="9"/>
        <v>0</v>
      </c>
      <c r="BE19" s="46">
        <f t="shared" si="9"/>
        <v>0</v>
      </c>
      <c r="BF19" s="46">
        <f t="shared" si="9"/>
        <v>0</v>
      </c>
      <c r="BG19" s="46">
        <f t="shared" si="9"/>
        <v>0</v>
      </c>
      <c r="BH19" s="46">
        <f t="shared" si="9"/>
        <v>0</v>
      </c>
      <c r="BI19" s="46">
        <f t="shared" si="9"/>
        <v>0</v>
      </c>
      <c r="BJ19" s="46">
        <f t="shared" si="9"/>
        <v>0</v>
      </c>
      <c r="BK19" s="46">
        <f t="shared" si="9"/>
        <v>0</v>
      </c>
      <c r="BL19" s="46">
        <f t="shared" si="9"/>
        <v>0</v>
      </c>
      <c r="BM19" s="32"/>
      <c r="BN19" s="32"/>
    </row>
    <row r="20" spans="1:66" ht="20" customHeight="1">
      <c r="A20" s="30"/>
      <c r="B20" s="30"/>
      <c r="C20" s="31" t="s">
        <v>239</v>
      </c>
      <c r="D20" s="31"/>
      <c r="E20" s="35">
        <f>IF(E91&gt;0,E19/E91*Transfers!E24,0)</f>
        <v>0</v>
      </c>
      <c r="F20" s="35">
        <f>IF(F91&gt;0,F19/F91*Transfers!F24,0)</f>
        <v>1.3102139886784547</v>
      </c>
      <c r="G20" s="35">
        <f>IF(G91&gt;0,G19/G91*Transfers!G24,0)</f>
        <v>7.1230928118750175E-2</v>
      </c>
      <c r="H20" s="35">
        <f>IF(H91&gt;0,H19/H91*Transfers!H24,0)</f>
        <v>0</v>
      </c>
      <c r="I20" s="35">
        <f>IF(I91&gt;0,I19/I91*Transfers!I24,0)</f>
        <v>0</v>
      </c>
      <c r="J20" s="35">
        <f>IF(J91&gt;0,J19/J91*Transfers!J24,0)</f>
        <v>0</v>
      </c>
      <c r="K20" s="35">
        <f>IF(K91&gt;0,K19/K91*Transfers!K24,0)</f>
        <v>0</v>
      </c>
      <c r="L20" s="35">
        <f>IF(L91&gt;0,L19/L91*Transfers!L24,0)</f>
        <v>0</v>
      </c>
      <c r="M20" s="35">
        <f>IF(M91&gt;0,M19/M91*Transfers!M24,0)</f>
        <v>0</v>
      </c>
      <c r="N20" s="35">
        <f>IF(N91&gt;0,N19/N91*Transfers!N24,0)</f>
        <v>0</v>
      </c>
      <c r="O20" s="35">
        <f>IF(O91&gt;0,O19/O91*Transfers!O24,0)</f>
        <v>0</v>
      </c>
      <c r="P20" s="35">
        <f>IF(P91&gt;0,P19/P91*Transfers!P24,0)</f>
        <v>0</v>
      </c>
      <c r="Q20" s="35">
        <f>IF(Q91&gt;0,Q19/Q91*Transfers!Q24,0)</f>
        <v>0</v>
      </c>
      <c r="R20" s="35">
        <f>IF(R91&gt;0,R19/R91*Transfers!R24,0)</f>
        <v>0.86503448505035396</v>
      </c>
      <c r="S20" s="35">
        <f>IF(S91&gt;0,S19/S91*Transfers!S24,0)</f>
        <v>0</v>
      </c>
      <c r="T20" s="35">
        <f>IF(T91&gt;0,T19/T91*Transfers!T24,0)</f>
        <v>0</v>
      </c>
      <c r="U20" s="35">
        <f>IF(U91&gt;0,U19/U91*Transfers!U24,0)</f>
        <v>0</v>
      </c>
      <c r="V20" s="35">
        <f>IF(V91&gt;0,V19/V91*Transfers!V24,0)</f>
        <v>0</v>
      </c>
      <c r="W20" s="35">
        <f>IF(W91&gt;0,W19/W91*Transfers!W24,0)</f>
        <v>0</v>
      </c>
      <c r="X20" s="35">
        <f>IF(X91&gt;0,X19/X91*Transfers!X24,0)</f>
        <v>0</v>
      </c>
      <c r="Y20" s="35">
        <f>IF(Y91&gt;0,Y19/Y91*Transfers!Y24,0)</f>
        <v>0</v>
      </c>
      <c r="Z20" s="35">
        <f>IF(Z91&gt;0,Z19/Z91*Transfers!Z24,0)</f>
        <v>0</v>
      </c>
      <c r="AA20" s="35">
        <f>IF(AA91&gt;0,AA19/AA91*Transfers!AA24,0)</f>
        <v>0</v>
      </c>
      <c r="AB20" s="35">
        <f>IF(AB91&gt;0,AB19/AB91*Transfers!AB24,0)</f>
        <v>0</v>
      </c>
      <c r="AC20" s="35">
        <f>IF(AC91&gt;0,AC19/AC91*Transfers!AC24,0)</f>
        <v>0</v>
      </c>
      <c r="AD20" s="35">
        <f>IF(AD91&gt;0,AD19/AD91*Transfers!AD24,0)</f>
        <v>0</v>
      </c>
      <c r="AE20" s="35">
        <f>IF(AE91&gt;0,AE19/AE91*Transfers!AE24,0)</f>
        <v>0</v>
      </c>
      <c r="AF20" s="35">
        <f>IF(AF91&gt;0,AF19/AF91*Transfers!AF24,0)</f>
        <v>0</v>
      </c>
      <c r="AG20" s="35">
        <f>IF(AG91&gt;0,AG19/AG91*Transfers!AG24,0)</f>
        <v>0</v>
      </c>
      <c r="AH20" s="35">
        <f>IF(AH91&gt;0,AH19/AH91*Transfers!AH24,0)</f>
        <v>0</v>
      </c>
      <c r="AI20" s="35">
        <f>IF(AI91&gt;0,AI19/AI91*Transfers!AI24,0)</f>
        <v>0</v>
      </c>
      <c r="AJ20" s="35">
        <f>IF(AJ91&gt;0,AJ19/AJ91*Transfers!AJ24,0)</f>
        <v>0</v>
      </c>
      <c r="AK20" s="35">
        <f>IF(AK91&gt;0,AK19/AK91*Transfers!AK24,0)</f>
        <v>0</v>
      </c>
      <c r="AL20" s="35">
        <f>IF(AL91&gt;0,AL19/AL91*Transfers!AL24,0)</f>
        <v>0</v>
      </c>
      <c r="AM20" s="35">
        <f>IF(AM91&gt;0,AM19/AM91*Transfers!AM24,0)</f>
        <v>0</v>
      </c>
      <c r="AN20" s="35">
        <f>IF(AN91&gt;0,AN19/AN91*Transfers!AN24,0)</f>
        <v>0</v>
      </c>
      <c r="AO20" s="35">
        <f>IF(AO91&gt;0,AO19/AO91*Transfers!AO24,0)</f>
        <v>0</v>
      </c>
      <c r="AP20" s="35">
        <f>IF(AP91&gt;0,AP19/AP91*Transfers!AP24,0)</f>
        <v>0</v>
      </c>
      <c r="AQ20" s="35">
        <f>IF(AQ91&gt;0,AQ19/AQ91*Transfers!AQ24,0)</f>
        <v>0</v>
      </c>
      <c r="AR20" s="35">
        <f>IF(AR91&gt;0,AR19/AR91*Transfers!AR24,0)</f>
        <v>0</v>
      </c>
      <c r="AS20" s="35">
        <f>IF(AS91&gt;0,AS19/AS91*Transfers!AS24,0)</f>
        <v>0</v>
      </c>
      <c r="AT20" s="35">
        <f>IF(AT91&gt;0,AT19/AT91*Transfers!AT24,0)</f>
        <v>0</v>
      </c>
      <c r="AU20" s="35">
        <f>IF(AU91&gt;0,AU19/AU91*Transfers!AU24,0)</f>
        <v>0</v>
      </c>
      <c r="AV20" s="35">
        <f>IF(AV91&gt;0,AV19/AV91*Transfers!AV24,0)</f>
        <v>0</v>
      </c>
      <c r="AW20" s="35">
        <f>IF(AW91&gt;0,AW19/AW91*Transfers!AW24,0)</f>
        <v>0</v>
      </c>
      <c r="AX20" s="35">
        <f>IF(AX91&gt;0,AX19/AX91*Transfers!AX24,0)</f>
        <v>0</v>
      </c>
      <c r="AY20" s="35">
        <f>IF(AY91&gt;0,AY19/AY91*Transfers!AY24,0)</f>
        <v>0</v>
      </c>
      <c r="AZ20" s="35">
        <f>IF(AZ91&gt;0,AZ19/AZ91*Transfers!AZ24,0)</f>
        <v>0</v>
      </c>
      <c r="BA20" s="35">
        <f>IF(BA91&gt;0,BA19/BA91*Transfers!BA24,0)</f>
        <v>0</v>
      </c>
      <c r="BB20" s="35">
        <f>IF(BB91&gt;0,BB19/BB91*Transfers!BB24,0)</f>
        <v>0</v>
      </c>
      <c r="BC20" s="35">
        <f>IF(BC91&gt;0,BC19/BC91*Transfers!BC24,0)</f>
        <v>0</v>
      </c>
      <c r="BD20" s="35">
        <f>IF(BD91&gt;0,BD19/BD91*Transfers!BD24,0)</f>
        <v>0</v>
      </c>
      <c r="BE20" s="35">
        <f>IF(BE91&gt;0,BE19/BE91*Transfers!BE24,0)</f>
        <v>0</v>
      </c>
      <c r="BF20" s="35">
        <f>IF(BF91&gt;0,BF19/BF91*Transfers!BF24,0)</f>
        <v>0</v>
      </c>
      <c r="BG20" s="35">
        <f>IF(BG91&gt;0,BG19/BG91*Transfers!BG24,0)</f>
        <v>0</v>
      </c>
      <c r="BH20" s="35">
        <f>IF(BH91&gt;0,BH19/BH91*Transfers!BH24,0)</f>
        <v>0</v>
      </c>
      <c r="BI20" s="35">
        <f>IF(BI91&gt;0,BI19/BI91*Transfers!BI24,0)</f>
        <v>0</v>
      </c>
      <c r="BJ20" s="35">
        <f>IF(BJ91&gt;0,BJ19/BJ91*Transfers!BJ24,0)</f>
        <v>0</v>
      </c>
      <c r="BK20" s="35">
        <f>IF(BK91&gt;0,BK19/BK91*Transfers!BK24,0)</f>
        <v>0</v>
      </c>
      <c r="BL20" s="35">
        <f>IF(BL91&gt;0,BL19/BL91*Transfers!BL24,0)</f>
        <v>0</v>
      </c>
      <c r="BM20" s="32"/>
      <c r="BN20" s="32"/>
    </row>
    <row r="21" spans="1:66" ht="20" customHeight="1">
      <c r="A21" s="30"/>
      <c r="B21" s="30"/>
      <c r="C21" s="31" t="s">
        <v>240</v>
      </c>
      <c r="D21" s="31"/>
      <c r="E21" s="46">
        <f t="shared" ref="E21:AJ21" si="10">E19-E20</f>
        <v>67.083333333333329</v>
      </c>
      <c r="F21" s="46">
        <f t="shared" si="10"/>
        <v>62.856452677988202</v>
      </c>
      <c r="G21" s="46">
        <f t="shared" si="10"/>
        <v>59.928110264506351</v>
      </c>
      <c r="H21" s="46">
        <f t="shared" si="10"/>
        <v>57.074390728101285</v>
      </c>
      <c r="I21" s="46">
        <f t="shared" si="10"/>
        <v>54.220671191696219</v>
      </c>
      <c r="J21" s="46">
        <f t="shared" si="10"/>
        <v>51.366951655291153</v>
      </c>
      <c r="K21" s="46">
        <f t="shared" si="10"/>
        <v>48.513232118886087</v>
      </c>
      <c r="L21" s="46">
        <f t="shared" si="10"/>
        <v>45.659512582481021</v>
      </c>
      <c r="M21" s="46">
        <f t="shared" si="10"/>
        <v>42.805793046075955</v>
      </c>
      <c r="N21" s="46">
        <f t="shared" si="10"/>
        <v>39.952073509670889</v>
      </c>
      <c r="O21" s="46">
        <f t="shared" si="10"/>
        <v>37.098353973265823</v>
      </c>
      <c r="P21" s="46">
        <f t="shared" si="10"/>
        <v>34.244634436860757</v>
      </c>
      <c r="Q21" s="46">
        <f t="shared" si="10"/>
        <v>31.390914900455694</v>
      </c>
      <c r="R21" s="46">
        <f t="shared" si="10"/>
        <v>27.672160879000277</v>
      </c>
      <c r="S21" s="46">
        <f t="shared" si="10"/>
        <v>24.904944791100249</v>
      </c>
      <c r="T21" s="46">
        <f t="shared" si="10"/>
        <v>22.137728703200221</v>
      </c>
      <c r="U21" s="46">
        <f t="shared" si="10"/>
        <v>19.370512615300193</v>
      </c>
      <c r="V21" s="46">
        <f t="shared" si="10"/>
        <v>16.603296527400165</v>
      </c>
      <c r="W21" s="46">
        <f t="shared" si="10"/>
        <v>13.836080439500137</v>
      </c>
      <c r="X21" s="46">
        <f t="shared" si="10"/>
        <v>11.068864351600109</v>
      </c>
      <c r="Y21" s="46">
        <f t="shared" si="10"/>
        <v>8.3016482637000806</v>
      </c>
      <c r="Z21" s="46">
        <f t="shared" si="10"/>
        <v>5.5344321758000543</v>
      </c>
      <c r="AA21" s="46">
        <f t="shared" si="10"/>
        <v>2.7672160879000272</v>
      </c>
      <c r="AB21" s="46">
        <f t="shared" si="10"/>
        <v>0</v>
      </c>
      <c r="AC21" s="46">
        <f t="shared" si="10"/>
        <v>0</v>
      </c>
      <c r="AD21" s="46">
        <f t="shared" si="10"/>
        <v>0</v>
      </c>
      <c r="AE21" s="46">
        <f t="shared" si="10"/>
        <v>0</v>
      </c>
      <c r="AF21" s="46">
        <f t="shared" si="10"/>
        <v>0</v>
      </c>
      <c r="AG21" s="46">
        <f t="shared" si="10"/>
        <v>0</v>
      </c>
      <c r="AH21" s="46">
        <f t="shared" si="10"/>
        <v>0</v>
      </c>
      <c r="AI21" s="46">
        <f t="shared" si="10"/>
        <v>0</v>
      </c>
      <c r="AJ21" s="46">
        <f t="shared" si="10"/>
        <v>0</v>
      </c>
      <c r="AK21" s="46">
        <f t="shared" ref="AK21:BP21" si="11">AK19-AK20</f>
        <v>0</v>
      </c>
      <c r="AL21" s="46">
        <f t="shared" si="11"/>
        <v>0</v>
      </c>
      <c r="AM21" s="46">
        <f t="shared" si="11"/>
        <v>0</v>
      </c>
      <c r="AN21" s="46">
        <f t="shared" si="11"/>
        <v>0</v>
      </c>
      <c r="AO21" s="46">
        <f t="shared" si="11"/>
        <v>0</v>
      </c>
      <c r="AP21" s="46">
        <f t="shared" si="11"/>
        <v>0</v>
      </c>
      <c r="AQ21" s="46">
        <f t="shared" si="11"/>
        <v>0</v>
      </c>
      <c r="AR21" s="46">
        <f t="shared" si="11"/>
        <v>0</v>
      </c>
      <c r="AS21" s="46">
        <f t="shared" si="11"/>
        <v>0</v>
      </c>
      <c r="AT21" s="46">
        <f t="shared" si="11"/>
        <v>0</v>
      </c>
      <c r="AU21" s="46">
        <f t="shared" si="11"/>
        <v>0</v>
      </c>
      <c r="AV21" s="46">
        <f t="shared" si="11"/>
        <v>0</v>
      </c>
      <c r="AW21" s="46">
        <f t="shared" si="11"/>
        <v>0</v>
      </c>
      <c r="AX21" s="46">
        <f t="shared" si="11"/>
        <v>0</v>
      </c>
      <c r="AY21" s="46">
        <f t="shared" si="11"/>
        <v>0</v>
      </c>
      <c r="AZ21" s="46">
        <f t="shared" si="11"/>
        <v>0</v>
      </c>
      <c r="BA21" s="46">
        <f t="shared" si="11"/>
        <v>0</v>
      </c>
      <c r="BB21" s="46">
        <f t="shared" si="11"/>
        <v>0</v>
      </c>
      <c r="BC21" s="46">
        <f t="shared" si="11"/>
        <v>0</v>
      </c>
      <c r="BD21" s="46">
        <f t="shared" si="11"/>
        <v>0</v>
      </c>
      <c r="BE21" s="46">
        <f t="shared" si="11"/>
        <v>0</v>
      </c>
      <c r="BF21" s="46">
        <f t="shared" si="11"/>
        <v>0</v>
      </c>
      <c r="BG21" s="46">
        <f t="shared" si="11"/>
        <v>0</v>
      </c>
      <c r="BH21" s="46">
        <f t="shared" si="11"/>
        <v>0</v>
      </c>
      <c r="BI21" s="46">
        <f t="shared" si="11"/>
        <v>0</v>
      </c>
      <c r="BJ21" s="46">
        <f t="shared" si="11"/>
        <v>0</v>
      </c>
      <c r="BK21" s="46">
        <f t="shared" si="11"/>
        <v>0</v>
      </c>
      <c r="BL21" s="46">
        <f t="shared" si="11"/>
        <v>0</v>
      </c>
      <c r="BM21" s="32"/>
      <c r="BN21" s="32"/>
    </row>
    <row r="22" spans="1:66" ht="20" customHeight="1">
      <c r="A22" s="30"/>
      <c r="B22" s="30"/>
      <c r="C22" s="31" t="s">
        <v>242</v>
      </c>
      <c r="D22" s="31"/>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row>
    <row r="23" spans="1:66" ht="20" customHeight="1">
      <c r="A23" s="30"/>
      <c r="B23" s="30"/>
      <c r="C23" s="31" t="s">
        <v>235</v>
      </c>
      <c r="D23" s="31"/>
      <c r="E23" s="35">
        <f>(3)*(Assumptions!G143-Assumptions!H143)</f>
        <v>105</v>
      </c>
      <c r="F23" s="46">
        <f t="shared" ref="F23:AK23" si="12">E28</f>
        <v>102.08333333333333</v>
      </c>
      <c r="G23" s="46">
        <f t="shared" si="12"/>
        <v>97.141790502345415</v>
      </c>
      <c r="H23" s="46">
        <f t="shared" si="12"/>
        <v>94.172744701367137</v>
      </c>
      <c r="I23" s="46">
        <f t="shared" si="12"/>
        <v>91.319025164962071</v>
      </c>
      <c r="J23" s="46">
        <f t="shared" si="12"/>
        <v>88.465305628557005</v>
      </c>
      <c r="K23" s="46">
        <f t="shared" si="12"/>
        <v>85.611586092151938</v>
      </c>
      <c r="L23" s="46">
        <f t="shared" si="12"/>
        <v>82.757866555746872</v>
      </c>
      <c r="M23" s="46">
        <f t="shared" si="12"/>
        <v>79.904147019341806</v>
      </c>
      <c r="N23" s="46">
        <f t="shared" si="12"/>
        <v>77.05042748293674</v>
      </c>
      <c r="O23" s="46">
        <f t="shared" si="12"/>
        <v>74.196707946531674</v>
      </c>
      <c r="P23" s="46">
        <f t="shared" si="12"/>
        <v>71.342988410126608</v>
      </c>
      <c r="Q23" s="46">
        <f t="shared" si="12"/>
        <v>68.489268873721542</v>
      </c>
      <c r="R23" s="46">
        <f t="shared" si="12"/>
        <v>65.635549337316476</v>
      </c>
      <c r="S23" s="46">
        <f t="shared" si="12"/>
        <v>60.878753933800631</v>
      </c>
      <c r="T23" s="46">
        <f t="shared" si="12"/>
        <v>58.1115378459006</v>
      </c>
      <c r="U23" s="46">
        <f t="shared" si="12"/>
        <v>55.344321758000568</v>
      </c>
      <c r="V23" s="46">
        <f t="shared" si="12"/>
        <v>52.577105670100536</v>
      </c>
      <c r="W23" s="46">
        <f t="shared" si="12"/>
        <v>49.809889582200512</v>
      </c>
      <c r="X23" s="46">
        <f t="shared" si="12"/>
        <v>47.04267349430048</v>
      </c>
      <c r="Y23" s="46">
        <f t="shared" si="12"/>
        <v>44.275457406400449</v>
      </c>
      <c r="Z23" s="46">
        <f t="shared" si="12"/>
        <v>41.508241318500424</v>
      </c>
      <c r="AA23" s="46">
        <f t="shared" si="12"/>
        <v>38.741025230600393</v>
      </c>
      <c r="AB23" s="46">
        <f t="shared" si="12"/>
        <v>35.973809142700361</v>
      </c>
      <c r="AC23" s="46">
        <f t="shared" si="12"/>
        <v>33.206593054800337</v>
      </c>
      <c r="AD23" s="46">
        <f t="shared" si="12"/>
        <v>30.439376966900308</v>
      </c>
      <c r="AE23" s="46">
        <f t="shared" si="12"/>
        <v>26.566382371117502</v>
      </c>
      <c r="AF23" s="46">
        <f t="shared" si="12"/>
        <v>23.909744134005752</v>
      </c>
      <c r="AG23" s="46">
        <f t="shared" si="12"/>
        <v>21.253105896894002</v>
      </c>
      <c r="AH23" s="46">
        <f t="shared" si="12"/>
        <v>18.596467659782252</v>
      </c>
      <c r="AI23" s="46">
        <f t="shared" si="12"/>
        <v>15.939829422670503</v>
      </c>
      <c r="AJ23" s="46">
        <f t="shared" si="12"/>
        <v>13.283191185558753</v>
      </c>
      <c r="AK23" s="46">
        <f t="shared" si="12"/>
        <v>10.626552948447003</v>
      </c>
      <c r="AL23" s="46">
        <f t="shared" ref="AL23:BL23" si="13">AK28</f>
        <v>7.9699147113352522</v>
      </c>
      <c r="AM23" s="46">
        <f t="shared" si="13"/>
        <v>5.3132764742235015</v>
      </c>
      <c r="AN23" s="46">
        <f t="shared" si="13"/>
        <v>2.6566382371117507</v>
      </c>
      <c r="AO23" s="46">
        <f t="shared" si="13"/>
        <v>0</v>
      </c>
      <c r="AP23" s="46">
        <f t="shared" si="13"/>
        <v>0</v>
      </c>
      <c r="AQ23" s="46">
        <f t="shared" si="13"/>
        <v>0</v>
      </c>
      <c r="AR23" s="46">
        <f t="shared" si="13"/>
        <v>0</v>
      </c>
      <c r="AS23" s="46">
        <f t="shared" si="13"/>
        <v>0</v>
      </c>
      <c r="AT23" s="46">
        <f t="shared" si="13"/>
        <v>0</v>
      </c>
      <c r="AU23" s="46">
        <f t="shared" si="13"/>
        <v>0</v>
      </c>
      <c r="AV23" s="46">
        <f t="shared" si="13"/>
        <v>0</v>
      </c>
      <c r="AW23" s="46">
        <f t="shared" si="13"/>
        <v>0</v>
      </c>
      <c r="AX23" s="46">
        <f t="shared" si="13"/>
        <v>0</v>
      </c>
      <c r="AY23" s="46">
        <f t="shared" si="13"/>
        <v>0</v>
      </c>
      <c r="AZ23" s="46">
        <f t="shared" si="13"/>
        <v>0</v>
      </c>
      <c r="BA23" s="46">
        <f t="shared" si="13"/>
        <v>0</v>
      </c>
      <c r="BB23" s="46">
        <f t="shared" si="13"/>
        <v>0</v>
      </c>
      <c r="BC23" s="46">
        <f t="shared" si="13"/>
        <v>0</v>
      </c>
      <c r="BD23" s="46">
        <f t="shared" si="13"/>
        <v>0</v>
      </c>
      <c r="BE23" s="46">
        <f t="shared" si="13"/>
        <v>0</v>
      </c>
      <c r="BF23" s="46">
        <f t="shared" si="13"/>
        <v>0</v>
      </c>
      <c r="BG23" s="46">
        <f t="shared" si="13"/>
        <v>0</v>
      </c>
      <c r="BH23" s="46">
        <f t="shared" si="13"/>
        <v>0</v>
      </c>
      <c r="BI23" s="46">
        <f t="shared" si="13"/>
        <v>0</v>
      </c>
      <c r="BJ23" s="46">
        <f t="shared" si="13"/>
        <v>0</v>
      </c>
      <c r="BK23" s="46">
        <f t="shared" si="13"/>
        <v>0</v>
      </c>
      <c r="BL23" s="46">
        <f t="shared" si="13"/>
        <v>0</v>
      </c>
      <c r="BM23" s="32"/>
      <c r="BN23" s="32"/>
    </row>
    <row r="24" spans="1:66" ht="20" customHeight="1">
      <c r="A24" s="30"/>
      <c r="B24" s="30"/>
      <c r="C24" s="31" t="s">
        <v>236</v>
      </c>
      <c r="D24" s="31"/>
      <c r="E24" s="46">
        <f>0</f>
        <v>0</v>
      </c>
      <c r="F24" s="46">
        <f>0</f>
        <v>0</v>
      </c>
      <c r="G24" s="46">
        <f>0</f>
        <v>0</v>
      </c>
      <c r="H24" s="46">
        <f>0</f>
        <v>0</v>
      </c>
      <c r="I24" s="46">
        <f>0</f>
        <v>0</v>
      </c>
      <c r="J24" s="46">
        <f>0</f>
        <v>0</v>
      </c>
      <c r="K24" s="46">
        <f>0</f>
        <v>0</v>
      </c>
      <c r="L24" s="46">
        <f>0</f>
        <v>0</v>
      </c>
      <c r="M24" s="46">
        <f>0</f>
        <v>0</v>
      </c>
      <c r="N24" s="46">
        <f>0</f>
        <v>0</v>
      </c>
      <c r="O24" s="46">
        <f>0</f>
        <v>0</v>
      </c>
      <c r="P24" s="46">
        <f>0</f>
        <v>0</v>
      </c>
      <c r="Q24" s="46">
        <f>0</f>
        <v>0</v>
      </c>
      <c r="R24" s="46">
        <f>0</f>
        <v>0</v>
      </c>
      <c r="S24" s="46">
        <f>0</f>
        <v>0</v>
      </c>
      <c r="T24" s="46">
        <f>0</f>
        <v>0</v>
      </c>
      <c r="U24" s="46">
        <f>0</f>
        <v>0</v>
      </c>
      <c r="V24" s="46">
        <f>0</f>
        <v>0</v>
      </c>
      <c r="W24" s="46">
        <f>0</f>
        <v>0</v>
      </c>
      <c r="X24" s="46">
        <f>0</f>
        <v>0</v>
      </c>
      <c r="Y24" s="46">
        <f>0</f>
        <v>0</v>
      </c>
      <c r="Z24" s="46">
        <f>0</f>
        <v>0</v>
      </c>
      <c r="AA24" s="46">
        <f>0</f>
        <v>0</v>
      </c>
      <c r="AB24" s="46">
        <f>0</f>
        <v>0</v>
      </c>
      <c r="AC24" s="46">
        <f>0</f>
        <v>0</v>
      </c>
      <c r="AD24" s="46">
        <f>0</f>
        <v>0</v>
      </c>
      <c r="AE24" s="46">
        <f>0</f>
        <v>0</v>
      </c>
      <c r="AF24" s="46">
        <f>0</f>
        <v>0</v>
      </c>
      <c r="AG24" s="46">
        <f>0</f>
        <v>0</v>
      </c>
      <c r="AH24" s="46">
        <f>0</f>
        <v>0</v>
      </c>
      <c r="AI24" s="46">
        <f>0</f>
        <v>0</v>
      </c>
      <c r="AJ24" s="46">
        <f>0</f>
        <v>0</v>
      </c>
      <c r="AK24" s="46">
        <f>0</f>
        <v>0</v>
      </c>
      <c r="AL24" s="46">
        <f>0</f>
        <v>0</v>
      </c>
      <c r="AM24" s="46">
        <f>0</f>
        <v>0</v>
      </c>
      <c r="AN24" s="46">
        <f>0</f>
        <v>0</v>
      </c>
      <c r="AO24" s="46">
        <f>0</f>
        <v>0</v>
      </c>
      <c r="AP24" s="46">
        <f>0</f>
        <v>0</v>
      </c>
      <c r="AQ24" s="46">
        <f>0</f>
        <v>0</v>
      </c>
      <c r="AR24" s="46">
        <f>0</f>
        <v>0</v>
      </c>
      <c r="AS24" s="46">
        <f>0</f>
        <v>0</v>
      </c>
      <c r="AT24" s="46">
        <f>0</f>
        <v>0</v>
      </c>
      <c r="AU24" s="46">
        <f>0</f>
        <v>0</v>
      </c>
      <c r="AV24" s="46">
        <f>0</f>
        <v>0</v>
      </c>
      <c r="AW24" s="46">
        <f>0</f>
        <v>0</v>
      </c>
      <c r="AX24" s="46">
        <f>0</f>
        <v>0</v>
      </c>
      <c r="AY24" s="46">
        <f>0</f>
        <v>0</v>
      </c>
      <c r="AZ24" s="46">
        <f>0</f>
        <v>0</v>
      </c>
      <c r="BA24" s="46">
        <f>0</f>
        <v>0</v>
      </c>
      <c r="BB24" s="46">
        <f>0</f>
        <v>0</v>
      </c>
      <c r="BC24" s="46">
        <f>0</f>
        <v>0</v>
      </c>
      <c r="BD24" s="46">
        <f>0</f>
        <v>0</v>
      </c>
      <c r="BE24" s="46">
        <f>0</f>
        <v>0</v>
      </c>
      <c r="BF24" s="46">
        <f>0</f>
        <v>0</v>
      </c>
      <c r="BG24" s="46">
        <f>0</f>
        <v>0</v>
      </c>
      <c r="BH24" s="46">
        <f>0</f>
        <v>0</v>
      </c>
      <c r="BI24" s="46">
        <f>0</f>
        <v>0</v>
      </c>
      <c r="BJ24" s="46">
        <f>0</f>
        <v>0</v>
      </c>
      <c r="BK24" s="46">
        <f>0</f>
        <v>0</v>
      </c>
      <c r="BL24" s="46">
        <f>0</f>
        <v>0</v>
      </c>
      <c r="BM24" s="32"/>
      <c r="BN24" s="32"/>
    </row>
    <row r="25" spans="1:66" ht="20" customHeight="1">
      <c r="A25" s="30"/>
      <c r="B25" s="30"/>
      <c r="C25" s="31" t="s">
        <v>237</v>
      </c>
      <c r="D25" s="31"/>
      <c r="E25" s="46">
        <f>IF(0&lt;0,0,IF(36-(0-0)&gt;0,MIN(E23+E24,(E23+E24)/MAX(1,36-(0-0))),E23+E24))</f>
        <v>2.9166666666666665</v>
      </c>
      <c r="F25" s="46">
        <f>IF(1&lt;0,0,IF(36-(1-0)&gt;0,MIN(F23+F24,(F23+F24)/MAX(1,36-(1-0))),F23+F24))</f>
        <v>2.9166666666666665</v>
      </c>
      <c r="G25" s="46">
        <f>IF(2&lt;0,0,IF(36-(2-0)&gt;0,MIN(G23+G24,(G23+G24)/MAX(1,36-(2-0))),G23+G24))</f>
        <v>2.8571114853631006</v>
      </c>
      <c r="H25" s="46">
        <f>IF(3&lt;0,0,IF(36-(3-0)&gt;0,MIN(H23+H24,(H23+H24)/MAX(1,36-(3-0))),H23+H24))</f>
        <v>2.8537195364050647</v>
      </c>
      <c r="I25" s="46">
        <f>IF(4&lt;0,0,IF(36-(4-0)&gt;0,MIN(I23+I24,(I23+I24)/MAX(1,36-(4-0))),I23+I24))</f>
        <v>2.8537195364050647</v>
      </c>
      <c r="J25" s="46">
        <f>IF(5&lt;0,0,IF(36-(5-0)&gt;0,MIN(J23+J24,(J23+J24)/MAX(1,36-(5-0))),J23+J24))</f>
        <v>2.8537195364050647</v>
      </c>
      <c r="K25" s="46">
        <f>IF(6&lt;0,0,IF(36-(6-0)&gt;0,MIN(K23+K24,(K23+K24)/MAX(1,36-(6-0))),K23+K24))</f>
        <v>2.8537195364050647</v>
      </c>
      <c r="L25" s="46">
        <f>IF(7&lt;0,0,IF(36-(7-0)&gt;0,MIN(L23+L24,(L23+L24)/MAX(1,36-(7-0))),L23+L24))</f>
        <v>2.8537195364050647</v>
      </c>
      <c r="M25" s="46">
        <f>IF(8&lt;0,0,IF(36-(8-0)&gt;0,MIN(M23+M24,(M23+M24)/MAX(1,36-(8-0))),M23+M24))</f>
        <v>2.8537195364050647</v>
      </c>
      <c r="N25" s="46">
        <f>IF(9&lt;0,0,IF(36-(9-0)&gt;0,MIN(N23+N24,(N23+N24)/MAX(1,36-(9-0))),N23+N24))</f>
        <v>2.8537195364050643</v>
      </c>
      <c r="O25" s="46">
        <f>IF(10&lt;0,0,IF(36-(10-0)&gt;0,MIN(O23+O24,(O23+O24)/MAX(1,36-(10-0))),O23+O24))</f>
        <v>2.8537195364050643</v>
      </c>
      <c r="P25" s="46">
        <f>IF(11&lt;0,0,IF(36-(11-0)&gt;0,MIN(P23+P24,(P23+P24)/MAX(1,36-(11-0))),P23+P24))</f>
        <v>2.8537195364050643</v>
      </c>
      <c r="Q25" s="46">
        <f>IF(12&lt;0,0,IF(36-(12-0)&gt;0,MIN(Q23+Q24,(Q23+Q24)/MAX(1,36-(12-0))),Q23+Q24))</f>
        <v>2.8537195364050643</v>
      </c>
      <c r="R25" s="46">
        <f>IF(13&lt;0,0,IF(36-(13-0)&gt;0,MIN(R23+R24,(R23+R24)/MAX(1,36-(13-0))),R23+R24))</f>
        <v>2.8537195364050643</v>
      </c>
      <c r="S25" s="46">
        <f>IF(14&lt;0,0,IF(36-(14-0)&gt;0,MIN(S23+S24,(S23+S24)/MAX(1,36-(14-0))),S23+S24))</f>
        <v>2.7672160879000285</v>
      </c>
      <c r="T25" s="46">
        <f>IF(15&lt;0,0,IF(36-(15-0)&gt;0,MIN(T23+T24,(T23+T24)/MAX(1,36-(15-0))),T23+T24))</f>
        <v>2.7672160879000285</v>
      </c>
      <c r="U25" s="46">
        <f>IF(16&lt;0,0,IF(36-(16-0)&gt;0,MIN(U23+U24,(U23+U24)/MAX(1,36-(16-0))),U23+U24))</f>
        <v>2.7672160879000285</v>
      </c>
      <c r="V25" s="46">
        <f>IF(17&lt;0,0,IF(36-(17-0)&gt;0,MIN(V23+V24,(V23+V24)/MAX(1,36-(17-0))),V23+V24))</f>
        <v>2.767216087900028</v>
      </c>
      <c r="W25" s="46">
        <f>IF(18&lt;0,0,IF(36-(18-0)&gt;0,MIN(W23+W24,(W23+W24)/MAX(1,36-(18-0))),W23+W24))</f>
        <v>2.7672160879000285</v>
      </c>
      <c r="X25" s="46">
        <f>IF(19&lt;0,0,IF(36-(19-0)&gt;0,MIN(X23+X24,(X23+X24)/MAX(1,36-(19-0))),X23+X24))</f>
        <v>2.767216087900028</v>
      </c>
      <c r="Y25" s="46">
        <f>IF(20&lt;0,0,IF(36-(20-0)&gt;0,MIN(Y23+Y24,(Y23+Y24)/MAX(1,36-(20-0))),Y23+Y24))</f>
        <v>2.767216087900028</v>
      </c>
      <c r="Z25" s="46">
        <f>IF(21&lt;0,0,IF(36-(21-0)&gt;0,MIN(Z23+Z24,(Z23+Z24)/MAX(1,36-(21-0))),Z23+Z24))</f>
        <v>2.7672160879000285</v>
      </c>
      <c r="AA25" s="46">
        <f>IF(22&lt;0,0,IF(36-(22-0)&gt;0,MIN(AA23+AA24,(AA23+AA24)/MAX(1,36-(22-0))),AA23+AA24))</f>
        <v>2.767216087900028</v>
      </c>
      <c r="AB25" s="46">
        <f>IF(23&lt;0,0,IF(36-(23-0)&gt;0,MIN(AB23+AB24,(AB23+AB24)/MAX(1,36-(23-0))),AB23+AB24))</f>
        <v>2.7672160879000276</v>
      </c>
      <c r="AC25" s="46">
        <f>IF(24&lt;0,0,IF(36-(24-0)&gt;0,MIN(AC23+AC24,(AC23+AC24)/MAX(1,36-(24-0))),AC23+AC24))</f>
        <v>2.767216087900028</v>
      </c>
      <c r="AD25" s="46">
        <f>IF(25&lt;0,0,IF(36-(25-0)&gt;0,MIN(AD23+AD24,(AD23+AD24)/MAX(1,36-(25-0))),AD23+AD24))</f>
        <v>2.767216087900028</v>
      </c>
      <c r="AE25" s="46">
        <f>IF(26&lt;0,0,IF(36-(26-0)&gt;0,MIN(AE23+AE24,(AE23+AE24)/MAX(1,36-(26-0))),AE23+AE24))</f>
        <v>2.6566382371117503</v>
      </c>
      <c r="AF25" s="46">
        <f>IF(27&lt;0,0,IF(36-(27-0)&gt;0,MIN(AF23+AF24,(AF23+AF24)/MAX(1,36-(27-0))),AF23+AF24))</f>
        <v>2.6566382371117503</v>
      </c>
      <c r="AG25" s="46">
        <f>IF(28&lt;0,0,IF(36-(28-0)&gt;0,MIN(AG23+AG24,(AG23+AG24)/MAX(1,36-(28-0))),AG23+AG24))</f>
        <v>2.6566382371117503</v>
      </c>
      <c r="AH25" s="46">
        <f>IF(29&lt;0,0,IF(36-(29-0)&gt;0,MIN(AH23+AH24,(AH23+AH24)/MAX(1,36-(29-0))),AH23+AH24))</f>
        <v>2.6566382371117503</v>
      </c>
      <c r="AI25" s="46">
        <f>IF(30&lt;0,0,IF(36-(30-0)&gt;0,MIN(AI23+AI24,(AI23+AI24)/MAX(1,36-(30-0))),AI23+AI24))</f>
        <v>2.6566382371117503</v>
      </c>
      <c r="AJ25" s="46">
        <f>IF(31&lt;0,0,IF(36-(31-0)&gt;0,MIN(AJ23+AJ24,(AJ23+AJ24)/MAX(1,36-(31-0))),AJ23+AJ24))</f>
        <v>2.6566382371117507</v>
      </c>
      <c r="AK25" s="46">
        <f>IF(32&lt;0,0,IF(36-(32-0)&gt;0,MIN(AK23+AK24,(AK23+AK24)/MAX(1,36-(32-0))),AK23+AK24))</f>
        <v>2.6566382371117507</v>
      </c>
      <c r="AL25" s="46">
        <f>IF(33&lt;0,0,IF(36-(33-0)&gt;0,MIN(AL23+AL24,(AL23+AL24)/MAX(1,36-(33-0))),AL23+AL24))</f>
        <v>2.6566382371117507</v>
      </c>
      <c r="AM25" s="46">
        <f>IF(34&lt;0,0,IF(36-(34-0)&gt;0,MIN(AM23+AM24,(AM23+AM24)/MAX(1,36-(34-0))),AM23+AM24))</f>
        <v>2.6566382371117507</v>
      </c>
      <c r="AN25" s="46">
        <f>IF(35&lt;0,0,IF(36-(35-0)&gt;0,MIN(AN23+AN24,(AN23+AN24)/MAX(1,36-(35-0))),AN23+AN24))</f>
        <v>2.6566382371117507</v>
      </c>
      <c r="AO25" s="46">
        <f>IF(36&lt;0,0,IF(36-(36-0)&gt;0,MIN(AO23+AO24,(AO23+AO24)/MAX(1,36-(36-0))),AO23+AO24))</f>
        <v>0</v>
      </c>
      <c r="AP25" s="46">
        <f>IF(37&lt;0,0,IF(36-(37-0)&gt;0,MIN(AP23+AP24,(AP23+AP24)/MAX(1,36-(37-0))),AP23+AP24))</f>
        <v>0</v>
      </c>
      <c r="AQ25" s="46">
        <f>IF(38&lt;0,0,IF(36-(38-0)&gt;0,MIN(AQ23+AQ24,(AQ23+AQ24)/MAX(1,36-(38-0))),AQ23+AQ24))</f>
        <v>0</v>
      </c>
      <c r="AR25" s="46">
        <f>IF(39&lt;0,0,IF(36-(39-0)&gt;0,MIN(AR23+AR24,(AR23+AR24)/MAX(1,36-(39-0))),AR23+AR24))</f>
        <v>0</v>
      </c>
      <c r="AS25" s="46">
        <f>IF(40&lt;0,0,IF(36-(40-0)&gt;0,MIN(AS23+AS24,(AS23+AS24)/MAX(1,36-(40-0))),AS23+AS24))</f>
        <v>0</v>
      </c>
      <c r="AT25" s="46">
        <f>IF(41&lt;0,0,IF(36-(41-0)&gt;0,MIN(AT23+AT24,(AT23+AT24)/MAX(1,36-(41-0))),AT23+AT24))</f>
        <v>0</v>
      </c>
      <c r="AU25" s="46">
        <f>IF(42&lt;0,0,IF(36-(42-0)&gt;0,MIN(AU23+AU24,(AU23+AU24)/MAX(1,36-(42-0))),AU23+AU24))</f>
        <v>0</v>
      </c>
      <c r="AV25" s="46">
        <f>IF(43&lt;0,0,IF(36-(43-0)&gt;0,MIN(AV23+AV24,(AV23+AV24)/MAX(1,36-(43-0))),AV23+AV24))</f>
        <v>0</v>
      </c>
      <c r="AW25" s="46">
        <f>IF(44&lt;0,0,IF(36-(44-0)&gt;0,MIN(AW23+AW24,(AW23+AW24)/MAX(1,36-(44-0))),AW23+AW24))</f>
        <v>0</v>
      </c>
      <c r="AX25" s="46">
        <f>IF(45&lt;0,0,IF(36-(45-0)&gt;0,MIN(AX23+AX24,(AX23+AX24)/MAX(1,36-(45-0))),AX23+AX24))</f>
        <v>0</v>
      </c>
      <c r="AY25" s="46">
        <f>IF(46&lt;0,0,IF(36-(46-0)&gt;0,MIN(AY23+AY24,(AY23+AY24)/MAX(1,36-(46-0))),AY23+AY24))</f>
        <v>0</v>
      </c>
      <c r="AZ25" s="46">
        <f>IF(47&lt;0,0,IF(36-(47-0)&gt;0,MIN(AZ23+AZ24,(AZ23+AZ24)/MAX(1,36-(47-0))),AZ23+AZ24))</f>
        <v>0</v>
      </c>
      <c r="BA25" s="46">
        <f>IF(48&lt;0,0,IF(36-(48-0)&gt;0,MIN(BA23+BA24,(BA23+BA24)/MAX(1,36-(48-0))),BA23+BA24))</f>
        <v>0</v>
      </c>
      <c r="BB25" s="46">
        <f>IF(49&lt;0,0,IF(36-(49-0)&gt;0,MIN(BB23+BB24,(BB23+BB24)/MAX(1,36-(49-0))),BB23+BB24))</f>
        <v>0</v>
      </c>
      <c r="BC25" s="46">
        <f>IF(50&lt;0,0,IF(36-(50-0)&gt;0,MIN(BC23+BC24,(BC23+BC24)/MAX(1,36-(50-0))),BC23+BC24))</f>
        <v>0</v>
      </c>
      <c r="BD25" s="46">
        <f>IF(51&lt;0,0,IF(36-(51-0)&gt;0,MIN(BD23+BD24,(BD23+BD24)/MAX(1,36-(51-0))),BD23+BD24))</f>
        <v>0</v>
      </c>
      <c r="BE25" s="46">
        <f>IF(52&lt;0,0,IF(36-(52-0)&gt;0,MIN(BE23+BE24,(BE23+BE24)/MAX(1,36-(52-0))),BE23+BE24))</f>
        <v>0</v>
      </c>
      <c r="BF25" s="46">
        <f>IF(53&lt;0,0,IF(36-(53-0)&gt;0,MIN(BF23+BF24,(BF23+BF24)/MAX(1,36-(53-0))),BF23+BF24))</f>
        <v>0</v>
      </c>
      <c r="BG25" s="46">
        <f>IF(54&lt;0,0,IF(36-(54-0)&gt;0,MIN(BG23+BG24,(BG23+BG24)/MAX(1,36-(54-0))),BG23+BG24))</f>
        <v>0</v>
      </c>
      <c r="BH25" s="46">
        <f>IF(55&lt;0,0,IF(36-(55-0)&gt;0,MIN(BH23+BH24,(BH23+BH24)/MAX(1,36-(55-0))),BH23+BH24))</f>
        <v>0</v>
      </c>
      <c r="BI25" s="46">
        <f>IF(56&lt;0,0,IF(36-(56-0)&gt;0,MIN(BI23+BI24,(BI23+BI24)/MAX(1,36-(56-0))),BI23+BI24))</f>
        <v>0</v>
      </c>
      <c r="BJ25" s="46">
        <f>IF(57&lt;0,0,IF(36-(57-0)&gt;0,MIN(BJ23+BJ24,(BJ23+BJ24)/MAX(1,36-(57-0))),BJ23+BJ24))</f>
        <v>0</v>
      </c>
      <c r="BK25" s="46">
        <f>IF(58&lt;0,0,IF(36-(58-0)&gt;0,MIN(BK23+BK24,(BK23+BK24)/MAX(1,36-(58-0))),BK23+BK24))</f>
        <v>0</v>
      </c>
      <c r="BL25" s="46">
        <f>IF(59&lt;0,0,IF(36-(59-0)&gt;0,MIN(BL23+BL24,(BL23+BL24)/MAX(1,36-(59-0))),BL23+BL24))</f>
        <v>0</v>
      </c>
      <c r="BM25" s="32"/>
      <c r="BN25" s="32"/>
    </row>
    <row r="26" spans="1:66" ht="20" customHeight="1">
      <c r="A26" s="30"/>
      <c r="B26" s="30"/>
      <c r="C26" s="31" t="s">
        <v>238</v>
      </c>
      <c r="D26" s="31"/>
      <c r="E26" s="46">
        <f t="shared" ref="E26:AJ26" si="14">E23+E24-E25</f>
        <v>102.08333333333333</v>
      </c>
      <c r="F26" s="46">
        <f t="shared" si="14"/>
        <v>99.166666666666657</v>
      </c>
      <c r="G26" s="46">
        <f t="shared" si="14"/>
        <v>94.284679016982309</v>
      </c>
      <c r="H26" s="46">
        <f t="shared" si="14"/>
        <v>91.319025164962071</v>
      </c>
      <c r="I26" s="46">
        <f t="shared" si="14"/>
        <v>88.465305628557005</v>
      </c>
      <c r="J26" s="46">
        <f t="shared" si="14"/>
        <v>85.611586092151938</v>
      </c>
      <c r="K26" s="46">
        <f t="shared" si="14"/>
        <v>82.757866555746872</v>
      </c>
      <c r="L26" s="46">
        <f t="shared" si="14"/>
        <v>79.904147019341806</v>
      </c>
      <c r="M26" s="46">
        <f t="shared" si="14"/>
        <v>77.05042748293674</v>
      </c>
      <c r="N26" s="46">
        <f t="shared" si="14"/>
        <v>74.196707946531674</v>
      </c>
      <c r="O26" s="46">
        <f t="shared" si="14"/>
        <v>71.342988410126608</v>
      </c>
      <c r="P26" s="46">
        <f t="shared" si="14"/>
        <v>68.489268873721542</v>
      </c>
      <c r="Q26" s="46">
        <f t="shared" si="14"/>
        <v>65.635549337316476</v>
      </c>
      <c r="R26" s="46">
        <f t="shared" si="14"/>
        <v>62.78182980091141</v>
      </c>
      <c r="S26" s="46">
        <f t="shared" si="14"/>
        <v>58.1115378459006</v>
      </c>
      <c r="T26" s="46">
        <f t="shared" si="14"/>
        <v>55.344321758000568</v>
      </c>
      <c r="U26" s="46">
        <f t="shared" si="14"/>
        <v>52.577105670100536</v>
      </c>
      <c r="V26" s="46">
        <f t="shared" si="14"/>
        <v>49.809889582200512</v>
      </c>
      <c r="W26" s="46">
        <f t="shared" si="14"/>
        <v>47.04267349430048</v>
      </c>
      <c r="X26" s="46">
        <f t="shared" si="14"/>
        <v>44.275457406400449</v>
      </c>
      <c r="Y26" s="46">
        <f t="shared" si="14"/>
        <v>41.508241318500424</v>
      </c>
      <c r="Z26" s="46">
        <f t="shared" si="14"/>
        <v>38.741025230600393</v>
      </c>
      <c r="AA26" s="46">
        <f t="shared" si="14"/>
        <v>35.973809142700361</v>
      </c>
      <c r="AB26" s="46">
        <f t="shared" si="14"/>
        <v>33.206593054800337</v>
      </c>
      <c r="AC26" s="46">
        <f t="shared" si="14"/>
        <v>30.439376966900308</v>
      </c>
      <c r="AD26" s="46">
        <f t="shared" si="14"/>
        <v>27.67216087900028</v>
      </c>
      <c r="AE26" s="46">
        <f t="shared" si="14"/>
        <v>23.909744134005752</v>
      </c>
      <c r="AF26" s="46">
        <f t="shared" si="14"/>
        <v>21.253105896894002</v>
      </c>
      <c r="AG26" s="46">
        <f t="shared" si="14"/>
        <v>18.596467659782252</v>
      </c>
      <c r="AH26" s="46">
        <f t="shared" si="14"/>
        <v>15.939829422670503</v>
      </c>
      <c r="AI26" s="46">
        <f t="shared" si="14"/>
        <v>13.283191185558753</v>
      </c>
      <c r="AJ26" s="46">
        <f t="shared" si="14"/>
        <v>10.626552948447003</v>
      </c>
      <c r="AK26" s="46">
        <f t="shared" ref="AK26:BP26" si="15">AK23+AK24-AK25</f>
        <v>7.9699147113352522</v>
      </c>
      <c r="AL26" s="46">
        <f t="shared" si="15"/>
        <v>5.3132764742235015</v>
      </c>
      <c r="AM26" s="46">
        <f t="shared" si="15"/>
        <v>2.6566382371117507</v>
      </c>
      <c r="AN26" s="46">
        <f t="shared" si="15"/>
        <v>0</v>
      </c>
      <c r="AO26" s="46">
        <f t="shared" si="15"/>
        <v>0</v>
      </c>
      <c r="AP26" s="46">
        <f t="shared" si="15"/>
        <v>0</v>
      </c>
      <c r="AQ26" s="46">
        <f t="shared" si="15"/>
        <v>0</v>
      </c>
      <c r="AR26" s="46">
        <f t="shared" si="15"/>
        <v>0</v>
      </c>
      <c r="AS26" s="46">
        <f t="shared" si="15"/>
        <v>0</v>
      </c>
      <c r="AT26" s="46">
        <f t="shared" si="15"/>
        <v>0</v>
      </c>
      <c r="AU26" s="46">
        <f t="shared" si="15"/>
        <v>0</v>
      </c>
      <c r="AV26" s="46">
        <f t="shared" si="15"/>
        <v>0</v>
      </c>
      <c r="AW26" s="46">
        <f t="shared" si="15"/>
        <v>0</v>
      </c>
      <c r="AX26" s="46">
        <f t="shared" si="15"/>
        <v>0</v>
      </c>
      <c r="AY26" s="46">
        <f t="shared" si="15"/>
        <v>0</v>
      </c>
      <c r="AZ26" s="46">
        <f t="shared" si="15"/>
        <v>0</v>
      </c>
      <c r="BA26" s="46">
        <f t="shared" si="15"/>
        <v>0</v>
      </c>
      <c r="BB26" s="46">
        <f t="shared" si="15"/>
        <v>0</v>
      </c>
      <c r="BC26" s="46">
        <f t="shared" si="15"/>
        <v>0</v>
      </c>
      <c r="BD26" s="46">
        <f t="shared" si="15"/>
        <v>0</v>
      </c>
      <c r="BE26" s="46">
        <f t="shared" si="15"/>
        <v>0</v>
      </c>
      <c r="BF26" s="46">
        <f t="shared" si="15"/>
        <v>0</v>
      </c>
      <c r="BG26" s="46">
        <f t="shared" si="15"/>
        <v>0</v>
      </c>
      <c r="BH26" s="46">
        <f t="shared" si="15"/>
        <v>0</v>
      </c>
      <c r="BI26" s="46">
        <f t="shared" si="15"/>
        <v>0</v>
      </c>
      <c r="BJ26" s="46">
        <f t="shared" si="15"/>
        <v>0</v>
      </c>
      <c r="BK26" s="46">
        <f t="shared" si="15"/>
        <v>0</v>
      </c>
      <c r="BL26" s="46">
        <f t="shared" si="15"/>
        <v>0</v>
      </c>
      <c r="BM26" s="32"/>
      <c r="BN26" s="32"/>
    </row>
    <row r="27" spans="1:66" ht="20" customHeight="1">
      <c r="A27" s="30"/>
      <c r="B27" s="30"/>
      <c r="C27" s="31" t="s">
        <v>239</v>
      </c>
      <c r="D27" s="31"/>
      <c r="E27" s="35">
        <f>IF(E91&gt;0,E26/E91*Transfers!E24,0)</f>
        <v>0</v>
      </c>
      <c r="F27" s="35">
        <f>IF(F91&gt;0,F26/F91*Transfers!F24,0)</f>
        <v>2.0248761643212485</v>
      </c>
      <c r="G27" s="35">
        <f>IF(G91&gt;0,G26/G91*Transfers!G24,0)</f>
        <v>0.11193431561517886</v>
      </c>
      <c r="H27" s="35">
        <f>IF(H91&gt;0,H26/H91*Transfers!H24,0)</f>
        <v>0</v>
      </c>
      <c r="I27" s="35">
        <f>IF(I91&gt;0,I26/I91*Transfers!I24,0)</f>
        <v>0</v>
      </c>
      <c r="J27" s="35">
        <f>IF(J91&gt;0,J26/J91*Transfers!J24,0)</f>
        <v>0</v>
      </c>
      <c r="K27" s="35">
        <f>IF(K91&gt;0,K26/K91*Transfers!K24,0)</f>
        <v>0</v>
      </c>
      <c r="L27" s="35">
        <f>IF(L91&gt;0,L26/L91*Transfers!L24,0)</f>
        <v>0</v>
      </c>
      <c r="M27" s="35">
        <f>IF(M91&gt;0,M26/M91*Transfers!M24,0)</f>
        <v>0</v>
      </c>
      <c r="N27" s="35">
        <f>IF(N91&gt;0,N26/N91*Transfers!N24,0)</f>
        <v>0</v>
      </c>
      <c r="O27" s="35">
        <f>IF(O91&gt;0,O26/O91*Transfers!O24,0)</f>
        <v>0</v>
      </c>
      <c r="P27" s="35">
        <f>IF(P91&gt;0,P26/P91*Transfers!P24,0)</f>
        <v>0</v>
      </c>
      <c r="Q27" s="35">
        <f>IF(Q91&gt;0,Q26/Q91*Transfers!Q24,0)</f>
        <v>0</v>
      </c>
      <c r="R27" s="35">
        <f>IF(R91&gt;0,R26/R91*Transfers!R24,0)</f>
        <v>1.9030758671107793</v>
      </c>
      <c r="S27" s="35">
        <f>IF(S91&gt;0,S26/S91*Transfers!S24,0)</f>
        <v>0</v>
      </c>
      <c r="T27" s="35">
        <f>IF(T91&gt;0,T26/T91*Transfers!T24,0)</f>
        <v>0</v>
      </c>
      <c r="U27" s="35">
        <f>IF(U91&gt;0,U26/U91*Transfers!U24,0)</f>
        <v>0</v>
      </c>
      <c r="V27" s="35">
        <f>IF(V91&gt;0,V26/V91*Transfers!V24,0)</f>
        <v>0</v>
      </c>
      <c r="W27" s="35">
        <f>IF(W91&gt;0,W26/W91*Transfers!W24,0)</f>
        <v>0</v>
      </c>
      <c r="X27" s="35">
        <f>IF(X91&gt;0,X26/X91*Transfers!X24,0)</f>
        <v>0</v>
      </c>
      <c r="Y27" s="35">
        <f>IF(Y91&gt;0,Y26/Y91*Transfers!Y24,0)</f>
        <v>0</v>
      </c>
      <c r="Z27" s="35">
        <f>IF(Z91&gt;0,Z26/Z91*Transfers!Z24,0)</f>
        <v>0</v>
      </c>
      <c r="AA27" s="35">
        <f>IF(AA91&gt;0,AA26/AA91*Transfers!AA24,0)</f>
        <v>0</v>
      </c>
      <c r="AB27" s="35">
        <f>IF(AB91&gt;0,AB26/AB91*Transfers!AB24,0)</f>
        <v>0</v>
      </c>
      <c r="AC27" s="35">
        <f>IF(AC91&gt;0,AC26/AC91*Transfers!AC24,0)</f>
        <v>0</v>
      </c>
      <c r="AD27" s="35">
        <f>IF(AD91&gt;0,AD26/AD91*Transfers!AD24,0)</f>
        <v>1.1057785078827786</v>
      </c>
      <c r="AE27" s="35">
        <f>IF(AE91&gt;0,AE26/AE91*Transfers!AE24,0)</f>
        <v>0</v>
      </c>
      <c r="AF27" s="35">
        <f>IF(AF91&gt;0,AF26/AF91*Transfers!AF24,0)</f>
        <v>0</v>
      </c>
      <c r="AG27" s="35">
        <f>IF(AG91&gt;0,AG26/AG91*Transfers!AG24,0)</f>
        <v>0</v>
      </c>
      <c r="AH27" s="35">
        <f>IF(AH91&gt;0,AH26/AH91*Transfers!AH24,0)</f>
        <v>0</v>
      </c>
      <c r="AI27" s="35">
        <f>IF(AI91&gt;0,AI26/AI91*Transfers!AI24,0)</f>
        <v>0</v>
      </c>
      <c r="AJ27" s="35">
        <f>IF(AJ91&gt;0,AJ26/AJ91*Transfers!AJ24,0)</f>
        <v>0</v>
      </c>
      <c r="AK27" s="35">
        <f>IF(AK91&gt;0,AK26/AK91*Transfers!AK24,0)</f>
        <v>0</v>
      </c>
      <c r="AL27" s="35">
        <f>IF(AL91&gt;0,AL26/AL91*Transfers!AL24,0)</f>
        <v>0</v>
      </c>
      <c r="AM27" s="35">
        <f>IF(AM91&gt;0,AM26/AM91*Transfers!AM24,0)</f>
        <v>0</v>
      </c>
      <c r="AN27" s="35">
        <f>IF(AN91&gt;0,AN26/AN91*Transfers!AN24,0)</f>
        <v>0</v>
      </c>
      <c r="AO27" s="35">
        <f>IF(AO91&gt;0,AO26/AO91*Transfers!AO24,0)</f>
        <v>0</v>
      </c>
      <c r="AP27" s="35">
        <f>IF(AP91&gt;0,AP26/AP91*Transfers!AP24,0)</f>
        <v>0</v>
      </c>
      <c r="AQ27" s="35">
        <f>IF(AQ91&gt;0,AQ26/AQ91*Transfers!AQ24,0)</f>
        <v>0</v>
      </c>
      <c r="AR27" s="35">
        <f>IF(AR91&gt;0,AR26/AR91*Transfers!AR24,0)</f>
        <v>0</v>
      </c>
      <c r="AS27" s="35">
        <f>IF(AS91&gt;0,AS26/AS91*Transfers!AS24,0)</f>
        <v>0</v>
      </c>
      <c r="AT27" s="35">
        <f>IF(AT91&gt;0,AT26/AT91*Transfers!AT24,0)</f>
        <v>0</v>
      </c>
      <c r="AU27" s="35">
        <f>IF(AU91&gt;0,AU26/AU91*Transfers!AU24,0)</f>
        <v>0</v>
      </c>
      <c r="AV27" s="35">
        <f>IF(AV91&gt;0,AV26/AV91*Transfers!AV24,0)</f>
        <v>0</v>
      </c>
      <c r="AW27" s="35">
        <f>IF(AW91&gt;0,AW26/AW91*Transfers!AW24,0)</f>
        <v>0</v>
      </c>
      <c r="AX27" s="35">
        <f>IF(AX91&gt;0,AX26/AX91*Transfers!AX24,0)</f>
        <v>0</v>
      </c>
      <c r="AY27" s="35">
        <f>IF(AY91&gt;0,AY26/AY91*Transfers!AY24,0)</f>
        <v>0</v>
      </c>
      <c r="AZ27" s="35">
        <f>IF(AZ91&gt;0,AZ26/AZ91*Transfers!AZ24,0)</f>
        <v>0</v>
      </c>
      <c r="BA27" s="35">
        <f>IF(BA91&gt;0,BA26/BA91*Transfers!BA24,0)</f>
        <v>0</v>
      </c>
      <c r="BB27" s="35">
        <f>IF(BB91&gt;0,BB26/BB91*Transfers!BB24,0)</f>
        <v>0</v>
      </c>
      <c r="BC27" s="35">
        <f>IF(BC91&gt;0,BC26/BC91*Transfers!BC24,0)</f>
        <v>0</v>
      </c>
      <c r="BD27" s="35">
        <f>IF(BD91&gt;0,BD26/BD91*Transfers!BD24,0)</f>
        <v>0</v>
      </c>
      <c r="BE27" s="35">
        <f>IF(BE91&gt;0,BE26/BE91*Transfers!BE24,0)</f>
        <v>0</v>
      </c>
      <c r="BF27" s="35">
        <f>IF(BF91&gt;0,BF26/BF91*Transfers!BF24,0)</f>
        <v>0</v>
      </c>
      <c r="BG27" s="35">
        <f>IF(BG91&gt;0,BG26/BG91*Transfers!BG24,0)</f>
        <v>0</v>
      </c>
      <c r="BH27" s="35">
        <f>IF(BH91&gt;0,BH26/BH91*Transfers!BH24,0)</f>
        <v>0</v>
      </c>
      <c r="BI27" s="35">
        <f>IF(BI91&gt;0,BI26/BI91*Transfers!BI24,0)</f>
        <v>0</v>
      </c>
      <c r="BJ27" s="35">
        <f>IF(BJ91&gt;0,BJ26/BJ91*Transfers!BJ24,0)</f>
        <v>0</v>
      </c>
      <c r="BK27" s="35">
        <f>IF(BK91&gt;0,BK26/BK91*Transfers!BK24,0)</f>
        <v>0</v>
      </c>
      <c r="BL27" s="35">
        <f>IF(BL91&gt;0,BL26/BL91*Transfers!BL24,0)</f>
        <v>0</v>
      </c>
      <c r="BM27" s="32"/>
      <c r="BN27" s="32"/>
    </row>
    <row r="28" spans="1:66" ht="20" customHeight="1">
      <c r="A28" s="30"/>
      <c r="B28" s="30"/>
      <c r="C28" s="31" t="s">
        <v>240</v>
      </c>
      <c r="D28" s="31"/>
      <c r="E28" s="46">
        <f t="shared" ref="E28:AJ28" si="16">E26-E27</f>
        <v>102.08333333333333</v>
      </c>
      <c r="F28" s="46">
        <f t="shared" si="16"/>
        <v>97.141790502345415</v>
      </c>
      <c r="G28" s="46">
        <f t="shared" si="16"/>
        <v>94.172744701367137</v>
      </c>
      <c r="H28" s="46">
        <f t="shared" si="16"/>
        <v>91.319025164962071</v>
      </c>
      <c r="I28" s="46">
        <f t="shared" si="16"/>
        <v>88.465305628557005</v>
      </c>
      <c r="J28" s="46">
        <f t="shared" si="16"/>
        <v>85.611586092151938</v>
      </c>
      <c r="K28" s="46">
        <f t="shared" si="16"/>
        <v>82.757866555746872</v>
      </c>
      <c r="L28" s="46">
        <f t="shared" si="16"/>
        <v>79.904147019341806</v>
      </c>
      <c r="M28" s="46">
        <f t="shared" si="16"/>
        <v>77.05042748293674</v>
      </c>
      <c r="N28" s="46">
        <f t="shared" si="16"/>
        <v>74.196707946531674</v>
      </c>
      <c r="O28" s="46">
        <f t="shared" si="16"/>
        <v>71.342988410126608</v>
      </c>
      <c r="P28" s="46">
        <f t="shared" si="16"/>
        <v>68.489268873721542</v>
      </c>
      <c r="Q28" s="46">
        <f t="shared" si="16"/>
        <v>65.635549337316476</v>
      </c>
      <c r="R28" s="46">
        <f t="shared" si="16"/>
        <v>60.878753933800631</v>
      </c>
      <c r="S28" s="46">
        <f t="shared" si="16"/>
        <v>58.1115378459006</v>
      </c>
      <c r="T28" s="46">
        <f t="shared" si="16"/>
        <v>55.344321758000568</v>
      </c>
      <c r="U28" s="46">
        <f t="shared" si="16"/>
        <v>52.577105670100536</v>
      </c>
      <c r="V28" s="46">
        <f t="shared" si="16"/>
        <v>49.809889582200512</v>
      </c>
      <c r="W28" s="46">
        <f t="shared" si="16"/>
        <v>47.04267349430048</v>
      </c>
      <c r="X28" s="46">
        <f t="shared" si="16"/>
        <v>44.275457406400449</v>
      </c>
      <c r="Y28" s="46">
        <f t="shared" si="16"/>
        <v>41.508241318500424</v>
      </c>
      <c r="Z28" s="46">
        <f t="shared" si="16"/>
        <v>38.741025230600393</v>
      </c>
      <c r="AA28" s="46">
        <f t="shared" si="16"/>
        <v>35.973809142700361</v>
      </c>
      <c r="AB28" s="46">
        <f t="shared" si="16"/>
        <v>33.206593054800337</v>
      </c>
      <c r="AC28" s="46">
        <f t="shared" si="16"/>
        <v>30.439376966900308</v>
      </c>
      <c r="AD28" s="46">
        <f t="shared" si="16"/>
        <v>26.566382371117502</v>
      </c>
      <c r="AE28" s="46">
        <f t="shared" si="16"/>
        <v>23.909744134005752</v>
      </c>
      <c r="AF28" s="46">
        <f t="shared" si="16"/>
        <v>21.253105896894002</v>
      </c>
      <c r="AG28" s="46">
        <f t="shared" si="16"/>
        <v>18.596467659782252</v>
      </c>
      <c r="AH28" s="46">
        <f t="shared" si="16"/>
        <v>15.939829422670503</v>
      </c>
      <c r="AI28" s="46">
        <f t="shared" si="16"/>
        <v>13.283191185558753</v>
      </c>
      <c r="AJ28" s="46">
        <f t="shared" si="16"/>
        <v>10.626552948447003</v>
      </c>
      <c r="AK28" s="46">
        <f t="shared" ref="AK28:BP28" si="17">AK26-AK27</f>
        <v>7.9699147113352522</v>
      </c>
      <c r="AL28" s="46">
        <f t="shared" si="17"/>
        <v>5.3132764742235015</v>
      </c>
      <c r="AM28" s="46">
        <f t="shared" si="17"/>
        <v>2.6566382371117507</v>
      </c>
      <c r="AN28" s="46">
        <f t="shared" si="17"/>
        <v>0</v>
      </c>
      <c r="AO28" s="46">
        <f t="shared" si="17"/>
        <v>0</v>
      </c>
      <c r="AP28" s="46">
        <f t="shared" si="17"/>
        <v>0</v>
      </c>
      <c r="AQ28" s="46">
        <f t="shared" si="17"/>
        <v>0</v>
      </c>
      <c r="AR28" s="46">
        <f t="shared" si="17"/>
        <v>0</v>
      </c>
      <c r="AS28" s="46">
        <f t="shared" si="17"/>
        <v>0</v>
      </c>
      <c r="AT28" s="46">
        <f t="shared" si="17"/>
        <v>0</v>
      </c>
      <c r="AU28" s="46">
        <f t="shared" si="17"/>
        <v>0</v>
      </c>
      <c r="AV28" s="46">
        <f t="shared" si="17"/>
        <v>0</v>
      </c>
      <c r="AW28" s="46">
        <f t="shared" si="17"/>
        <v>0</v>
      </c>
      <c r="AX28" s="46">
        <f t="shared" si="17"/>
        <v>0</v>
      </c>
      <c r="AY28" s="46">
        <f t="shared" si="17"/>
        <v>0</v>
      </c>
      <c r="AZ28" s="46">
        <f t="shared" si="17"/>
        <v>0</v>
      </c>
      <c r="BA28" s="46">
        <f t="shared" si="17"/>
        <v>0</v>
      </c>
      <c r="BB28" s="46">
        <f t="shared" si="17"/>
        <v>0</v>
      </c>
      <c r="BC28" s="46">
        <f t="shared" si="17"/>
        <v>0</v>
      </c>
      <c r="BD28" s="46">
        <f t="shared" si="17"/>
        <v>0</v>
      </c>
      <c r="BE28" s="46">
        <f t="shared" si="17"/>
        <v>0</v>
      </c>
      <c r="BF28" s="46">
        <f t="shared" si="17"/>
        <v>0</v>
      </c>
      <c r="BG28" s="46">
        <f t="shared" si="17"/>
        <v>0</v>
      </c>
      <c r="BH28" s="46">
        <f t="shared" si="17"/>
        <v>0</v>
      </c>
      <c r="BI28" s="46">
        <f t="shared" si="17"/>
        <v>0</v>
      </c>
      <c r="BJ28" s="46">
        <f t="shared" si="17"/>
        <v>0</v>
      </c>
      <c r="BK28" s="46">
        <f t="shared" si="17"/>
        <v>0</v>
      </c>
      <c r="BL28" s="46">
        <f t="shared" si="17"/>
        <v>0</v>
      </c>
      <c r="BM28" s="32"/>
      <c r="BN28" s="32"/>
    </row>
    <row r="29" spans="1:66" ht="20" customHeight="1">
      <c r="A29" s="30"/>
      <c r="B29" s="30"/>
      <c r="C29" s="31" t="s">
        <v>243</v>
      </c>
      <c r="D29" s="31"/>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row>
    <row r="30" spans="1:66" ht="20" customHeight="1">
      <c r="A30" s="30"/>
      <c r="B30" s="30"/>
      <c r="C30" s="31" t="s">
        <v>235</v>
      </c>
      <c r="D30" s="31"/>
      <c r="E30" s="35">
        <f>(4)*(Assumptions!H143-Assumptions!I143)</f>
        <v>115.232</v>
      </c>
      <c r="F30" s="46">
        <f t="shared" ref="F30:AK30" si="18">E35</f>
        <v>112.83133333333333</v>
      </c>
      <c r="G30" s="46">
        <f t="shared" si="18"/>
        <v>108.17579179530426</v>
      </c>
      <c r="H30" s="46">
        <f t="shared" si="18"/>
        <v>105.6985102346877</v>
      </c>
      <c r="I30" s="46">
        <f t="shared" si="18"/>
        <v>103.34965445169465</v>
      </c>
      <c r="J30" s="46">
        <f t="shared" si="18"/>
        <v>101.00079866870159</v>
      </c>
      <c r="K30" s="46">
        <f t="shared" si="18"/>
        <v>98.651942885708536</v>
      </c>
      <c r="L30" s="46">
        <f t="shared" si="18"/>
        <v>96.30308710271548</v>
      </c>
      <c r="M30" s="46">
        <f t="shared" si="18"/>
        <v>93.954231319722425</v>
      </c>
      <c r="N30" s="46">
        <f t="shared" si="18"/>
        <v>91.605375536729369</v>
      </c>
      <c r="O30" s="46">
        <f t="shared" si="18"/>
        <v>89.256519753736313</v>
      </c>
      <c r="P30" s="46">
        <f t="shared" si="18"/>
        <v>86.907663970743258</v>
      </c>
      <c r="Q30" s="46">
        <f t="shared" si="18"/>
        <v>84.558808187750202</v>
      </c>
      <c r="R30" s="46">
        <f t="shared" si="18"/>
        <v>82.209952404757146</v>
      </c>
      <c r="S30" s="46">
        <f t="shared" si="18"/>
        <v>77.440305029931977</v>
      </c>
      <c r="T30" s="46">
        <f t="shared" si="18"/>
        <v>75.162648999639856</v>
      </c>
      <c r="U30" s="46">
        <f t="shared" si="18"/>
        <v>72.884992969347735</v>
      </c>
      <c r="V30" s="46">
        <f t="shared" si="18"/>
        <v>70.607336939055614</v>
      </c>
      <c r="W30" s="46">
        <f t="shared" si="18"/>
        <v>68.329680908763493</v>
      </c>
      <c r="X30" s="46">
        <f t="shared" si="18"/>
        <v>66.052024878471371</v>
      </c>
      <c r="Y30" s="46">
        <f t="shared" si="18"/>
        <v>63.774368848179257</v>
      </c>
      <c r="Z30" s="46">
        <f t="shared" si="18"/>
        <v>61.496712817887143</v>
      </c>
      <c r="AA30" s="46">
        <f t="shared" si="18"/>
        <v>59.219056787595029</v>
      </c>
      <c r="AB30" s="46">
        <f t="shared" si="18"/>
        <v>56.941400757302915</v>
      </c>
      <c r="AC30" s="46">
        <f t="shared" si="18"/>
        <v>54.663744727010801</v>
      </c>
      <c r="AD30" s="46">
        <f t="shared" si="18"/>
        <v>52.386088696718687</v>
      </c>
      <c r="AE30" s="46">
        <f t="shared" si="18"/>
        <v>48.106101581821093</v>
      </c>
      <c r="AF30" s="46">
        <f t="shared" si="18"/>
        <v>45.919460600829225</v>
      </c>
      <c r="AG30" s="46">
        <f t="shared" si="18"/>
        <v>43.732819619837358</v>
      </c>
      <c r="AH30" s="46">
        <f t="shared" si="18"/>
        <v>41.54617863884549</v>
      </c>
      <c r="AI30" s="46">
        <f t="shared" si="18"/>
        <v>39.359537657853622</v>
      </c>
      <c r="AJ30" s="46">
        <f t="shared" si="18"/>
        <v>37.172896676861754</v>
      </c>
      <c r="AK30" s="46">
        <f t="shared" si="18"/>
        <v>34.986255695869886</v>
      </c>
      <c r="AL30" s="46">
        <f t="shared" ref="AL30:BL30" si="19">AK35</f>
        <v>32.799614714878018</v>
      </c>
      <c r="AM30" s="46">
        <f t="shared" si="19"/>
        <v>30.61297373388615</v>
      </c>
      <c r="AN30" s="46">
        <f t="shared" si="19"/>
        <v>28.426332752894282</v>
      </c>
      <c r="AO30" s="46">
        <f t="shared" si="19"/>
        <v>26.239691771902415</v>
      </c>
      <c r="AP30" s="46">
        <f t="shared" si="19"/>
        <v>24.053050790910547</v>
      </c>
      <c r="AQ30" s="46">
        <f t="shared" si="19"/>
        <v>20.708142965244793</v>
      </c>
      <c r="AR30" s="46">
        <f t="shared" si="19"/>
        <v>18.637328668720315</v>
      </c>
      <c r="AS30" s="46">
        <f t="shared" si="19"/>
        <v>16.566514372195837</v>
      </c>
      <c r="AT30" s="46">
        <f t="shared" si="19"/>
        <v>14.495700075671357</v>
      </c>
      <c r="AU30" s="46">
        <f t="shared" si="19"/>
        <v>12.424885779146877</v>
      </c>
      <c r="AV30" s="46">
        <f t="shared" si="19"/>
        <v>10.354071482622397</v>
      </c>
      <c r="AW30" s="46">
        <f t="shared" si="19"/>
        <v>8.2832571860979165</v>
      </c>
      <c r="AX30" s="46">
        <f t="shared" si="19"/>
        <v>6.2124428895734374</v>
      </c>
      <c r="AY30" s="46">
        <f t="shared" si="19"/>
        <v>4.1416285930489583</v>
      </c>
      <c r="AZ30" s="46">
        <f t="shared" si="19"/>
        <v>2.0708142965244791</v>
      </c>
      <c r="BA30" s="46">
        <f t="shared" si="19"/>
        <v>0</v>
      </c>
      <c r="BB30" s="46">
        <f t="shared" si="19"/>
        <v>0</v>
      </c>
      <c r="BC30" s="46">
        <f t="shared" si="19"/>
        <v>0</v>
      </c>
      <c r="BD30" s="46">
        <f t="shared" si="19"/>
        <v>0</v>
      </c>
      <c r="BE30" s="46">
        <f t="shared" si="19"/>
        <v>0</v>
      </c>
      <c r="BF30" s="46">
        <f t="shared" si="19"/>
        <v>0</v>
      </c>
      <c r="BG30" s="46">
        <f t="shared" si="19"/>
        <v>0</v>
      </c>
      <c r="BH30" s="46">
        <f t="shared" si="19"/>
        <v>0</v>
      </c>
      <c r="BI30" s="46">
        <f t="shared" si="19"/>
        <v>0</v>
      </c>
      <c r="BJ30" s="46">
        <f t="shared" si="19"/>
        <v>0</v>
      </c>
      <c r="BK30" s="46">
        <f t="shared" si="19"/>
        <v>0</v>
      </c>
      <c r="BL30" s="46">
        <f t="shared" si="19"/>
        <v>0</v>
      </c>
      <c r="BM30" s="32"/>
      <c r="BN30" s="32"/>
    </row>
    <row r="31" spans="1:66" ht="20" customHeight="1">
      <c r="A31" s="30"/>
      <c r="B31" s="30"/>
      <c r="C31" s="31" t="s">
        <v>236</v>
      </c>
      <c r="D31" s="31"/>
      <c r="E31" s="46">
        <f>0</f>
        <v>0</v>
      </c>
      <c r="F31" s="46">
        <f>0</f>
        <v>0</v>
      </c>
      <c r="G31" s="46">
        <f>0</f>
        <v>0</v>
      </c>
      <c r="H31" s="46">
        <f>0</f>
        <v>0</v>
      </c>
      <c r="I31" s="46">
        <f>0</f>
        <v>0</v>
      </c>
      <c r="J31" s="46">
        <f>0</f>
        <v>0</v>
      </c>
      <c r="K31" s="46">
        <f>0</f>
        <v>0</v>
      </c>
      <c r="L31" s="46">
        <f>0</f>
        <v>0</v>
      </c>
      <c r="M31" s="46">
        <f>0</f>
        <v>0</v>
      </c>
      <c r="N31" s="46">
        <f>0</f>
        <v>0</v>
      </c>
      <c r="O31" s="46">
        <f>0</f>
        <v>0</v>
      </c>
      <c r="P31" s="46">
        <f>0</f>
        <v>0</v>
      </c>
      <c r="Q31" s="46">
        <f>0</f>
        <v>0</v>
      </c>
      <c r="R31" s="46">
        <f>0</f>
        <v>0</v>
      </c>
      <c r="S31" s="46">
        <f>0</f>
        <v>0</v>
      </c>
      <c r="T31" s="46">
        <f>0</f>
        <v>0</v>
      </c>
      <c r="U31" s="46">
        <f>0</f>
        <v>0</v>
      </c>
      <c r="V31" s="46">
        <f>0</f>
        <v>0</v>
      </c>
      <c r="W31" s="46">
        <f>0</f>
        <v>0</v>
      </c>
      <c r="X31" s="46">
        <f>0</f>
        <v>0</v>
      </c>
      <c r="Y31" s="46">
        <f>0</f>
        <v>0</v>
      </c>
      <c r="Z31" s="46">
        <f>0</f>
        <v>0</v>
      </c>
      <c r="AA31" s="46">
        <f>0</f>
        <v>0</v>
      </c>
      <c r="AB31" s="46">
        <f>0</f>
        <v>0</v>
      </c>
      <c r="AC31" s="46">
        <f>0</f>
        <v>0</v>
      </c>
      <c r="AD31" s="46">
        <f>0</f>
        <v>0</v>
      </c>
      <c r="AE31" s="46">
        <f>0</f>
        <v>0</v>
      </c>
      <c r="AF31" s="46">
        <f>0</f>
        <v>0</v>
      </c>
      <c r="AG31" s="46">
        <f>0</f>
        <v>0</v>
      </c>
      <c r="AH31" s="46">
        <f>0</f>
        <v>0</v>
      </c>
      <c r="AI31" s="46">
        <f>0</f>
        <v>0</v>
      </c>
      <c r="AJ31" s="46">
        <f>0</f>
        <v>0</v>
      </c>
      <c r="AK31" s="46">
        <f>0</f>
        <v>0</v>
      </c>
      <c r="AL31" s="46">
        <f>0</f>
        <v>0</v>
      </c>
      <c r="AM31" s="46">
        <f>0</f>
        <v>0</v>
      </c>
      <c r="AN31" s="46">
        <f>0</f>
        <v>0</v>
      </c>
      <c r="AO31" s="46">
        <f>0</f>
        <v>0</v>
      </c>
      <c r="AP31" s="46">
        <f>0</f>
        <v>0</v>
      </c>
      <c r="AQ31" s="46">
        <f>0</f>
        <v>0</v>
      </c>
      <c r="AR31" s="46">
        <f>0</f>
        <v>0</v>
      </c>
      <c r="AS31" s="46">
        <f>0</f>
        <v>0</v>
      </c>
      <c r="AT31" s="46">
        <f>0</f>
        <v>0</v>
      </c>
      <c r="AU31" s="46">
        <f>0</f>
        <v>0</v>
      </c>
      <c r="AV31" s="46">
        <f>0</f>
        <v>0</v>
      </c>
      <c r="AW31" s="46">
        <f>0</f>
        <v>0</v>
      </c>
      <c r="AX31" s="46">
        <f>0</f>
        <v>0</v>
      </c>
      <c r="AY31" s="46">
        <f>0</f>
        <v>0</v>
      </c>
      <c r="AZ31" s="46">
        <f>0</f>
        <v>0</v>
      </c>
      <c r="BA31" s="46">
        <f>0</f>
        <v>0</v>
      </c>
      <c r="BB31" s="46">
        <f>0</f>
        <v>0</v>
      </c>
      <c r="BC31" s="46">
        <f>0</f>
        <v>0</v>
      </c>
      <c r="BD31" s="46">
        <f>0</f>
        <v>0</v>
      </c>
      <c r="BE31" s="46">
        <f>0</f>
        <v>0</v>
      </c>
      <c r="BF31" s="46">
        <f>0</f>
        <v>0</v>
      </c>
      <c r="BG31" s="46">
        <f>0</f>
        <v>0</v>
      </c>
      <c r="BH31" s="46">
        <f>0</f>
        <v>0</v>
      </c>
      <c r="BI31" s="46">
        <f>0</f>
        <v>0</v>
      </c>
      <c r="BJ31" s="46">
        <f>0</f>
        <v>0</v>
      </c>
      <c r="BK31" s="46">
        <f>0</f>
        <v>0</v>
      </c>
      <c r="BL31" s="46">
        <f>0</f>
        <v>0</v>
      </c>
      <c r="BM31" s="32"/>
      <c r="BN31" s="32"/>
    </row>
    <row r="32" spans="1:66" ht="20" customHeight="1">
      <c r="A32" s="30"/>
      <c r="B32" s="30"/>
      <c r="C32" s="31" t="s">
        <v>237</v>
      </c>
      <c r="D32" s="31"/>
      <c r="E32" s="46">
        <f>IF(0&lt;0,0,IF(48-(0-0)&gt;0,MIN(E30+E31,(E30+E31)/MAX(1,48-(0-0))),E30+E31))</f>
        <v>2.4006666666666665</v>
      </c>
      <c r="F32" s="46">
        <f>IF(1&lt;0,0,IF(48-(1-0)&gt;0,MIN(F30+F31,(F30+F31)/MAX(1,48-(1-0))),F30+F31))</f>
        <v>2.4006666666666665</v>
      </c>
      <c r="G32" s="46">
        <f>IF(2&lt;0,0,IF(48-(2-0)&gt;0,MIN(G30+G31,(G30+G31)/MAX(1,48-(2-0))),G30+G31))</f>
        <v>2.3516476477240058</v>
      </c>
      <c r="H32" s="46">
        <f>IF(3&lt;0,0,IF(48-(3-0)&gt;0,MIN(H30+H31,(H30+H31)/MAX(1,48-(3-0))),H30+H31))</f>
        <v>2.3488557829930601</v>
      </c>
      <c r="I32" s="46">
        <f>IF(4&lt;0,0,IF(48-(4-0)&gt;0,MIN(I30+I31,(I30+I31)/MAX(1,48-(4-0))),I30+I31))</f>
        <v>2.3488557829930601</v>
      </c>
      <c r="J32" s="46">
        <f>IF(5&lt;0,0,IF(48-(5-0)&gt;0,MIN(J30+J31,(J30+J31)/MAX(1,48-(5-0))),J30+J31))</f>
        <v>2.3488557829930601</v>
      </c>
      <c r="K32" s="46">
        <f>IF(6&lt;0,0,IF(48-(6-0)&gt;0,MIN(K30+K31,(K30+K31)/MAX(1,48-(6-0))),K30+K31))</f>
        <v>2.3488557829930605</v>
      </c>
      <c r="L32" s="46">
        <f>IF(7&lt;0,0,IF(48-(7-0)&gt;0,MIN(L30+L31,(L30+L31)/MAX(1,48-(7-0))),L30+L31))</f>
        <v>2.3488557829930605</v>
      </c>
      <c r="M32" s="46">
        <f>IF(8&lt;0,0,IF(48-(8-0)&gt;0,MIN(M30+M31,(M30+M31)/MAX(1,48-(8-0))),M30+M31))</f>
        <v>2.3488557829930605</v>
      </c>
      <c r="N32" s="46">
        <f>IF(9&lt;0,0,IF(48-(9-0)&gt;0,MIN(N30+N31,(N30+N31)/MAX(1,48-(9-0))),N30+N31))</f>
        <v>2.3488557829930605</v>
      </c>
      <c r="O32" s="46">
        <f>IF(10&lt;0,0,IF(48-(10-0)&gt;0,MIN(O30+O31,(O30+O31)/MAX(1,48-(10-0))),O30+O31))</f>
        <v>2.348855782993061</v>
      </c>
      <c r="P32" s="46">
        <f>IF(11&lt;0,0,IF(48-(11-0)&gt;0,MIN(P30+P31,(P30+P31)/MAX(1,48-(11-0))),P30+P31))</f>
        <v>2.348855782993061</v>
      </c>
      <c r="Q32" s="46">
        <f>IF(12&lt;0,0,IF(48-(12-0)&gt;0,MIN(Q30+Q31,(Q30+Q31)/MAX(1,48-(12-0))),Q30+Q31))</f>
        <v>2.348855782993061</v>
      </c>
      <c r="R32" s="46">
        <f>IF(13&lt;0,0,IF(48-(13-0)&gt;0,MIN(R30+R31,(R30+R31)/MAX(1,48-(13-0))),R30+R31))</f>
        <v>2.3488557829930614</v>
      </c>
      <c r="S32" s="46">
        <f>IF(14&lt;0,0,IF(48-(14-0)&gt;0,MIN(S30+S31,(S30+S31)/MAX(1,48-(14-0))),S30+S31))</f>
        <v>2.2776560302921172</v>
      </c>
      <c r="T32" s="46">
        <f>IF(15&lt;0,0,IF(48-(15-0)&gt;0,MIN(T30+T31,(T30+T31)/MAX(1,48-(15-0))),T30+T31))</f>
        <v>2.2776560302921167</v>
      </c>
      <c r="U32" s="46">
        <f>IF(16&lt;0,0,IF(48-(16-0)&gt;0,MIN(U30+U31,(U30+U31)/MAX(1,48-(16-0))),U30+U31))</f>
        <v>2.2776560302921167</v>
      </c>
      <c r="V32" s="46">
        <f>IF(17&lt;0,0,IF(48-(17-0)&gt;0,MIN(V30+V31,(V30+V31)/MAX(1,48-(17-0))),V30+V31))</f>
        <v>2.2776560302921167</v>
      </c>
      <c r="W32" s="46">
        <f>IF(18&lt;0,0,IF(48-(18-0)&gt;0,MIN(W30+W31,(W30+W31)/MAX(1,48-(18-0))),W30+W31))</f>
        <v>2.2776560302921163</v>
      </c>
      <c r="X32" s="46">
        <f>IF(19&lt;0,0,IF(48-(19-0)&gt;0,MIN(X30+X31,(X30+X31)/MAX(1,48-(19-0))),X30+X31))</f>
        <v>2.2776560302921163</v>
      </c>
      <c r="Y32" s="46">
        <f>IF(20&lt;0,0,IF(48-(20-0)&gt;0,MIN(Y30+Y31,(Y30+Y31)/MAX(1,48-(20-0))),Y30+Y31))</f>
        <v>2.2776560302921163</v>
      </c>
      <c r="Z32" s="46">
        <f>IF(21&lt;0,0,IF(48-(21-0)&gt;0,MIN(Z30+Z31,(Z30+Z31)/MAX(1,48-(21-0))),Z30+Z31))</f>
        <v>2.2776560302921163</v>
      </c>
      <c r="AA32" s="46">
        <f>IF(22&lt;0,0,IF(48-(22-0)&gt;0,MIN(AA30+AA31,(AA30+AA31)/MAX(1,48-(22-0))),AA30+AA31))</f>
        <v>2.2776560302921167</v>
      </c>
      <c r="AB32" s="46">
        <f>IF(23&lt;0,0,IF(48-(23-0)&gt;0,MIN(AB30+AB31,(AB30+AB31)/MAX(1,48-(23-0))),AB30+AB31))</f>
        <v>2.2776560302921167</v>
      </c>
      <c r="AC32" s="46">
        <f>IF(24&lt;0,0,IF(48-(24-0)&gt;0,MIN(AC30+AC31,(AC30+AC31)/MAX(1,48-(24-0))),AC30+AC31))</f>
        <v>2.2776560302921167</v>
      </c>
      <c r="AD32" s="46">
        <f>IF(25&lt;0,0,IF(48-(25-0)&gt;0,MIN(AD30+AD31,(AD30+AD31)/MAX(1,48-(25-0))),AD30+AD31))</f>
        <v>2.2776560302921167</v>
      </c>
      <c r="AE32" s="46">
        <f>IF(26&lt;0,0,IF(48-(26-0)&gt;0,MIN(AE30+AE31,(AE30+AE31)/MAX(1,48-(26-0))),AE30+AE31))</f>
        <v>2.1866409809918679</v>
      </c>
      <c r="AF32" s="46">
        <f>IF(27&lt;0,0,IF(48-(27-0)&gt;0,MIN(AF30+AF31,(AF30+AF31)/MAX(1,48-(27-0))),AF30+AF31))</f>
        <v>2.1866409809918679</v>
      </c>
      <c r="AG32" s="46">
        <f>IF(28&lt;0,0,IF(48-(28-0)&gt;0,MIN(AG30+AG31,(AG30+AG31)/MAX(1,48-(28-0))),AG30+AG31))</f>
        <v>2.1866409809918679</v>
      </c>
      <c r="AH32" s="46">
        <f>IF(29&lt;0,0,IF(48-(29-0)&gt;0,MIN(AH30+AH31,(AH30+AH31)/MAX(1,48-(29-0))),AH30+AH31))</f>
        <v>2.1866409809918679</v>
      </c>
      <c r="AI32" s="46">
        <f>IF(30&lt;0,0,IF(48-(30-0)&gt;0,MIN(AI30+AI31,(AI30+AI31)/MAX(1,48-(30-0))),AI30+AI31))</f>
        <v>2.1866409809918679</v>
      </c>
      <c r="AJ32" s="46">
        <f>IF(31&lt;0,0,IF(48-(31-0)&gt;0,MIN(AJ30+AJ31,(AJ30+AJ31)/MAX(1,48-(31-0))),AJ30+AJ31))</f>
        <v>2.1866409809918679</v>
      </c>
      <c r="AK32" s="46">
        <f>IF(32&lt;0,0,IF(48-(32-0)&gt;0,MIN(AK30+AK31,(AK30+AK31)/MAX(1,48-(32-0))),AK30+AK31))</f>
        <v>2.1866409809918679</v>
      </c>
      <c r="AL32" s="46">
        <f>IF(33&lt;0,0,IF(48-(33-0)&gt;0,MIN(AL30+AL31,(AL30+AL31)/MAX(1,48-(33-0))),AL30+AL31))</f>
        <v>2.1866409809918679</v>
      </c>
      <c r="AM32" s="46">
        <f>IF(34&lt;0,0,IF(48-(34-0)&gt;0,MIN(AM30+AM31,(AM30+AM31)/MAX(1,48-(34-0))),AM30+AM31))</f>
        <v>2.1866409809918679</v>
      </c>
      <c r="AN32" s="46">
        <f>IF(35&lt;0,0,IF(48-(35-0)&gt;0,MIN(AN30+AN31,(AN30+AN31)/MAX(1,48-(35-0))),AN30+AN31))</f>
        <v>2.1866409809918679</v>
      </c>
      <c r="AO32" s="46">
        <f>IF(36&lt;0,0,IF(48-(36-0)&gt;0,MIN(AO30+AO31,(AO30+AO31)/MAX(1,48-(36-0))),AO30+AO31))</f>
        <v>2.1866409809918679</v>
      </c>
      <c r="AP32" s="46">
        <f>IF(37&lt;0,0,IF(48-(37-0)&gt;0,MIN(AP30+AP31,(AP30+AP31)/MAX(1,48-(37-0))),AP30+AP31))</f>
        <v>2.1866409809918679</v>
      </c>
      <c r="AQ32" s="46">
        <f>IF(38&lt;0,0,IF(48-(38-0)&gt;0,MIN(AQ30+AQ31,(AQ30+AQ31)/MAX(1,48-(38-0))),AQ30+AQ31))</f>
        <v>2.0708142965244791</v>
      </c>
      <c r="AR32" s="46">
        <f>IF(39&lt;0,0,IF(48-(39-0)&gt;0,MIN(AR30+AR31,(AR30+AR31)/MAX(1,48-(39-0))),AR30+AR31))</f>
        <v>2.0708142965244796</v>
      </c>
      <c r="AS32" s="46">
        <f>IF(40&lt;0,0,IF(48-(40-0)&gt;0,MIN(AS30+AS31,(AS30+AS31)/MAX(1,48-(40-0))),AS30+AS31))</f>
        <v>2.0708142965244796</v>
      </c>
      <c r="AT32" s="46">
        <f>IF(41&lt;0,0,IF(48-(41-0)&gt;0,MIN(AT30+AT31,(AT30+AT31)/MAX(1,48-(41-0))),AT30+AT31))</f>
        <v>2.0708142965244796</v>
      </c>
      <c r="AU32" s="46">
        <f>IF(42&lt;0,0,IF(48-(42-0)&gt;0,MIN(AU30+AU31,(AU30+AU31)/MAX(1,48-(42-0))),AU30+AU31))</f>
        <v>2.0708142965244796</v>
      </c>
      <c r="AV32" s="46">
        <f>IF(43&lt;0,0,IF(48-(43-0)&gt;0,MIN(AV30+AV31,(AV30+AV31)/MAX(1,48-(43-0))),AV30+AV31))</f>
        <v>2.0708142965244791</v>
      </c>
      <c r="AW32" s="46">
        <f>IF(44&lt;0,0,IF(48-(44-0)&gt;0,MIN(AW30+AW31,(AW30+AW31)/MAX(1,48-(44-0))),AW30+AW31))</f>
        <v>2.0708142965244791</v>
      </c>
      <c r="AX32" s="46">
        <f>IF(45&lt;0,0,IF(48-(45-0)&gt;0,MIN(AX30+AX31,(AX30+AX31)/MAX(1,48-(45-0))),AX30+AX31))</f>
        <v>2.0708142965244791</v>
      </c>
      <c r="AY32" s="46">
        <f>IF(46&lt;0,0,IF(48-(46-0)&gt;0,MIN(AY30+AY31,(AY30+AY31)/MAX(1,48-(46-0))),AY30+AY31))</f>
        <v>2.0708142965244791</v>
      </c>
      <c r="AZ32" s="46">
        <f>IF(47&lt;0,0,IF(48-(47-0)&gt;0,MIN(AZ30+AZ31,(AZ30+AZ31)/MAX(1,48-(47-0))),AZ30+AZ31))</f>
        <v>2.0708142965244791</v>
      </c>
      <c r="BA32" s="46">
        <f>IF(48&lt;0,0,IF(48-(48-0)&gt;0,MIN(BA30+BA31,(BA30+BA31)/MAX(1,48-(48-0))),BA30+BA31))</f>
        <v>0</v>
      </c>
      <c r="BB32" s="46">
        <f>IF(49&lt;0,0,IF(48-(49-0)&gt;0,MIN(BB30+BB31,(BB30+BB31)/MAX(1,48-(49-0))),BB30+BB31))</f>
        <v>0</v>
      </c>
      <c r="BC32" s="46">
        <f>IF(50&lt;0,0,IF(48-(50-0)&gt;0,MIN(BC30+BC31,(BC30+BC31)/MAX(1,48-(50-0))),BC30+BC31))</f>
        <v>0</v>
      </c>
      <c r="BD32" s="46">
        <f>IF(51&lt;0,0,IF(48-(51-0)&gt;0,MIN(BD30+BD31,(BD30+BD31)/MAX(1,48-(51-0))),BD30+BD31))</f>
        <v>0</v>
      </c>
      <c r="BE32" s="46">
        <f>IF(52&lt;0,0,IF(48-(52-0)&gt;0,MIN(BE30+BE31,(BE30+BE31)/MAX(1,48-(52-0))),BE30+BE31))</f>
        <v>0</v>
      </c>
      <c r="BF32" s="46">
        <f>IF(53&lt;0,0,IF(48-(53-0)&gt;0,MIN(BF30+BF31,(BF30+BF31)/MAX(1,48-(53-0))),BF30+BF31))</f>
        <v>0</v>
      </c>
      <c r="BG32" s="46">
        <f>IF(54&lt;0,0,IF(48-(54-0)&gt;0,MIN(BG30+BG31,(BG30+BG31)/MAX(1,48-(54-0))),BG30+BG31))</f>
        <v>0</v>
      </c>
      <c r="BH32" s="46">
        <f>IF(55&lt;0,0,IF(48-(55-0)&gt;0,MIN(BH30+BH31,(BH30+BH31)/MAX(1,48-(55-0))),BH30+BH31))</f>
        <v>0</v>
      </c>
      <c r="BI32" s="46">
        <f>IF(56&lt;0,0,IF(48-(56-0)&gt;0,MIN(BI30+BI31,(BI30+BI31)/MAX(1,48-(56-0))),BI30+BI31))</f>
        <v>0</v>
      </c>
      <c r="BJ32" s="46">
        <f>IF(57&lt;0,0,IF(48-(57-0)&gt;0,MIN(BJ30+BJ31,(BJ30+BJ31)/MAX(1,48-(57-0))),BJ30+BJ31))</f>
        <v>0</v>
      </c>
      <c r="BK32" s="46">
        <f>IF(58&lt;0,0,IF(48-(58-0)&gt;0,MIN(BK30+BK31,(BK30+BK31)/MAX(1,48-(58-0))),BK30+BK31))</f>
        <v>0</v>
      </c>
      <c r="BL32" s="46">
        <f>IF(59&lt;0,0,IF(48-(59-0)&gt;0,MIN(BL30+BL31,(BL30+BL31)/MAX(1,48-(59-0))),BL30+BL31))</f>
        <v>0</v>
      </c>
      <c r="BM32" s="32"/>
      <c r="BN32" s="32"/>
    </row>
    <row r="33" spans="1:66" ht="20" customHeight="1">
      <c r="A33" s="30"/>
      <c r="B33" s="30"/>
      <c r="C33" s="31" t="s">
        <v>238</v>
      </c>
      <c r="D33" s="31"/>
      <c r="E33" s="46">
        <f t="shared" ref="E33:AJ33" si="20">E30+E31-E32</f>
        <v>112.83133333333333</v>
      </c>
      <c r="F33" s="46">
        <f t="shared" si="20"/>
        <v>110.43066666666667</v>
      </c>
      <c r="G33" s="46">
        <f t="shared" si="20"/>
        <v>105.82414414758026</v>
      </c>
      <c r="H33" s="46">
        <f t="shared" si="20"/>
        <v>103.34965445169465</v>
      </c>
      <c r="I33" s="46">
        <f t="shared" si="20"/>
        <v>101.00079866870159</v>
      </c>
      <c r="J33" s="46">
        <f t="shared" si="20"/>
        <v>98.651942885708536</v>
      </c>
      <c r="K33" s="46">
        <f t="shared" si="20"/>
        <v>96.30308710271548</v>
      </c>
      <c r="L33" s="46">
        <f t="shared" si="20"/>
        <v>93.954231319722425</v>
      </c>
      <c r="M33" s="46">
        <f t="shared" si="20"/>
        <v>91.605375536729369</v>
      </c>
      <c r="N33" s="46">
        <f t="shared" si="20"/>
        <v>89.256519753736313</v>
      </c>
      <c r="O33" s="46">
        <f t="shared" si="20"/>
        <v>86.907663970743258</v>
      </c>
      <c r="P33" s="46">
        <f t="shared" si="20"/>
        <v>84.558808187750202</v>
      </c>
      <c r="Q33" s="46">
        <f t="shared" si="20"/>
        <v>82.209952404757146</v>
      </c>
      <c r="R33" s="46">
        <f t="shared" si="20"/>
        <v>79.861096621764091</v>
      </c>
      <c r="S33" s="46">
        <f t="shared" si="20"/>
        <v>75.162648999639856</v>
      </c>
      <c r="T33" s="46">
        <f t="shared" si="20"/>
        <v>72.884992969347735</v>
      </c>
      <c r="U33" s="46">
        <f t="shared" si="20"/>
        <v>70.607336939055614</v>
      </c>
      <c r="V33" s="46">
        <f t="shared" si="20"/>
        <v>68.329680908763493</v>
      </c>
      <c r="W33" s="46">
        <f t="shared" si="20"/>
        <v>66.052024878471371</v>
      </c>
      <c r="X33" s="46">
        <f t="shared" si="20"/>
        <v>63.774368848179257</v>
      </c>
      <c r="Y33" s="46">
        <f t="shared" si="20"/>
        <v>61.496712817887143</v>
      </c>
      <c r="Z33" s="46">
        <f t="shared" si="20"/>
        <v>59.219056787595029</v>
      </c>
      <c r="AA33" s="46">
        <f t="shared" si="20"/>
        <v>56.941400757302915</v>
      </c>
      <c r="AB33" s="46">
        <f t="shared" si="20"/>
        <v>54.663744727010801</v>
      </c>
      <c r="AC33" s="46">
        <f t="shared" si="20"/>
        <v>52.386088696718687</v>
      </c>
      <c r="AD33" s="46">
        <f t="shared" si="20"/>
        <v>50.108432666426573</v>
      </c>
      <c r="AE33" s="46">
        <f t="shared" si="20"/>
        <v>45.919460600829225</v>
      </c>
      <c r="AF33" s="46">
        <f t="shared" si="20"/>
        <v>43.732819619837358</v>
      </c>
      <c r="AG33" s="46">
        <f t="shared" si="20"/>
        <v>41.54617863884549</v>
      </c>
      <c r="AH33" s="46">
        <f t="shared" si="20"/>
        <v>39.359537657853622</v>
      </c>
      <c r="AI33" s="46">
        <f t="shared" si="20"/>
        <v>37.172896676861754</v>
      </c>
      <c r="AJ33" s="46">
        <f t="shared" si="20"/>
        <v>34.986255695869886</v>
      </c>
      <c r="AK33" s="46">
        <f t="shared" ref="AK33:BP33" si="21">AK30+AK31-AK32</f>
        <v>32.799614714878018</v>
      </c>
      <c r="AL33" s="46">
        <f t="shared" si="21"/>
        <v>30.61297373388615</v>
      </c>
      <c r="AM33" s="46">
        <f t="shared" si="21"/>
        <v>28.426332752894282</v>
      </c>
      <c r="AN33" s="46">
        <f t="shared" si="21"/>
        <v>26.239691771902415</v>
      </c>
      <c r="AO33" s="46">
        <f t="shared" si="21"/>
        <v>24.053050790910547</v>
      </c>
      <c r="AP33" s="46">
        <f t="shared" si="21"/>
        <v>21.866409809918679</v>
      </c>
      <c r="AQ33" s="46">
        <f t="shared" si="21"/>
        <v>18.637328668720315</v>
      </c>
      <c r="AR33" s="46">
        <f t="shared" si="21"/>
        <v>16.566514372195837</v>
      </c>
      <c r="AS33" s="46">
        <f t="shared" si="21"/>
        <v>14.495700075671357</v>
      </c>
      <c r="AT33" s="46">
        <f t="shared" si="21"/>
        <v>12.424885779146877</v>
      </c>
      <c r="AU33" s="46">
        <f t="shared" si="21"/>
        <v>10.354071482622397</v>
      </c>
      <c r="AV33" s="46">
        <f t="shared" si="21"/>
        <v>8.2832571860979165</v>
      </c>
      <c r="AW33" s="46">
        <f t="shared" si="21"/>
        <v>6.2124428895734374</v>
      </c>
      <c r="AX33" s="46">
        <f t="shared" si="21"/>
        <v>4.1416285930489583</v>
      </c>
      <c r="AY33" s="46">
        <f t="shared" si="21"/>
        <v>2.0708142965244791</v>
      </c>
      <c r="AZ33" s="46">
        <f t="shared" si="21"/>
        <v>0</v>
      </c>
      <c r="BA33" s="46">
        <f t="shared" si="21"/>
        <v>0</v>
      </c>
      <c r="BB33" s="46">
        <f t="shared" si="21"/>
        <v>0</v>
      </c>
      <c r="BC33" s="46">
        <f t="shared" si="21"/>
        <v>0</v>
      </c>
      <c r="BD33" s="46">
        <f t="shared" si="21"/>
        <v>0</v>
      </c>
      <c r="BE33" s="46">
        <f t="shared" si="21"/>
        <v>0</v>
      </c>
      <c r="BF33" s="46">
        <f t="shared" si="21"/>
        <v>0</v>
      </c>
      <c r="BG33" s="46">
        <f t="shared" si="21"/>
        <v>0</v>
      </c>
      <c r="BH33" s="46">
        <f t="shared" si="21"/>
        <v>0</v>
      </c>
      <c r="BI33" s="46">
        <f t="shared" si="21"/>
        <v>0</v>
      </c>
      <c r="BJ33" s="46">
        <f t="shared" si="21"/>
        <v>0</v>
      </c>
      <c r="BK33" s="46">
        <f t="shared" si="21"/>
        <v>0</v>
      </c>
      <c r="BL33" s="46">
        <f t="shared" si="21"/>
        <v>0</v>
      </c>
      <c r="BM33" s="32"/>
      <c r="BN33" s="32"/>
    </row>
    <row r="34" spans="1:66" ht="20" customHeight="1">
      <c r="A34" s="30"/>
      <c r="B34" s="30"/>
      <c r="C34" s="31" t="s">
        <v>239</v>
      </c>
      <c r="D34" s="31"/>
      <c r="E34" s="35">
        <f>IF(E91&gt;0,E33/E91*Transfers!E24,0)</f>
        <v>0</v>
      </c>
      <c r="F34" s="35">
        <f>IF(F91&gt;0,F33/F91*Transfers!F24,0)</f>
        <v>2.2548748713624036</v>
      </c>
      <c r="G34" s="35">
        <f>IF(G91&gt;0,G33/G91*Transfers!G24,0)</f>
        <v>0.1256339128925483</v>
      </c>
      <c r="H34" s="35">
        <f>IF(H91&gt;0,H33/H91*Transfers!H24,0)</f>
        <v>0</v>
      </c>
      <c r="I34" s="35">
        <f>IF(I91&gt;0,I33/I91*Transfers!I24,0)</f>
        <v>0</v>
      </c>
      <c r="J34" s="35">
        <f>IF(J91&gt;0,J33/J91*Transfers!J24,0)</f>
        <v>0</v>
      </c>
      <c r="K34" s="35">
        <f>IF(K91&gt;0,K33/K91*Transfers!K24,0)</f>
        <v>0</v>
      </c>
      <c r="L34" s="35">
        <f>IF(L91&gt;0,L33/L91*Transfers!L24,0)</f>
        <v>0</v>
      </c>
      <c r="M34" s="35">
        <f>IF(M91&gt;0,M33/M91*Transfers!M24,0)</f>
        <v>0</v>
      </c>
      <c r="N34" s="35">
        <f>IF(N91&gt;0,N33/N91*Transfers!N24,0)</f>
        <v>0</v>
      </c>
      <c r="O34" s="35">
        <f>IF(O91&gt;0,O33/O91*Transfers!O24,0)</f>
        <v>0</v>
      </c>
      <c r="P34" s="35">
        <f>IF(P91&gt;0,P33/P91*Transfers!P24,0)</f>
        <v>0</v>
      </c>
      <c r="Q34" s="35">
        <f>IF(Q91&gt;0,Q33/Q91*Transfers!Q24,0)</f>
        <v>0</v>
      </c>
      <c r="R34" s="35">
        <f>IF(R91&gt;0,R33/R91*Transfers!R24,0)</f>
        <v>2.4207915918321179</v>
      </c>
      <c r="S34" s="35">
        <f>IF(S91&gt;0,S33/S91*Transfers!S24,0)</f>
        <v>0</v>
      </c>
      <c r="T34" s="35">
        <f>IF(T91&gt;0,T33/T91*Transfers!T24,0)</f>
        <v>0</v>
      </c>
      <c r="U34" s="35">
        <f>IF(U91&gt;0,U33/U91*Transfers!U24,0)</f>
        <v>0</v>
      </c>
      <c r="V34" s="35">
        <f>IF(V91&gt;0,V33/V91*Transfers!V24,0)</f>
        <v>0</v>
      </c>
      <c r="W34" s="35">
        <f>IF(W91&gt;0,W33/W91*Transfers!W24,0)</f>
        <v>0</v>
      </c>
      <c r="X34" s="35">
        <f>IF(X91&gt;0,X33/X91*Transfers!X24,0)</f>
        <v>0</v>
      </c>
      <c r="Y34" s="35">
        <f>IF(Y91&gt;0,Y33/Y91*Transfers!Y24,0)</f>
        <v>0</v>
      </c>
      <c r="Z34" s="35">
        <f>IF(Z91&gt;0,Z33/Z91*Transfers!Z24,0)</f>
        <v>0</v>
      </c>
      <c r="AA34" s="35">
        <f>IF(AA91&gt;0,AA33/AA91*Transfers!AA24,0)</f>
        <v>0</v>
      </c>
      <c r="AB34" s="35">
        <f>IF(AB91&gt;0,AB33/AB91*Transfers!AB24,0)</f>
        <v>0</v>
      </c>
      <c r="AC34" s="35">
        <f>IF(AC91&gt;0,AC33/AC91*Transfers!AC24,0)</f>
        <v>0</v>
      </c>
      <c r="AD34" s="35">
        <f>IF(AD91&gt;0,AD33/AD91*Transfers!AD24,0)</f>
        <v>2.0023310846054763</v>
      </c>
      <c r="AE34" s="35">
        <f>IF(AE91&gt;0,AE33/AE91*Transfers!AE24,0)</f>
        <v>0</v>
      </c>
      <c r="AF34" s="35">
        <f>IF(AF91&gt;0,AF33/AF91*Transfers!AF24,0)</f>
        <v>0</v>
      </c>
      <c r="AG34" s="35">
        <f>IF(AG91&gt;0,AG33/AG91*Transfers!AG24,0)</f>
        <v>0</v>
      </c>
      <c r="AH34" s="35">
        <f>IF(AH91&gt;0,AH33/AH91*Transfers!AH24,0)</f>
        <v>0</v>
      </c>
      <c r="AI34" s="35">
        <f>IF(AI91&gt;0,AI33/AI91*Transfers!AI24,0)</f>
        <v>0</v>
      </c>
      <c r="AJ34" s="35">
        <f>IF(AJ91&gt;0,AJ33/AJ91*Transfers!AJ24,0)</f>
        <v>0</v>
      </c>
      <c r="AK34" s="35">
        <f>IF(AK91&gt;0,AK33/AK91*Transfers!AK24,0)</f>
        <v>0</v>
      </c>
      <c r="AL34" s="35">
        <f>IF(AL91&gt;0,AL33/AL91*Transfers!AL24,0)</f>
        <v>0</v>
      </c>
      <c r="AM34" s="35">
        <f>IF(AM91&gt;0,AM33/AM91*Transfers!AM24,0)</f>
        <v>0</v>
      </c>
      <c r="AN34" s="35">
        <f>IF(AN91&gt;0,AN33/AN91*Transfers!AN24,0)</f>
        <v>0</v>
      </c>
      <c r="AO34" s="35">
        <f>IF(AO91&gt;0,AO33/AO91*Transfers!AO24,0)</f>
        <v>0</v>
      </c>
      <c r="AP34" s="35">
        <f>IF(AP91&gt;0,AP33/AP91*Transfers!AP24,0)</f>
        <v>1.1582668446738846</v>
      </c>
      <c r="AQ34" s="35">
        <f>IF(AQ91&gt;0,AQ33/AQ91*Transfers!AQ24,0)</f>
        <v>0</v>
      </c>
      <c r="AR34" s="35">
        <f>IF(AR91&gt;0,AR33/AR91*Transfers!AR24,0)</f>
        <v>0</v>
      </c>
      <c r="AS34" s="35">
        <f>IF(AS91&gt;0,AS33/AS91*Transfers!AS24,0)</f>
        <v>0</v>
      </c>
      <c r="AT34" s="35">
        <f>IF(AT91&gt;0,AT33/AT91*Transfers!AT24,0)</f>
        <v>0</v>
      </c>
      <c r="AU34" s="35">
        <f>IF(AU91&gt;0,AU33/AU91*Transfers!AU24,0)</f>
        <v>0</v>
      </c>
      <c r="AV34" s="35">
        <f>IF(AV91&gt;0,AV33/AV91*Transfers!AV24,0)</f>
        <v>0</v>
      </c>
      <c r="AW34" s="35">
        <f>IF(AW91&gt;0,AW33/AW91*Transfers!AW24,0)</f>
        <v>0</v>
      </c>
      <c r="AX34" s="35">
        <f>IF(AX91&gt;0,AX33/AX91*Transfers!AX24,0)</f>
        <v>0</v>
      </c>
      <c r="AY34" s="35">
        <f>IF(AY91&gt;0,AY33/AY91*Transfers!AY24,0)</f>
        <v>0</v>
      </c>
      <c r="AZ34" s="35">
        <f>IF(AZ91&gt;0,AZ33/AZ91*Transfers!AZ24,0)</f>
        <v>0</v>
      </c>
      <c r="BA34" s="35">
        <f>IF(BA91&gt;0,BA33/BA91*Transfers!BA24,0)</f>
        <v>0</v>
      </c>
      <c r="BB34" s="35">
        <f>IF(BB91&gt;0,BB33/BB91*Transfers!BB24,0)</f>
        <v>0</v>
      </c>
      <c r="BC34" s="35">
        <f>IF(BC91&gt;0,BC33/BC91*Transfers!BC24,0)</f>
        <v>0</v>
      </c>
      <c r="BD34" s="35">
        <f>IF(BD91&gt;0,BD33/BD91*Transfers!BD24,0)</f>
        <v>0</v>
      </c>
      <c r="BE34" s="35">
        <f>IF(BE91&gt;0,BE33/BE91*Transfers!BE24,0)</f>
        <v>0</v>
      </c>
      <c r="BF34" s="35">
        <f>IF(BF91&gt;0,BF33/BF91*Transfers!BF24,0)</f>
        <v>0</v>
      </c>
      <c r="BG34" s="35">
        <f>IF(BG91&gt;0,BG33/BG91*Transfers!BG24,0)</f>
        <v>0</v>
      </c>
      <c r="BH34" s="35">
        <f>IF(BH91&gt;0,BH33/BH91*Transfers!BH24,0)</f>
        <v>0</v>
      </c>
      <c r="BI34" s="35">
        <f>IF(BI91&gt;0,BI33/BI91*Transfers!BI24,0)</f>
        <v>0</v>
      </c>
      <c r="BJ34" s="35">
        <f>IF(BJ91&gt;0,BJ33/BJ91*Transfers!BJ24,0)</f>
        <v>0</v>
      </c>
      <c r="BK34" s="35">
        <f>IF(BK91&gt;0,BK33/BK91*Transfers!BK24,0)</f>
        <v>0</v>
      </c>
      <c r="BL34" s="35">
        <f>IF(BL91&gt;0,BL33/BL91*Transfers!BL24,0)</f>
        <v>0</v>
      </c>
      <c r="BM34" s="32"/>
      <c r="BN34" s="32"/>
    </row>
    <row r="35" spans="1:66" ht="20" customHeight="1">
      <c r="A35" s="30"/>
      <c r="B35" s="30"/>
      <c r="C35" s="31" t="s">
        <v>240</v>
      </c>
      <c r="D35" s="31"/>
      <c r="E35" s="46">
        <f t="shared" ref="E35:AJ35" si="22">E33-E34</f>
        <v>112.83133333333333</v>
      </c>
      <c r="F35" s="46">
        <f t="shared" si="22"/>
        <v>108.17579179530426</v>
      </c>
      <c r="G35" s="46">
        <f t="shared" si="22"/>
        <v>105.6985102346877</v>
      </c>
      <c r="H35" s="46">
        <f t="shared" si="22"/>
        <v>103.34965445169465</v>
      </c>
      <c r="I35" s="46">
        <f t="shared" si="22"/>
        <v>101.00079866870159</v>
      </c>
      <c r="J35" s="46">
        <f t="shared" si="22"/>
        <v>98.651942885708536</v>
      </c>
      <c r="K35" s="46">
        <f t="shared" si="22"/>
        <v>96.30308710271548</v>
      </c>
      <c r="L35" s="46">
        <f t="shared" si="22"/>
        <v>93.954231319722425</v>
      </c>
      <c r="M35" s="46">
        <f t="shared" si="22"/>
        <v>91.605375536729369</v>
      </c>
      <c r="N35" s="46">
        <f t="shared" si="22"/>
        <v>89.256519753736313</v>
      </c>
      <c r="O35" s="46">
        <f t="shared" si="22"/>
        <v>86.907663970743258</v>
      </c>
      <c r="P35" s="46">
        <f t="shared" si="22"/>
        <v>84.558808187750202</v>
      </c>
      <c r="Q35" s="46">
        <f t="shared" si="22"/>
        <v>82.209952404757146</v>
      </c>
      <c r="R35" s="46">
        <f t="shared" si="22"/>
        <v>77.440305029931977</v>
      </c>
      <c r="S35" s="46">
        <f t="shared" si="22"/>
        <v>75.162648999639856</v>
      </c>
      <c r="T35" s="46">
        <f t="shared" si="22"/>
        <v>72.884992969347735</v>
      </c>
      <c r="U35" s="46">
        <f t="shared" si="22"/>
        <v>70.607336939055614</v>
      </c>
      <c r="V35" s="46">
        <f t="shared" si="22"/>
        <v>68.329680908763493</v>
      </c>
      <c r="W35" s="46">
        <f t="shared" si="22"/>
        <v>66.052024878471371</v>
      </c>
      <c r="X35" s="46">
        <f t="shared" si="22"/>
        <v>63.774368848179257</v>
      </c>
      <c r="Y35" s="46">
        <f t="shared" si="22"/>
        <v>61.496712817887143</v>
      </c>
      <c r="Z35" s="46">
        <f t="shared" si="22"/>
        <v>59.219056787595029</v>
      </c>
      <c r="AA35" s="46">
        <f t="shared" si="22"/>
        <v>56.941400757302915</v>
      </c>
      <c r="AB35" s="46">
        <f t="shared" si="22"/>
        <v>54.663744727010801</v>
      </c>
      <c r="AC35" s="46">
        <f t="shared" si="22"/>
        <v>52.386088696718687</v>
      </c>
      <c r="AD35" s="46">
        <f t="shared" si="22"/>
        <v>48.106101581821093</v>
      </c>
      <c r="AE35" s="46">
        <f t="shared" si="22"/>
        <v>45.919460600829225</v>
      </c>
      <c r="AF35" s="46">
        <f t="shared" si="22"/>
        <v>43.732819619837358</v>
      </c>
      <c r="AG35" s="46">
        <f t="shared" si="22"/>
        <v>41.54617863884549</v>
      </c>
      <c r="AH35" s="46">
        <f t="shared" si="22"/>
        <v>39.359537657853622</v>
      </c>
      <c r="AI35" s="46">
        <f t="shared" si="22"/>
        <v>37.172896676861754</v>
      </c>
      <c r="AJ35" s="46">
        <f t="shared" si="22"/>
        <v>34.986255695869886</v>
      </c>
      <c r="AK35" s="46">
        <f t="shared" ref="AK35:BP35" si="23">AK33-AK34</f>
        <v>32.799614714878018</v>
      </c>
      <c r="AL35" s="46">
        <f t="shared" si="23"/>
        <v>30.61297373388615</v>
      </c>
      <c r="AM35" s="46">
        <f t="shared" si="23"/>
        <v>28.426332752894282</v>
      </c>
      <c r="AN35" s="46">
        <f t="shared" si="23"/>
        <v>26.239691771902415</v>
      </c>
      <c r="AO35" s="46">
        <f t="shared" si="23"/>
        <v>24.053050790910547</v>
      </c>
      <c r="AP35" s="46">
        <f t="shared" si="23"/>
        <v>20.708142965244793</v>
      </c>
      <c r="AQ35" s="46">
        <f t="shared" si="23"/>
        <v>18.637328668720315</v>
      </c>
      <c r="AR35" s="46">
        <f t="shared" si="23"/>
        <v>16.566514372195837</v>
      </c>
      <c r="AS35" s="46">
        <f t="shared" si="23"/>
        <v>14.495700075671357</v>
      </c>
      <c r="AT35" s="46">
        <f t="shared" si="23"/>
        <v>12.424885779146877</v>
      </c>
      <c r="AU35" s="46">
        <f t="shared" si="23"/>
        <v>10.354071482622397</v>
      </c>
      <c r="AV35" s="46">
        <f t="shared" si="23"/>
        <v>8.2832571860979165</v>
      </c>
      <c r="AW35" s="46">
        <f t="shared" si="23"/>
        <v>6.2124428895734374</v>
      </c>
      <c r="AX35" s="46">
        <f t="shared" si="23"/>
        <v>4.1416285930489583</v>
      </c>
      <c r="AY35" s="46">
        <f t="shared" si="23"/>
        <v>2.0708142965244791</v>
      </c>
      <c r="AZ35" s="46">
        <f t="shared" si="23"/>
        <v>0</v>
      </c>
      <c r="BA35" s="46">
        <f t="shared" si="23"/>
        <v>0</v>
      </c>
      <c r="BB35" s="46">
        <f t="shared" si="23"/>
        <v>0</v>
      </c>
      <c r="BC35" s="46">
        <f t="shared" si="23"/>
        <v>0</v>
      </c>
      <c r="BD35" s="46">
        <f t="shared" si="23"/>
        <v>0</v>
      </c>
      <c r="BE35" s="46">
        <f t="shared" si="23"/>
        <v>0</v>
      </c>
      <c r="BF35" s="46">
        <f t="shared" si="23"/>
        <v>0</v>
      </c>
      <c r="BG35" s="46">
        <f t="shared" si="23"/>
        <v>0</v>
      </c>
      <c r="BH35" s="46">
        <f t="shared" si="23"/>
        <v>0</v>
      </c>
      <c r="BI35" s="46">
        <f t="shared" si="23"/>
        <v>0</v>
      </c>
      <c r="BJ35" s="46">
        <f t="shared" si="23"/>
        <v>0</v>
      </c>
      <c r="BK35" s="46">
        <f t="shared" si="23"/>
        <v>0</v>
      </c>
      <c r="BL35" s="46">
        <f t="shared" si="23"/>
        <v>0</v>
      </c>
      <c r="BM35" s="32"/>
      <c r="BN35" s="32"/>
    </row>
    <row r="36" spans="1:66" ht="20" customHeight="1">
      <c r="A36" s="30"/>
      <c r="B36" s="30"/>
      <c r="C36" s="31" t="s">
        <v>244</v>
      </c>
      <c r="D36" s="31"/>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row>
    <row r="37" spans="1:66" ht="20" customHeight="1">
      <c r="A37" s="30"/>
      <c r="B37" s="30"/>
      <c r="C37" s="31" t="s">
        <v>235</v>
      </c>
      <c r="D37" s="31"/>
      <c r="E37" s="35">
        <f>(5)*(Assumptions!I143-0)</f>
        <v>130.96</v>
      </c>
      <c r="F37" s="46">
        <f t="shared" ref="F37:AK37" si="24">E42</f>
        <v>128.77733333333333</v>
      </c>
      <c r="G37" s="46">
        <f t="shared" si="24"/>
        <v>124.00974038367312</v>
      </c>
      <c r="H37" s="46">
        <f t="shared" si="24"/>
        <v>121.72695598739209</v>
      </c>
      <c r="I37" s="46">
        <f t="shared" si="24"/>
        <v>119.59139535603433</v>
      </c>
      <c r="J37" s="46">
        <f t="shared" si="24"/>
        <v>117.45583472467656</v>
      </c>
      <c r="K37" s="46">
        <f t="shared" si="24"/>
        <v>115.3202740933188</v>
      </c>
      <c r="L37" s="46">
        <f t="shared" si="24"/>
        <v>113.18471346196104</v>
      </c>
      <c r="M37" s="46">
        <f t="shared" si="24"/>
        <v>111.04915283060328</v>
      </c>
      <c r="N37" s="46">
        <f t="shared" si="24"/>
        <v>108.91359219924553</v>
      </c>
      <c r="O37" s="46">
        <f t="shared" si="24"/>
        <v>106.77803156788778</v>
      </c>
      <c r="P37" s="46">
        <f t="shared" si="24"/>
        <v>104.64247093653002</v>
      </c>
      <c r="Q37" s="46">
        <f t="shared" si="24"/>
        <v>102.50691030517225</v>
      </c>
      <c r="R37" s="46">
        <f t="shared" si="24"/>
        <v>100.37134967381451</v>
      </c>
      <c r="S37" s="46">
        <f t="shared" si="24"/>
        <v>95.258014103336222</v>
      </c>
      <c r="T37" s="46">
        <f t="shared" si="24"/>
        <v>93.187187709785434</v>
      </c>
      <c r="U37" s="46">
        <f t="shared" si="24"/>
        <v>91.116361316234645</v>
      </c>
      <c r="V37" s="46">
        <f t="shared" si="24"/>
        <v>89.045534922683856</v>
      </c>
      <c r="W37" s="46">
        <f t="shared" si="24"/>
        <v>86.974708529133068</v>
      </c>
      <c r="X37" s="46">
        <f t="shared" si="24"/>
        <v>84.903882135582279</v>
      </c>
      <c r="Y37" s="46">
        <f t="shared" si="24"/>
        <v>82.83305574203149</v>
      </c>
      <c r="Z37" s="46">
        <f t="shared" si="24"/>
        <v>80.762229348480702</v>
      </c>
      <c r="AA37" s="46">
        <f t="shared" si="24"/>
        <v>78.691402954929913</v>
      </c>
      <c r="AB37" s="46">
        <f t="shared" si="24"/>
        <v>76.620576561379124</v>
      </c>
      <c r="AC37" s="46">
        <f t="shared" si="24"/>
        <v>74.549750167828336</v>
      </c>
      <c r="AD37" s="46">
        <f t="shared" si="24"/>
        <v>72.478923774277547</v>
      </c>
      <c r="AE37" s="46">
        <f t="shared" si="24"/>
        <v>67.594592457675802</v>
      </c>
      <c r="AF37" s="46">
        <f t="shared" si="24"/>
        <v>65.606516208920624</v>
      </c>
      <c r="AG37" s="46">
        <f t="shared" si="24"/>
        <v>63.618439960165453</v>
      </c>
      <c r="AH37" s="46">
        <f t="shared" si="24"/>
        <v>61.630363711410283</v>
      </c>
      <c r="AI37" s="46">
        <f t="shared" si="24"/>
        <v>59.642287462655112</v>
      </c>
      <c r="AJ37" s="46">
        <f t="shared" si="24"/>
        <v>57.654211213899941</v>
      </c>
      <c r="AK37" s="46">
        <f t="shared" si="24"/>
        <v>55.666134965144771</v>
      </c>
      <c r="AL37" s="46">
        <f t="shared" ref="AL37:BL37" si="25">AK42</f>
        <v>53.6780587163896</v>
      </c>
      <c r="AM37" s="46">
        <f t="shared" si="25"/>
        <v>51.689982467634429</v>
      </c>
      <c r="AN37" s="46">
        <f t="shared" si="25"/>
        <v>49.701906218879259</v>
      </c>
      <c r="AO37" s="46">
        <f t="shared" si="25"/>
        <v>47.713829970124088</v>
      </c>
      <c r="AP37" s="46">
        <f t="shared" si="25"/>
        <v>45.725753721368918</v>
      </c>
      <c r="AQ37" s="46">
        <f t="shared" si="25"/>
        <v>41.42088646211193</v>
      </c>
      <c r="AR37" s="46">
        <f t="shared" si="25"/>
        <v>39.538118895652296</v>
      </c>
      <c r="AS37" s="46">
        <f t="shared" si="25"/>
        <v>37.655351329192662</v>
      </c>
      <c r="AT37" s="46">
        <f t="shared" si="25"/>
        <v>35.772583762733028</v>
      </c>
      <c r="AU37" s="46">
        <f t="shared" si="25"/>
        <v>33.889816196273394</v>
      </c>
      <c r="AV37" s="46">
        <f t="shared" si="25"/>
        <v>32.00704862981376</v>
      </c>
      <c r="AW37" s="46">
        <f t="shared" si="25"/>
        <v>30.124281063354125</v>
      </c>
      <c r="AX37" s="46">
        <f t="shared" si="25"/>
        <v>28.241513496894491</v>
      </c>
      <c r="AY37" s="46">
        <f t="shared" si="25"/>
        <v>26.358745930434857</v>
      </c>
      <c r="AZ37" s="46">
        <f t="shared" si="25"/>
        <v>24.475978363975223</v>
      </c>
      <c r="BA37" s="46">
        <f t="shared" si="25"/>
        <v>22.593210797515589</v>
      </c>
      <c r="BB37" s="46">
        <f t="shared" si="25"/>
        <v>20.710443231055955</v>
      </c>
      <c r="BC37" s="46">
        <f t="shared" si="25"/>
        <v>17.523081078168502</v>
      </c>
      <c r="BD37" s="46">
        <f t="shared" si="25"/>
        <v>15.770772970351652</v>
      </c>
      <c r="BE37" s="46">
        <f t="shared" si="25"/>
        <v>14.018464862534803</v>
      </c>
      <c r="BF37" s="46">
        <f t="shared" si="25"/>
        <v>12.266156754717953</v>
      </c>
      <c r="BG37" s="46">
        <f t="shared" si="25"/>
        <v>10.513848646901103</v>
      </c>
      <c r="BH37" s="46">
        <f t="shared" si="25"/>
        <v>8.7615405390842529</v>
      </c>
      <c r="BI37" s="46">
        <f t="shared" si="25"/>
        <v>7.0092324312674021</v>
      </c>
      <c r="BJ37" s="46">
        <f t="shared" si="25"/>
        <v>5.2569243234505514</v>
      </c>
      <c r="BK37" s="46">
        <f t="shared" si="25"/>
        <v>3.5046162156337006</v>
      </c>
      <c r="BL37" s="46">
        <f t="shared" si="25"/>
        <v>1.7523081078168503</v>
      </c>
      <c r="BM37" s="32"/>
      <c r="BN37" s="32"/>
    </row>
    <row r="38" spans="1:66" ht="20" customHeight="1">
      <c r="A38" s="30"/>
      <c r="B38" s="30"/>
      <c r="C38" s="31" t="s">
        <v>236</v>
      </c>
      <c r="D38" s="31"/>
      <c r="E38" s="46">
        <f>0</f>
        <v>0</v>
      </c>
      <c r="F38" s="46">
        <f>0</f>
        <v>0</v>
      </c>
      <c r="G38" s="46">
        <f>0</f>
        <v>0</v>
      </c>
      <c r="H38" s="46">
        <f>0</f>
        <v>0</v>
      </c>
      <c r="I38" s="46">
        <f>0</f>
        <v>0</v>
      </c>
      <c r="J38" s="46">
        <f>0</f>
        <v>0</v>
      </c>
      <c r="K38" s="46">
        <f>0</f>
        <v>0</v>
      </c>
      <c r="L38" s="46">
        <f>0</f>
        <v>0</v>
      </c>
      <c r="M38" s="46">
        <f>0</f>
        <v>0</v>
      </c>
      <c r="N38" s="46">
        <f>0</f>
        <v>0</v>
      </c>
      <c r="O38" s="46">
        <f>0</f>
        <v>0</v>
      </c>
      <c r="P38" s="46">
        <f>0</f>
        <v>0</v>
      </c>
      <c r="Q38" s="46">
        <f>0</f>
        <v>0</v>
      </c>
      <c r="R38" s="46">
        <f>0</f>
        <v>0</v>
      </c>
      <c r="S38" s="46">
        <f>0</f>
        <v>0</v>
      </c>
      <c r="T38" s="46">
        <f>0</f>
        <v>0</v>
      </c>
      <c r="U38" s="46">
        <f>0</f>
        <v>0</v>
      </c>
      <c r="V38" s="46">
        <f>0</f>
        <v>0</v>
      </c>
      <c r="W38" s="46">
        <f>0</f>
        <v>0</v>
      </c>
      <c r="X38" s="46">
        <f>0</f>
        <v>0</v>
      </c>
      <c r="Y38" s="46">
        <f>0</f>
        <v>0</v>
      </c>
      <c r="Z38" s="46">
        <f>0</f>
        <v>0</v>
      </c>
      <c r="AA38" s="46">
        <f>0</f>
        <v>0</v>
      </c>
      <c r="AB38" s="46">
        <f>0</f>
        <v>0</v>
      </c>
      <c r="AC38" s="46">
        <f>0</f>
        <v>0</v>
      </c>
      <c r="AD38" s="46">
        <f>0</f>
        <v>0</v>
      </c>
      <c r="AE38" s="46">
        <f>0</f>
        <v>0</v>
      </c>
      <c r="AF38" s="46">
        <f>0</f>
        <v>0</v>
      </c>
      <c r="AG38" s="46">
        <f>0</f>
        <v>0</v>
      </c>
      <c r="AH38" s="46">
        <f>0</f>
        <v>0</v>
      </c>
      <c r="AI38" s="46">
        <f>0</f>
        <v>0</v>
      </c>
      <c r="AJ38" s="46">
        <f>0</f>
        <v>0</v>
      </c>
      <c r="AK38" s="46">
        <f>0</f>
        <v>0</v>
      </c>
      <c r="AL38" s="46">
        <f>0</f>
        <v>0</v>
      </c>
      <c r="AM38" s="46">
        <f>0</f>
        <v>0</v>
      </c>
      <c r="AN38" s="46">
        <f>0</f>
        <v>0</v>
      </c>
      <c r="AO38" s="46">
        <f>0</f>
        <v>0</v>
      </c>
      <c r="AP38" s="46">
        <f>0</f>
        <v>0</v>
      </c>
      <c r="AQ38" s="46">
        <f>0</f>
        <v>0</v>
      </c>
      <c r="AR38" s="46">
        <f>0</f>
        <v>0</v>
      </c>
      <c r="AS38" s="46">
        <f>0</f>
        <v>0</v>
      </c>
      <c r="AT38" s="46">
        <f>0</f>
        <v>0</v>
      </c>
      <c r="AU38" s="46">
        <f>0</f>
        <v>0</v>
      </c>
      <c r="AV38" s="46">
        <f>0</f>
        <v>0</v>
      </c>
      <c r="AW38" s="46">
        <f>0</f>
        <v>0</v>
      </c>
      <c r="AX38" s="46">
        <f>0</f>
        <v>0</v>
      </c>
      <c r="AY38" s="46">
        <f>0</f>
        <v>0</v>
      </c>
      <c r="AZ38" s="46">
        <f>0</f>
        <v>0</v>
      </c>
      <c r="BA38" s="46">
        <f>0</f>
        <v>0</v>
      </c>
      <c r="BB38" s="46">
        <f>0</f>
        <v>0</v>
      </c>
      <c r="BC38" s="46">
        <f>0</f>
        <v>0</v>
      </c>
      <c r="BD38" s="46">
        <f>0</f>
        <v>0</v>
      </c>
      <c r="BE38" s="46">
        <f>0</f>
        <v>0</v>
      </c>
      <c r="BF38" s="46">
        <f>0</f>
        <v>0</v>
      </c>
      <c r="BG38" s="46">
        <f>0</f>
        <v>0</v>
      </c>
      <c r="BH38" s="46">
        <f>0</f>
        <v>0</v>
      </c>
      <c r="BI38" s="46">
        <f>0</f>
        <v>0</v>
      </c>
      <c r="BJ38" s="46">
        <f>0</f>
        <v>0</v>
      </c>
      <c r="BK38" s="46">
        <f>0</f>
        <v>0</v>
      </c>
      <c r="BL38" s="46">
        <f>0</f>
        <v>0</v>
      </c>
      <c r="BM38" s="32"/>
      <c r="BN38" s="32"/>
    </row>
    <row r="39" spans="1:66" ht="20" customHeight="1">
      <c r="A39" s="30"/>
      <c r="B39" s="30"/>
      <c r="C39" s="31" t="s">
        <v>237</v>
      </c>
      <c r="D39" s="31"/>
      <c r="E39" s="46">
        <f>IF(0&lt;0,0,IF(60-(0-0)&gt;0,MIN(E37+E38,(E37+E38)/MAX(1,60-(0-0))),E37+E38))</f>
        <v>2.182666666666667</v>
      </c>
      <c r="F39" s="46">
        <f>IF(1&lt;0,0,IF(60-(1-0)&gt;0,MIN(F37+F38,(F37+F38)/MAX(1,60-(1-0))),F37+F38))</f>
        <v>2.1826666666666665</v>
      </c>
      <c r="G39" s="46">
        <f>IF(2&lt;0,0,IF(60-(2-0)&gt;0,MIN(G37+G38,(G37+G38)/MAX(1,60-(2-0))),G37+G38))</f>
        <v>2.1380989721322949</v>
      </c>
      <c r="H39" s="46">
        <f>IF(3&lt;0,0,IF(60-(3-0)&gt;0,MIN(H37+H38,(H37+H38)/MAX(1,60-(3-0))),H37+H38))</f>
        <v>2.1355606313577558</v>
      </c>
      <c r="I39" s="46">
        <f>IF(4&lt;0,0,IF(60-(4-0)&gt;0,MIN(I37+I38,(I37+I38)/MAX(1,60-(4-0))),I37+I38))</f>
        <v>2.1355606313577558</v>
      </c>
      <c r="J39" s="46">
        <f>IF(5&lt;0,0,IF(60-(5-0)&gt;0,MIN(J37+J38,(J37+J38)/MAX(1,60-(5-0))),J37+J38))</f>
        <v>2.1355606313577558</v>
      </c>
      <c r="K39" s="46">
        <f>IF(6&lt;0,0,IF(60-(6-0)&gt;0,MIN(K37+K38,(K37+K38)/MAX(1,60-(6-0))),K37+K38))</f>
        <v>2.1355606313577558</v>
      </c>
      <c r="L39" s="46">
        <f>IF(7&lt;0,0,IF(60-(7-0)&gt;0,MIN(L37+L38,(L37+L38)/MAX(1,60-(7-0))),L37+L38))</f>
        <v>2.1355606313577553</v>
      </c>
      <c r="M39" s="46">
        <f>IF(8&lt;0,0,IF(60-(8-0)&gt;0,MIN(M37+M38,(M37+M38)/MAX(1,60-(8-0))),M37+M38))</f>
        <v>2.1355606313577553</v>
      </c>
      <c r="N39" s="46">
        <f>IF(9&lt;0,0,IF(60-(9-0)&gt;0,MIN(N37+N38,(N37+N38)/MAX(1,60-(9-0))),N37+N38))</f>
        <v>2.1355606313577553</v>
      </c>
      <c r="O39" s="46">
        <f>IF(10&lt;0,0,IF(60-(10-0)&gt;0,MIN(O37+O38,(O37+O38)/MAX(1,60-(10-0))),O37+O38))</f>
        <v>2.1355606313577558</v>
      </c>
      <c r="P39" s="46">
        <f>IF(11&lt;0,0,IF(60-(11-0)&gt;0,MIN(P37+P38,(P37+P38)/MAX(1,60-(11-0))),P37+P38))</f>
        <v>2.1355606313577553</v>
      </c>
      <c r="Q39" s="46">
        <f>IF(12&lt;0,0,IF(60-(12-0)&gt;0,MIN(Q37+Q38,(Q37+Q38)/MAX(1,60-(12-0))),Q37+Q38))</f>
        <v>2.1355606313577553</v>
      </c>
      <c r="R39" s="46">
        <f>IF(13&lt;0,0,IF(60-(13-0)&gt;0,MIN(R37+R38,(R37+R38)/MAX(1,60-(13-0))),R37+R38))</f>
        <v>2.1355606313577553</v>
      </c>
      <c r="S39" s="46">
        <f>IF(14&lt;0,0,IF(60-(14-0)&gt;0,MIN(S37+S38,(S37+S38)/MAX(1,60-(14-0))),S37+S38))</f>
        <v>2.0708263935507873</v>
      </c>
      <c r="T39" s="46">
        <f>IF(15&lt;0,0,IF(60-(15-0)&gt;0,MIN(T37+T38,(T37+T38)/MAX(1,60-(15-0))),T37+T38))</f>
        <v>2.0708263935507873</v>
      </c>
      <c r="U39" s="46">
        <f>IF(16&lt;0,0,IF(60-(16-0)&gt;0,MIN(U37+U38,(U37+U38)/MAX(1,60-(16-0))),U37+U38))</f>
        <v>2.0708263935507873</v>
      </c>
      <c r="V39" s="46">
        <f>IF(17&lt;0,0,IF(60-(17-0)&gt;0,MIN(V37+V38,(V37+V38)/MAX(1,60-(17-0))),V37+V38))</f>
        <v>2.0708263935507873</v>
      </c>
      <c r="W39" s="46">
        <f>IF(18&lt;0,0,IF(60-(18-0)&gt;0,MIN(W37+W38,(W37+W38)/MAX(1,60-(18-0))),W37+W38))</f>
        <v>2.0708263935507873</v>
      </c>
      <c r="X39" s="46">
        <f>IF(19&lt;0,0,IF(60-(19-0)&gt;0,MIN(X37+X38,(X37+X38)/MAX(1,60-(19-0))),X37+X38))</f>
        <v>2.0708263935507873</v>
      </c>
      <c r="Y39" s="46">
        <f>IF(20&lt;0,0,IF(60-(20-0)&gt;0,MIN(Y37+Y38,(Y37+Y38)/MAX(1,60-(20-0))),Y37+Y38))</f>
        <v>2.0708263935507873</v>
      </c>
      <c r="Z39" s="46">
        <f>IF(21&lt;0,0,IF(60-(21-0)&gt;0,MIN(Z37+Z38,(Z37+Z38)/MAX(1,60-(21-0))),Z37+Z38))</f>
        <v>2.0708263935507873</v>
      </c>
      <c r="AA39" s="46">
        <f>IF(22&lt;0,0,IF(60-(22-0)&gt;0,MIN(AA37+AA38,(AA37+AA38)/MAX(1,60-(22-0))),AA37+AA38))</f>
        <v>2.0708263935507873</v>
      </c>
      <c r="AB39" s="46">
        <f>IF(23&lt;0,0,IF(60-(23-0)&gt;0,MIN(AB37+AB38,(AB37+AB38)/MAX(1,60-(23-0))),AB37+AB38))</f>
        <v>2.0708263935507873</v>
      </c>
      <c r="AC39" s="46">
        <f>IF(24&lt;0,0,IF(60-(24-0)&gt;0,MIN(AC37+AC38,(AC37+AC38)/MAX(1,60-(24-0))),AC37+AC38))</f>
        <v>2.0708263935507869</v>
      </c>
      <c r="AD39" s="46">
        <f>IF(25&lt;0,0,IF(60-(25-0)&gt;0,MIN(AD37+AD38,(AD37+AD38)/MAX(1,60-(25-0))),AD37+AD38))</f>
        <v>2.0708263935507869</v>
      </c>
      <c r="AE39" s="46">
        <f>IF(26&lt;0,0,IF(60-(26-0)&gt;0,MIN(AE37+AE38,(AE37+AE38)/MAX(1,60-(26-0))),AE37+AE38))</f>
        <v>1.9880762487551706</v>
      </c>
      <c r="AF39" s="46">
        <f>IF(27&lt;0,0,IF(60-(27-0)&gt;0,MIN(AF37+AF38,(AF37+AF38)/MAX(1,60-(27-0))),AF37+AF38))</f>
        <v>1.9880762487551704</v>
      </c>
      <c r="AG39" s="46">
        <f>IF(28&lt;0,0,IF(60-(28-0)&gt;0,MIN(AG37+AG38,(AG37+AG38)/MAX(1,60-(28-0))),AG37+AG38))</f>
        <v>1.9880762487551704</v>
      </c>
      <c r="AH39" s="46">
        <f>IF(29&lt;0,0,IF(60-(29-0)&gt;0,MIN(AH37+AH38,(AH37+AH38)/MAX(1,60-(29-0))),AH37+AH38))</f>
        <v>1.9880762487551704</v>
      </c>
      <c r="AI39" s="46">
        <f>IF(30&lt;0,0,IF(60-(30-0)&gt;0,MIN(AI37+AI38,(AI37+AI38)/MAX(1,60-(30-0))),AI37+AI38))</f>
        <v>1.9880762487551704</v>
      </c>
      <c r="AJ39" s="46">
        <f>IF(31&lt;0,0,IF(60-(31-0)&gt;0,MIN(AJ37+AJ38,(AJ37+AJ38)/MAX(1,60-(31-0))),AJ37+AJ38))</f>
        <v>1.9880762487551704</v>
      </c>
      <c r="AK39" s="46">
        <f>IF(32&lt;0,0,IF(60-(32-0)&gt;0,MIN(AK37+AK38,(AK37+AK38)/MAX(1,60-(32-0))),AK37+AK38))</f>
        <v>1.9880762487551704</v>
      </c>
      <c r="AL39" s="46">
        <f>IF(33&lt;0,0,IF(60-(33-0)&gt;0,MIN(AL37+AL38,(AL37+AL38)/MAX(1,60-(33-0))),AL37+AL38))</f>
        <v>1.9880762487551704</v>
      </c>
      <c r="AM39" s="46">
        <f>IF(34&lt;0,0,IF(60-(34-0)&gt;0,MIN(AM37+AM38,(AM37+AM38)/MAX(1,60-(34-0))),AM37+AM38))</f>
        <v>1.9880762487551704</v>
      </c>
      <c r="AN39" s="46">
        <f>IF(35&lt;0,0,IF(60-(35-0)&gt;0,MIN(AN37+AN38,(AN37+AN38)/MAX(1,60-(35-0))),AN37+AN38))</f>
        <v>1.9880762487551704</v>
      </c>
      <c r="AO39" s="46">
        <f>IF(36&lt;0,0,IF(60-(36-0)&gt;0,MIN(AO37+AO38,(AO37+AO38)/MAX(1,60-(36-0))),AO37+AO38))</f>
        <v>1.9880762487551704</v>
      </c>
      <c r="AP39" s="46">
        <f>IF(37&lt;0,0,IF(60-(37-0)&gt;0,MIN(AP37+AP38,(AP37+AP38)/MAX(1,60-(37-0))),AP37+AP38))</f>
        <v>1.9880762487551704</v>
      </c>
      <c r="AQ39" s="46">
        <f>IF(38&lt;0,0,IF(60-(38-0)&gt;0,MIN(AQ37+AQ38,(AQ37+AQ38)/MAX(1,60-(38-0))),AQ37+AQ38))</f>
        <v>1.8827675664596333</v>
      </c>
      <c r="AR39" s="46">
        <f>IF(39&lt;0,0,IF(60-(39-0)&gt;0,MIN(AR37+AR38,(AR37+AR38)/MAX(1,60-(39-0))),AR37+AR38))</f>
        <v>1.8827675664596331</v>
      </c>
      <c r="AS39" s="46">
        <f>IF(40&lt;0,0,IF(60-(40-0)&gt;0,MIN(AS37+AS38,(AS37+AS38)/MAX(1,60-(40-0))),AS37+AS38))</f>
        <v>1.8827675664596331</v>
      </c>
      <c r="AT39" s="46">
        <f>IF(41&lt;0,0,IF(60-(41-0)&gt;0,MIN(AT37+AT38,(AT37+AT38)/MAX(1,60-(41-0))),AT37+AT38))</f>
        <v>1.8827675664596331</v>
      </c>
      <c r="AU39" s="46">
        <f>IF(42&lt;0,0,IF(60-(42-0)&gt;0,MIN(AU37+AU38,(AU37+AU38)/MAX(1,60-(42-0))),AU37+AU38))</f>
        <v>1.8827675664596331</v>
      </c>
      <c r="AV39" s="46">
        <f>IF(43&lt;0,0,IF(60-(43-0)&gt;0,MIN(AV37+AV38,(AV37+AV38)/MAX(1,60-(43-0))),AV37+AV38))</f>
        <v>1.8827675664596328</v>
      </c>
      <c r="AW39" s="46">
        <f>IF(44&lt;0,0,IF(60-(44-0)&gt;0,MIN(AW37+AW38,(AW37+AW38)/MAX(1,60-(44-0))),AW37+AW38))</f>
        <v>1.8827675664596328</v>
      </c>
      <c r="AX39" s="46">
        <f>IF(45&lt;0,0,IF(60-(45-0)&gt;0,MIN(AX37+AX38,(AX37+AX38)/MAX(1,60-(45-0))),AX37+AX38))</f>
        <v>1.8827675664596328</v>
      </c>
      <c r="AY39" s="46">
        <f>IF(46&lt;0,0,IF(60-(46-0)&gt;0,MIN(AY37+AY38,(AY37+AY38)/MAX(1,60-(46-0))),AY37+AY38))</f>
        <v>1.8827675664596326</v>
      </c>
      <c r="AZ39" s="46">
        <f>IF(47&lt;0,0,IF(60-(47-0)&gt;0,MIN(AZ37+AZ38,(AZ37+AZ38)/MAX(1,60-(47-0))),AZ37+AZ38))</f>
        <v>1.8827675664596326</v>
      </c>
      <c r="BA39" s="46">
        <f>IF(48&lt;0,0,IF(60-(48-0)&gt;0,MIN(BA37+BA38,(BA37+BA38)/MAX(1,60-(48-0))),BA37+BA38))</f>
        <v>1.8827675664596324</v>
      </c>
      <c r="BB39" s="46">
        <f>IF(49&lt;0,0,IF(60-(49-0)&gt;0,MIN(BB37+BB38,(BB37+BB38)/MAX(1,60-(49-0))),BB37+BB38))</f>
        <v>1.8827675664596322</v>
      </c>
      <c r="BC39" s="46">
        <f>IF(50&lt;0,0,IF(60-(50-0)&gt;0,MIN(BC37+BC38,(BC37+BC38)/MAX(1,60-(50-0))),BC37+BC38))</f>
        <v>1.7523081078168503</v>
      </c>
      <c r="BD39" s="46">
        <f>IF(51&lt;0,0,IF(60-(51-0)&gt;0,MIN(BD37+BD38,(BD37+BD38)/MAX(1,60-(51-0))),BD37+BD38))</f>
        <v>1.7523081078168503</v>
      </c>
      <c r="BE39" s="46">
        <f>IF(52&lt;0,0,IF(60-(52-0)&gt;0,MIN(BE37+BE38,(BE37+BE38)/MAX(1,60-(52-0))),BE37+BE38))</f>
        <v>1.7523081078168503</v>
      </c>
      <c r="BF39" s="46">
        <f>IF(53&lt;0,0,IF(60-(53-0)&gt;0,MIN(BF37+BF38,(BF37+BF38)/MAX(1,60-(53-0))),BF37+BF38))</f>
        <v>1.7523081078168503</v>
      </c>
      <c r="BG39" s="46">
        <f>IF(54&lt;0,0,IF(60-(54-0)&gt;0,MIN(BG37+BG38,(BG37+BG38)/MAX(1,60-(54-0))),BG37+BG38))</f>
        <v>1.7523081078168505</v>
      </c>
      <c r="BH39" s="46">
        <f>IF(55&lt;0,0,IF(60-(55-0)&gt;0,MIN(BH37+BH38,(BH37+BH38)/MAX(1,60-(55-0))),BH37+BH38))</f>
        <v>1.7523081078168505</v>
      </c>
      <c r="BI39" s="46">
        <f>IF(56&lt;0,0,IF(60-(56-0)&gt;0,MIN(BI37+BI38,(BI37+BI38)/MAX(1,60-(56-0))),BI37+BI38))</f>
        <v>1.7523081078168505</v>
      </c>
      <c r="BJ39" s="46">
        <f>IF(57&lt;0,0,IF(60-(57-0)&gt;0,MIN(BJ37+BJ38,(BJ37+BJ38)/MAX(1,60-(57-0))),BJ37+BJ38))</f>
        <v>1.7523081078168505</v>
      </c>
      <c r="BK39" s="46">
        <f>IF(58&lt;0,0,IF(60-(58-0)&gt;0,MIN(BK37+BK38,(BK37+BK38)/MAX(1,60-(58-0))),BK37+BK38))</f>
        <v>1.7523081078168503</v>
      </c>
      <c r="BL39" s="46">
        <f>IF(59&lt;0,0,IF(60-(59-0)&gt;0,MIN(BL37+BL38,(BL37+BL38)/MAX(1,60-(59-0))),BL37+BL38))</f>
        <v>1.7523081078168503</v>
      </c>
      <c r="BM39" s="32"/>
      <c r="BN39" s="32"/>
    </row>
    <row r="40" spans="1:66" ht="20" customHeight="1">
      <c r="A40" s="30"/>
      <c r="B40" s="30"/>
      <c r="C40" s="31" t="s">
        <v>238</v>
      </c>
      <c r="D40" s="31"/>
      <c r="E40" s="46">
        <f t="shared" ref="E40:AJ40" si="26">E37+E38-E39</f>
        <v>128.77733333333333</v>
      </c>
      <c r="F40" s="46">
        <f t="shared" si="26"/>
        <v>126.59466666666667</v>
      </c>
      <c r="G40" s="46">
        <f t="shared" si="26"/>
        <v>121.87164141154082</v>
      </c>
      <c r="H40" s="46">
        <f t="shared" si="26"/>
        <v>119.59139535603433</v>
      </c>
      <c r="I40" s="46">
        <f t="shared" si="26"/>
        <v>117.45583472467656</v>
      </c>
      <c r="J40" s="46">
        <f t="shared" si="26"/>
        <v>115.3202740933188</v>
      </c>
      <c r="K40" s="46">
        <f t="shared" si="26"/>
        <v>113.18471346196104</v>
      </c>
      <c r="L40" s="46">
        <f t="shared" si="26"/>
        <v>111.04915283060328</v>
      </c>
      <c r="M40" s="46">
        <f t="shared" si="26"/>
        <v>108.91359219924553</v>
      </c>
      <c r="N40" s="46">
        <f t="shared" si="26"/>
        <v>106.77803156788778</v>
      </c>
      <c r="O40" s="46">
        <f t="shared" si="26"/>
        <v>104.64247093653002</v>
      </c>
      <c r="P40" s="46">
        <f t="shared" si="26"/>
        <v>102.50691030517225</v>
      </c>
      <c r="Q40" s="46">
        <f t="shared" si="26"/>
        <v>100.37134967381451</v>
      </c>
      <c r="R40" s="46">
        <f t="shared" si="26"/>
        <v>98.235789042456759</v>
      </c>
      <c r="S40" s="46">
        <f t="shared" si="26"/>
        <v>93.187187709785434</v>
      </c>
      <c r="T40" s="46">
        <f t="shared" si="26"/>
        <v>91.116361316234645</v>
      </c>
      <c r="U40" s="46">
        <f t="shared" si="26"/>
        <v>89.045534922683856</v>
      </c>
      <c r="V40" s="46">
        <f t="shared" si="26"/>
        <v>86.974708529133068</v>
      </c>
      <c r="W40" s="46">
        <f t="shared" si="26"/>
        <v>84.903882135582279</v>
      </c>
      <c r="X40" s="46">
        <f t="shared" si="26"/>
        <v>82.83305574203149</v>
      </c>
      <c r="Y40" s="46">
        <f t="shared" si="26"/>
        <v>80.762229348480702</v>
      </c>
      <c r="Z40" s="46">
        <f t="shared" si="26"/>
        <v>78.691402954929913</v>
      </c>
      <c r="AA40" s="46">
        <f t="shared" si="26"/>
        <v>76.620576561379124</v>
      </c>
      <c r="AB40" s="46">
        <f t="shared" si="26"/>
        <v>74.549750167828336</v>
      </c>
      <c r="AC40" s="46">
        <f t="shared" si="26"/>
        <v>72.478923774277547</v>
      </c>
      <c r="AD40" s="46">
        <f t="shared" si="26"/>
        <v>70.408097380726758</v>
      </c>
      <c r="AE40" s="46">
        <f t="shared" si="26"/>
        <v>65.606516208920624</v>
      </c>
      <c r="AF40" s="46">
        <f t="shared" si="26"/>
        <v>63.618439960165453</v>
      </c>
      <c r="AG40" s="46">
        <f t="shared" si="26"/>
        <v>61.630363711410283</v>
      </c>
      <c r="AH40" s="46">
        <f t="shared" si="26"/>
        <v>59.642287462655112</v>
      </c>
      <c r="AI40" s="46">
        <f t="shared" si="26"/>
        <v>57.654211213899941</v>
      </c>
      <c r="AJ40" s="46">
        <f t="shared" si="26"/>
        <v>55.666134965144771</v>
      </c>
      <c r="AK40" s="46">
        <f t="shared" ref="AK40:BP40" si="27">AK37+AK38-AK39</f>
        <v>53.6780587163896</v>
      </c>
      <c r="AL40" s="46">
        <f t="shared" si="27"/>
        <v>51.689982467634429</v>
      </c>
      <c r="AM40" s="46">
        <f t="shared" si="27"/>
        <v>49.701906218879259</v>
      </c>
      <c r="AN40" s="46">
        <f t="shared" si="27"/>
        <v>47.713829970124088</v>
      </c>
      <c r="AO40" s="46">
        <f t="shared" si="27"/>
        <v>45.725753721368918</v>
      </c>
      <c r="AP40" s="46">
        <f t="shared" si="27"/>
        <v>43.737677472613747</v>
      </c>
      <c r="AQ40" s="46">
        <f t="shared" si="27"/>
        <v>39.538118895652296</v>
      </c>
      <c r="AR40" s="46">
        <f t="shared" si="27"/>
        <v>37.655351329192662</v>
      </c>
      <c r="AS40" s="46">
        <f t="shared" si="27"/>
        <v>35.772583762733028</v>
      </c>
      <c r="AT40" s="46">
        <f t="shared" si="27"/>
        <v>33.889816196273394</v>
      </c>
      <c r="AU40" s="46">
        <f t="shared" si="27"/>
        <v>32.00704862981376</v>
      </c>
      <c r="AV40" s="46">
        <f t="shared" si="27"/>
        <v>30.124281063354125</v>
      </c>
      <c r="AW40" s="46">
        <f t="shared" si="27"/>
        <v>28.241513496894491</v>
      </c>
      <c r="AX40" s="46">
        <f t="shared" si="27"/>
        <v>26.358745930434857</v>
      </c>
      <c r="AY40" s="46">
        <f t="shared" si="27"/>
        <v>24.475978363975223</v>
      </c>
      <c r="AZ40" s="46">
        <f t="shared" si="27"/>
        <v>22.593210797515589</v>
      </c>
      <c r="BA40" s="46">
        <f t="shared" si="27"/>
        <v>20.710443231055955</v>
      </c>
      <c r="BB40" s="46">
        <f t="shared" si="27"/>
        <v>18.827675664596324</v>
      </c>
      <c r="BC40" s="46">
        <f t="shared" si="27"/>
        <v>15.770772970351652</v>
      </c>
      <c r="BD40" s="46">
        <f t="shared" si="27"/>
        <v>14.018464862534803</v>
      </c>
      <c r="BE40" s="46">
        <f t="shared" si="27"/>
        <v>12.266156754717953</v>
      </c>
      <c r="BF40" s="46">
        <f t="shared" si="27"/>
        <v>10.513848646901103</v>
      </c>
      <c r="BG40" s="46">
        <f t="shared" si="27"/>
        <v>8.7615405390842529</v>
      </c>
      <c r="BH40" s="46">
        <f t="shared" si="27"/>
        <v>7.0092324312674021</v>
      </c>
      <c r="BI40" s="46">
        <f t="shared" si="27"/>
        <v>5.2569243234505514</v>
      </c>
      <c r="BJ40" s="46">
        <f t="shared" si="27"/>
        <v>3.5046162156337006</v>
      </c>
      <c r="BK40" s="46">
        <f t="shared" si="27"/>
        <v>1.7523081078168503</v>
      </c>
      <c r="BL40" s="46">
        <f t="shared" si="27"/>
        <v>0</v>
      </c>
      <c r="BM40" s="32"/>
      <c r="BN40" s="32"/>
    </row>
    <row r="41" spans="1:66" ht="20" customHeight="1">
      <c r="A41" s="30"/>
      <c r="B41" s="30"/>
      <c r="C41" s="31" t="s">
        <v>239</v>
      </c>
      <c r="D41" s="31"/>
      <c r="E41" s="35">
        <f>IF(E91&gt;0,E40/E91*Transfers!E24,0)</f>
        <v>0</v>
      </c>
      <c r="F41" s="35">
        <f>IF(F91&gt;0,F40/F91*Transfers!F24,0)</f>
        <v>2.5849262829935498</v>
      </c>
      <c r="G41" s="35">
        <f>IF(G91&gt;0,G40/G91*Transfers!G24,0)</f>
        <v>0.14468542414873384</v>
      </c>
      <c r="H41" s="35">
        <f>IF(H91&gt;0,H40/H91*Transfers!H24,0)</f>
        <v>0</v>
      </c>
      <c r="I41" s="35">
        <f>IF(I91&gt;0,I40/I91*Transfers!I24,0)</f>
        <v>0</v>
      </c>
      <c r="J41" s="35">
        <f>IF(J91&gt;0,J40/J91*Transfers!J24,0)</f>
        <v>0</v>
      </c>
      <c r="K41" s="35">
        <f>IF(K91&gt;0,K40/K91*Transfers!K24,0)</f>
        <v>0</v>
      </c>
      <c r="L41" s="35">
        <f>IF(L91&gt;0,L40/L91*Transfers!L24,0)</f>
        <v>0</v>
      </c>
      <c r="M41" s="35">
        <f>IF(M91&gt;0,M40/M91*Transfers!M24,0)</f>
        <v>0</v>
      </c>
      <c r="N41" s="35">
        <f>IF(N91&gt;0,N40/N91*Transfers!N24,0)</f>
        <v>0</v>
      </c>
      <c r="O41" s="35">
        <f>IF(O91&gt;0,O40/O91*Transfers!O24,0)</f>
        <v>0</v>
      </c>
      <c r="P41" s="35">
        <f>IF(P91&gt;0,P40/P91*Transfers!P24,0)</f>
        <v>0</v>
      </c>
      <c r="Q41" s="35">
        <f>IF(Q91&gt;0,Q40/Q91*Transfers!Q24,0)</f>
        <v>0</v>
      </c>
      <c r="R41" s="35">
        <f>IF(R91&gt;0,R40/R91*Transfers!R24,0)</f>
        <v>2.9777749391205384</v>
      </c>
      <c r="S41" s="35">
        <f>IF(S91&gt;0,S40/S91*Transfers!S24,0)</f>
        <v>0</v>
      </c>
      <c r="T41" s="35">
        <f>IF(T91&gt;0,T40/T91*Transfers!T24,0)</f>
        <v>0</v>
      </c>
      <c r="U41" s="35">
        <f>IF(U91&gt;0,U40/U91*Transfers!U24,0)</f>
        <v>0</v>
      </c>
      <c r="V41" s="35">
        <f>IF(V91&gt;0,V40/V91*Transfers!V24,0)</f>
        <v>0</v>
      </c>
      <c r="W41" s="35">
        <f>IF(W91&gt;0,W40/W91*Transfers!W24,0)</f>
        <v>0</v>
      </c>
      <c r="X41" s="35">
        <f>IF(X91&gt;0,X40/X91*Transfers!X24,0)</f>
        <v>0</v>
      </c>
      <c r="Y41" s="35">
        <f>IF(Y91&gt;0,Y40/Y91*Transfers!Y24,0)</f>
        <v>0</v>
      </c>
      <c r="Z41" s="35">
        <f>IF(Z91&gt;0,Z40/Z91*Transfers!Z24,0)</f>
        <v>0</v>
      </c>
      <c r="AA41" s="35">
        <f>IF(AA91&gt;0,AA40/AA91*Transfers!AA24,0)</f>
        <v>0</v>
      </c>
      <c r="AB41" s="35">
        <f>IF(AB91&gt;0,AB40/AB91*Transfers!AB24,0)</f>
        <v>0</v>
      </c>
      <c r="AC41" s="35">
        <f>IF(AC91&gt;0,AC40/AC91*Transfers!AC24,0)</f>
        <v>0</v>
      </c>
      <c r="AD41" s="35">
        <f>IF(AD91&gt;0,AD40/AD91*Transfers!AD24,0)</f>
        <v>2.8135049230509583</v>
      </c>
      <c r="AE41" s="35">
        <f>IF(AE91&gt;0,AE40/AE91*Transfers!AE24,0)</f>
        <v>0</v>
      </c>
      <c r="AF41" s="35">
        <f>IF(AF91&gt;0,AF40/AF91*Transfers!AF24,0)</f>
        <v>0</v>
      </c>
      <c r="AG41" s="35">
        <f>IF(AG91&gt;0,AG40/AG91*Transfers!AG24,0)</f>
        <v>0</v>
      </c>
      <c r="AH41" s="35">
        <f>IF(AH91&gt;0,AH40/AH91*Transfers!AH24,0)</f>
        <v>0</v>
      </c>
      <c r="AI41" s="35">
        <f>IF(AI91&gt;0,AI40/AI91*Transfers!AI24,0)</f>
        <v>0</v>
      </c>
      <c r="AJ41" s="35">
        <f>IF(AJ91&gt;0,AJ40/AJ91*Transfers!AJ24,0)</f>
        <v>0</v>
      </c>
      <c r="AK41" s="35">
        <f>IF(AK91&gt;0,AK40/AK91*Transfers!AK24,0)</f>
        <v>0</v>
      </c>
      <c r="AL41" s="35">
        <f>IF(AL91&gt;0,AL40/AL91*Transfers!AL24,0)</f>
        <v>0</v>
      </c>
      <c r="AM41" s="35">
        <f>IF(AM91&gt;0,AM40/AM91*Transfers!AM24,0)</f>
        <v>0</v>
      </c>
      <c r="AN41" s="35">
        <f>IF(AN91&gt;0,AN40/AN91*Transfers!AN24,0)</f>
        <v>0</v>
      </c>
      <c r="AO41" s="35">
        <f>IF(AO91&gt;0,AO40/AO91*Transfers!AO24,0)</f>
        <v>0</v>
      </c>
      <c r="AP41" s="35">
        <f>IF(AP91&gt;0,AP40/AP91*Transfers!AP24,0)</f>
        <v>2.3167910105018188</v>
      </c>
      <c r="AQ41" s="35">
        <f>IF(AQ91&gt;0,AQ40/AQ91*Transfers!AQ24,0)</f>
        <v>0</v>
      </c>
      <c r="AR41" s="35">
        <f>IF(AR91&gt;0,AR40/AR91*Transfers!AR24,0)</f>
        <v>0</v>
      </c>
      <c r="AS41" s="35">
        <f>IF(AS91&gt;0,AS40/AS91*Transfers!AS24,0)</f>
        <v>0</v>
      </c>
      <c r="AT41" s="35">
        <f>IF(AT91&gt;0,AT40/AT91*Transfers!AT24,0)</f>
        <v>0</v>
      </c>
      <c r="AU41" s="35">
        <f>IF(AU91&gt;0,AU40/AU91*Transfers!AU24,0)</f>
        <v>0</v>
      </c>
      <c r="AV41" s="35">
        <f>IF(AV91&gt;0,AV40/AV91*Transfers!AV24,0)</f>
        <v>0</v>
      </c>
      <c r="AW41" s="35">
        <f>IF(AW91&gt;0,AW40/AW91*Transfers!AW24,0)</f>
        <v>0</v>
      </c>
      <c r="AX41" s="35">
        <f>IF(AX91&gt;0,AX40/AX91*Transfers!AX24,0)</f>
        <v>0</v>
      </c>
      <c r="AY41" s="35">
        <f>IF(AY91&gt;0,AY40/AY91*Transfers!AY24,0)</f>
        <v>0</v>
      </c>
      <c r="AZ41" s="35">
        <f>IF(AZ91&gt;0,AZ40/AZ91*Transfers!AZ24,0)</f>
        <v>0</v>
      </c>
      <c r="BA41" s="35">
        <f>IF(BA91&gt;0,BA40/BA91*Transfers!BA24,0)</f>
        <v>0</v>
      </c>
      <c r="BB41" s="35">
        <f>IF(BB91&gt;0,BB40/BB91*Transfers!BB24,0)</f>
        <v>1.3045945864278212</v>
      </c>
      <c r="BC41" s="35">
        <f>IF(BC91&gt;0,BC40/BC91*Transfers!BC24,0)</f>
        <v>0</v>
      </c>
      <c r="BD41" s="35">
        <f>IF(BD91&gt;0,BD40/BD91*Transfers!BD24,0)</f>
        <v>0</v>
      </c>
      <c r="BE41" s="35">
        <f>IF(BE91&gt;0,BE40/BE91*Transfers!BE24,0)</f>
        <v>0</v>
      </c>
      <c r="BF41" s="35">
        <f>IF(BF91&gt;0,BF40/BF91*Transfers!BF24,0)</f>
        <v>0</v>
      </c>
      <c r="BG41" s="35">
        <f>IF(BG91&gt;0,BG40/BG91*Transfers!BG24,0)</f>
        <v>0</v>
      </c>
      <c r="BH41" s="35">
        <f>IF(BH91&gt;0,BH40/BH91*Transfers!BH24,0)</f>
        <v>0</v>
      </c>
      <c r="BI41" s="35">
        <f>IF(BI91&gt;0,BI40/BI91*Transfers!BI24,0)</f>
        <v>0</v>
      </c>
      <c r="BJ41" s="35">
        <f>IF(BJ91&gt;0,BJ40/BJ91*Transfers!BJ24,0)</f>
        <v>0</v>
      </c>
      <c r="BK41" s="35">
        <f>IF(BK91&gt;0,BK40/BK91*Transfers!BK24,0)</f>
        <v>0</v>
      </c>
      <c r="BL41" s="35">
        <f>IF(BL91&gt;0,BL40/BL91*Transfers!BL24,0)</f>
        <v>0</v>
      </c>
      <c r="BM41" s="32"/>
      <c r="BN41" s="32"/>
    </row>
    <row r="42" spans="1:66" ht="20" customHeight="1">
      <c r="A42" s="30"/>
      <c r="B42" s="30"/>
      <c r="C42" s="31" t="s">
        <v>240</v>
      </c>
      <c r="D42" s="31"/>
      <c r="E42" s="46">
        <f t="shared" ref="E42:AJ42" si="28">E40-E41</f>
        <v>128.77733333333333</v>
      </c>
      <c r="F42" s="46">
        <f t="shared" si="28"/>
        <v>124.00974038367312</v>
      </c>
      <c r="G42" s="46">
        <f t="shared" si="28"/>
        <v>121.72695598739209</v>
      </c>
      <c r="H42" s="46">
        <f t="shared" si="28"/>
        <v>119.59139535603433</v>
      </c>
      <c r="I42" s="46">
        <f t="shared" si="28"/>
        <v>117.45583472467656</v>
      </c>
      <c r="J42" s="46">
        <f t="shared" si="28"/>
        <v>115.3202740933188</v>
      </c>
      <c r="K42" s="46">
        <f t="shared" si="28"/>
        <v>113.18471346196104</v>
      </c>
      <c r="L42" s="46">
        <f t="shared" si="28"/>
        <v>111.04915283060328</v>
      </c>
      <c r="M42" s="46">
        <f t="shared" si="28"/>
        <v>108.91359219924553</v>
      </c>
      <c r="N42" s="46">
        <f t="shared" si="28"/>
        <v>106.77803156788778</v>
      </c>
      <c r="O42" s="46">
        <f t="shared" si="28"/>
        <v>104.64247093653002</v>
      </c>
      <c r="P42" s="46">
        <f t="shared" si="28"/>
        <v>102.50691030517225</v>
      </c>
      <c r="Q42" s="46">
        <f t="shared" si="28"/>
        <v>100.37134967381451</v>
      </c>
      <c r="R42" s="46">
        <f t="shared" si="28"/>
        <v>95.258014103336222</v>
      </c>
      <c r="S42" s="46">
        <f t="shared" si="28"/>
        <v>93.187187709785434</v>
      </c>
      <c r="T42" s="46">
        <f t="shared" si="28"/>
        <v>91.116361316234645</v>
      </c>
      <c r="U42" s="46">
        <f t="shared" si="28"/>
        <v>89.045534922683856</v>
      </c>
      <c r="V42" s="46">
        <f t="shared" si="28"/>
        <v>86.974708529133068</v>
      </c>
      <c r="W42" s="46">
        <f t="shared" si="28"/>
        <v>84.903882135582279</v>
      </c>
      <c r="X42" s="46">
        <f t="shared" si="28"/>
        <v>82.83305574203149</v>
      </c>
      <c r="Y42" s="46">
        <f t="shared" si="28"/>
        <v>80.762229348480702</v>
      </c>
      <c r="Z42" s="46">
        <f t="shared" si="28"/>
        <v>78.691402954929913</v>
      </c>
      <c r="AA42" s="46">
        <f t="shared" si="28"/>
        <v>76.620576561379124</v>
      </c>
      <c r="AB42" s="46">
        <f t="shared" si="28"/>
        <v>74.549750167828336</v>
      </c>
      <c r="AC42" s="46">
        <f t="shared" si="28"/>
        <v>72.478923774277547</v>
      </c>
      <c r="AD42" s="46">
        <f t="shared" si="28"/>
        <v>67.594592457675802</v>
      </c>
      <c r="AE42" s="46">
        <f t="shared" si="28"/>
        <v>65.606516208920624</v>
      </c>
      <c r="AF42" s="46">
        <f t="shared" si="28"/>
        <v>63.618439960165453</v>
      </c>
      <c r="AG42" s="46">
        <f t="shared" si="28"/>
        <v>61.630363711410283</v>
      </c>
      <c r="AH42" s="46">
        <f t="shared" si="28"/>
        <v>59.642287462655112</v>
      </c>
      <c r="AI42" s="46">
        <f t="shared" si="28"/>
        <v>57.654211213899941</v>
      </c>
      <c r="AJ42" s="46">
        <f t="shared" si="28"/>
        <v>55.666134965144771</v>
      </c>
      <c r="AK42" s="46">
        <f t="shared" ref="AK42:BP42" si="29">AK40-AK41</f>
        <v>53.6780587163896</v>
      </c>
      <c r="AL42" s="46">
        <f t="shared" si="29"/>
        <v>51.689982467634429</v>
      </c>
      <c r="AM42" s="46">
        <f t="shared" si="29"/>
        <v>49.701906218879259</v>
      </c>
      <c r="AN42" s="46">
        <f t="shared" si="29"/>
        <v>47.713829970124088</v>
      </c>
      <c r="AO42" s="46">
        <f t="shared" si="29"/>
        <v>45.725753721368918</v>
      </c>
      <c r="AP42" s="46">
        <f t="shared" si="29"/>
        <v>41.42088646211193</v>
      </c>
      <c r="AQ42" s="46">
        <f t="shared" si="29"/>
        <v>39.538118895652296</v>
      </c>
      <c r="AR42" s="46">
        <f t="shared" si="29"/>
        <v>37.655351329192662</v>
      </c>
      <c r="AS42" s="46">
        <f t="shared" si="29"/>
        <v>35.772583762733028</v>
      </c>
      <c r="AT42" s="46">
        <f t="shared" si="29"/>
        <v>33.889816196273394</v>
      </c>
      <c r="AU42" s="46">
        <f t="shared" si="29"/>
        <v>32.00704862981376</v>
      </c>
      <c r="AV42" s="46">
        <f t="shared" si="29"/>
        <v>30.124281063354125</v>
      </c>
      <c r="AW42" s="46">
        <f t="shared" si="29"/>
        <v>28.241513496894491</v>
      </c>
      <c r="AX42" s="46">
        <f t="shared" si="29"/>
        <v>26.358745930434857</v>
      </c>
      <c r="AY42" s="46">
        <f t="shared" si="29"/>
        <v>24.475978363975223</v>
      </c>
      <c r="AZ42" s="46">
        <f t="shared" si="29"/>
        <v>22.593210797515589</v>
      </c>
      <c r="BA42" s="46">
        <f t="shared" si="29"/>
        <v>20.710443231055955</v>
      </c>
      <c r="BB42" s="46">
        <f t="shared" si="29"/>
        <v>17.523081078168502</v>
      </c>
      <c r="BC42" s="46">
        <f t="shared" si="29"/>
        <v>15.770772970351652</v>
      </c>
      <c r="BD42" s="46">
        <f t="shared" si="29"/>
        <v>14.018464862534803</v>
      </c>
      <c r="BE42" s="46">
        <f t="shared" si="29"/>
        <v>12.266156754717953</v>
      </c>
      <c r="BF42" s="46">
        <f t="shared" si="29"/>
        <v>10.513848646901103</v>
      </c>
      <c r="BG42" s="46">
        <f t="shared" si="29"/>
        <v>8.7615405390842529</v>
      </c>
      <c r="BH42" s="46">
        <f t="shared" si="29"/>
        <v>7.0092324312674021</v>
      </c>
      <c r="BI42" s="46">
        <f t="shared" si="29"/>
        <v>5.2569243234505514</v>
      </c>
      <c r="BJ42" s="46">
        <f t="shared" si="29"/>
        <v>3.5046162156337006</v>
      </c>
      <c r="BK42" s="46">
        <f t="shared" si="29"/>
        <v>1.7523081078168503</v>
      </c>
      <c r="BL42" s="46">
        <f t="shared" si="29"/>
        <v>0</v>
      </c>
      <c r="BM42" s="32"/>
      <c r="BN42" s="32"/>
    </row>
    <row r="43" spans="1:66" ht="20" customHeight="1">
      <c r="A43" s="30"/>
      <c r="B43" s="30"/>
      <c r="C43" s="31" t="s">
        <v>245</v>
      </c>
      <c r="D43" s="31"/>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row>
    <row r="44" spans="1:66" ht="20" customHeight="1">
      <c r="A44" s="30"/>
      <c r="B44" s="30"/>
      <c r="C44" s="31" t="s">
        <v>235</v>
      </c>
      <c r="D44" s="31"/>
      <c r="E44" s="46">
        <f>0</f>
        <v>0</v>
      </c>
      <c r="F44" s="46">
        <f t="shared" ref="F44:AK44" si="30">E49</f>
        <v>0</v>
      </c>
      <c r="G44" s="46">
        <f t="shared" si="30"/>
        <v>0</v>
      </c>
      <c r="H44" s="46">
        <f t="shared" si="30"/>
        <v>177.8465440304152</v>
      </c>
      <c r="I44" s="46">
        <f t="shared" si="30"/>
        <v>174.83219582650986</v>
      </c>
      <c r="J44" s="46">
        <f t="shared" si="30"/>
        <v>171.81784762260452</v>
      </c>
      <c r="K44" s="46">
        <f t="shared" si="30"/>
        <v>168.80349941869918</v>
      </c>
      <c r="L44" s="46">
        <f t="shared" si="30"/>
        <v>165.78915121479383</v>
      </c>
      <c r="M44" s="46">
        <f t="shared" si="30"/>
        <v>162.77480301088849</v>
      </c>
      <c r="N44" s="46">
        <f t="shared" si="30"/>
        <v>159.76045480698315</v>
      </c>
      <c r="O44" s="46">
        <f t="shared" si="30"/>
        <v>156.74610660307781</v>
      </c>
      <c r="P44" s="46">
        <f t="shared" si="30"/>
        <v>153.73175839917246</v>
      </c>
      <c r="Q44" s="46">
        <f t="shared" si="30"/>
        <v>150.71741019526712</v>
      </c>
      <c r="R44" s="46">
        <f t="shared" si="30"/>
        <v>147.70306199136178</v>
      </c>
      <c r="S44" s="46">
        <f t="shared" si="30"/>
        <v>140.30283334521087</v>
      </c>
      <c r="T44" s="46">
        <f t="shared" si="30"/>
        <v>137.37985765051897</v>
      </c>
      <c r="U44" s="46">
        <f t="shared" si="30"/>
        <v>134.45688195582707</v>
      </c>
      <c r="V44" s="46">
        <f t="shared" si="30"/>
        <v>131.53390626113517</v>
      </c>
      <c r="W44" s="46">
        <f t="shared" si="30"/>
        <v>128.61093056644327</v>
      </c>
      <c r="X44" s="46">
        <f t="shared" si="30"/>
        <v>125.68795487175137</v>
      </c>
      <c r="Y44" s="46">
        <f t="shared" si="30"/>
        <v>122.76497917705947</v>
      </c>
      <c r="Z44" s="46">
        <f t="shared" si="30"/>
        <v>119.84200348236759</v>
      </c>
      <c r="AA44" s="46">
        <f t="shared" si="30"/>
        <v>116.9190277876757</v>
      </c>
      <c r="AB44" s="46">
        <f t="shared" si="30"/>
        <v>113.9960520929838</v>
      </c>
      <c r="AC44" s="46">
        <f t="shared" si="30"/>
        <v>111.0730763982919</v>
      </c>
      <c r="AD44" s="46">
        <f t="shared" si="30"/>
        <v>108.15010070360002</v>
      </c>
      <c r="AE44" s="46">
        <f t="shared" si="30"/>
        <v>101.02225305149456</v>
      </c>
      <c r="AF44" s="46">
        <f t="shared" si="30"/>
        <v>98.216079355619712</v>
      </c>
      <c r="AG44" s="46">
        <f t="shared" si="30"/>
        <v>95.409905659744865</v>
      </c>
      <c r="AH44" s="46">
        <f t="shared" si="30"/>
        <v>92.603731963870018</v>
      </c>
      <c r="AI44" s="46">
        <f t="shared" si="30"/>
        <v>89.797558267995171</v>
      </c>
      <c r="AJ44" s="46">
        <f t="shared" si="30"/>
        <v>86.991384572120324</v>
      </c>
      <c r="AK44" s="46">
        <f t="shared" si="30"/>
        <v>84.185210876245478</v>
      </c>
      <c r="AL44" s="46">
        <f t="shared" ref="AL44:BL44" si="31">AK49</f>
        <v>81.379037180370631</v>
      </c>
      <c r="AM44" s="46">
        <f t="shared" si="31"/>
        <v>78.572863484495784</v>
      </c>
      <c r="AN44" s="46">
        <f t="shared" si="31"/>
        <v>75.766689788620937</v>
      </c>
      <c r="AO44" s="46">
        <f t="shared" si="31"/>
        <v>72.96051609274609</v>
      </c>
      <c r="AP44" s="46">
        <f t="shared" si="31"/>
        <v>70.154342396871243</v>
      </c>
      <c r="AQ44" s="46">
        <f t="shared" si="31"/>
        <v>63.780726604466984</v>
      </c>
      <c r="AR44" s="46">
        <f t="shared" si="31"/>
        <v>61.123196329280859</v>
      </c>
      <c r="AS44" s="46">
        <f t="shared" si="31"/>
        <v>58.465666054094733</v>
      </c>
      <c r="AT44" s="46">
        <f t="shared" si="31"/>
        <v>55.808135778908607</v>
      </c>
      <c r="AU44" s="46">
        <f t="shared" si="31"/>
        <v>53.150605503722481</v>
      </c>
      <c r="AV44" s="46">
        <f t="shared" si="31"/>
        <v>50.493075228536355</v>
      </c>
      <c r="AW44" s="46">
        <f t="shared" si="31"/>
        <v>47.835544953350229</v>
      </c>
      <c r="AX44" s="46">
        <f t="shared" si="31"/>
        <v>45.178014678164104</v>
      </c>
      <c r="AY44" s="46">
        <f t="shared" si="31"/>
        <v>42.520484402977978</v>
      </c>
      <c r="AZ44" s="46">
        <f t="shared" si="31"/>
        <v>39.862954127791852</v>
      </c>
      <c r="BA44" s="46">
        <f t="shared" si="31"/>
        <v>37.205423852605726</v>
      </c>
      <c r="BB44" s="46">
        <f t="shared" si="31"/>
        <v>34.5478935774196</v>
      </c>
      <c r="BC44" s="46">
        <f t="shared" si="31"/>
        <v>29.680637786218632</v>
      </c>
      <c r="BD44" s="46">
        <f t="shared" si="31"/>
        <v>27.207251304033747</v>
      </c>
      <c r="BE44" s="46">
        <f t="shared" si="31"/>
        <v>24.733864821848861</v>
      </c>
      <c r="BF44" s="46">
        <f t="shared" si="31"/>
        <v>22.260478339663976</v>
      </c>
      <c r="BG44" s="46">
        <f t="shared" si="31"/>
        <v>19.787091857479091</v>
      </c>
      <c r="BH44" s="46">
        <f t="shared" si="31"/>
        <v>17.313705375294205</v>
      </c>
      <c r="BI44" s="46">
        <f t="shared" si="31"/>
        <v>14.84031889310932</v>
      </c>
      <c r="BJ44" s="46">
        <f t="shared" si="31"/>
        <v>12.366932410924433</v>
      </c>
      <c r="BK44" s="46">
        <f t="shared" si="31"/>
        <v>9.8935459287395453</v>
      </c>
      <c r="BL44" s="46">
        <f t="shared" si="31"/>
        <v>7.420159446554659</v>
      </c>
      <c r="BM44" s="32"/>
      <c r="BN44" s="32"/>
    </row>
    <row r="45" spans="1:66" ht="20" customHeight="1">
      <c r="A45" s="30"/>
      <c r="B45" s="30"/>
      <c r="C45" s="31" t="s">
        <v>236</v>
      </c>
      <c r="D45" s="31"/>
      <c r="E45" s="35">
        <f>Transfers!E11</f>
        <v>0</v>
      </c>
      <c r="F45" s="35">
        <f>Transfers!F11</f>
        <v>0</v>
      </c>
      <c r="G45" s="35">
        <f>Transfers!G11</f>
        <v>181.07586462636453</v>
      </c>
      <c r="H45" s="35">
        <f>Transfers!H11</f>
        <v>0</v>
      </c>
      <c r="I45" s="35">
        <f>Transfers!I11</f>
        <v>0</v>
      </c>
      <c r="J45" s="35">
        <f>Transfers!J11</f>
        <v>0</v>
      </c>
      <c r="K45" s="35">
        <f>Transfers!K11</f>
        <v>0</v>
      </c>
      <c r="L45" s="35">
        <f>Transfers!L11</f>
        <v>0</v>
      </c>
      <c r="M45" s="35">
        <f>Transfers!M11</f>
        <v>0</v>
      </c>
      <c r="N45" s="35">
        <f>Transfers!N11</f>
        <v>0</v>
      </c>
      <c r="O45" s="35">
        <f>Transfers!O11</f>
        <v>0</v>
      </c>
      <c r="P45" s="35">
        <f>Transfers!P11</f>
        <v>0</v>
      </c>
      <c r="Q45" s="35">
        <f>Transfers!Q11</f>
        <v>0</v>
      </c>
      <c r="R45" s="35">
        <f>Transfers!R11</f>
        <v>0</v>
      </c>
      <c r="S45" s="35">
        <f>Transfers!S11</f>
        <v>0</v>
      </c>
      <c r="T45" s="35">
        <f>Transfers!T11</f>
        <v>0</v>
      </c>
      <c r="U45" s="35">
        <f>Transfers!U11</f>
        <v>0</v>
      </c>
      <c r="V45" s="35">
        <f>Transfers!V11</f>
        <v>0</v>
      </c>
      <c r="W45" s="35">
        <f>Transfers!W11</f>
        <v>0</v>
      </c>
      <c r="X45" s="35">
        <f>Transfers!X11</f>
        <v>0</v>
      </c>
      <c r="Y45" s="35">
        <f>Transfers!Y11</f>
        <v>0</v>
      </c>
      <c r="Z45" s="35">
        <f>Transfers!Z11</f>
        <v>0</v>
      </c>
      <c r="AA45" s="35">
        <f>Transfers!AA11</f>
        <v>0</v>
      </c>
      <c r="AB45" s="35">
        <f>Transfers!AB11</f>
        <v>0</v>
      </c>
      <c r="AC45" s="35">
        <f>Transfers!AC11</f>
        <v>0</v>
      </c>
      <c r="AD45" s="35">
        <f>Transfers!AD11</f>
        <v>0</v>
      </c>
      <c r="AE45" s="35">
        <f>Transfers!AE11</f>
        <v>0</v>
      </c>
      <c r="AF45" s="35">
        <f>Transfers!AF11</f>
        <v>0</v>
      </c>
      <c r="AG45" s="35">
        <f>Transfers!AG11</f>
        <v>0</v>
      </c>
      <c r="AH45" s="35">
        <f>Transfers!AH11</f>
        <v>0</v>
      </c>
      <c r="AI45" s="35">
        <f>Transfers!AI11</f>
        <v>0</v>
      </c>
      <c r="AJ45" s="35">
        <f>Transfers!AJ11</f>
        <v>0</v>
      </c>
      <c r="AK45" s="35">
        <f>Transfers!AK11</f>
        <v>0</v>
      </c>
      <c r="AL45" s="35">
        <f>Transfers!AL11</f>
        <v>0</v>
      </c>
      <c r="AM45" s="35">
        <f>Transfers!AM11</f>
        <v>0</v>
      </c>
      <c r="AN45" s="35">
        <f>Transfers!AN11</f>
        <v>0</v>
      </c>
      <c r="AO45" s="35">
        <f>Transfers!AO11</f>
        <v>0</v>
      </c>
      <c r="AP45" s="35">
        <f>Transfers!AP11</f>
        <v>0</v>
      </c>
      <c r="AQ45" s="35">
        <f>Transfers!AQ11</f>
        <v>0</v>
      </c>
      <c r="AR45" s="35">
        <f>Transfers!AR11</f>
        <v>0</v>
      </c>
      <c r="AS45" s="35">
        <f>Transfers!AS11</f>
        <v>0</v>
      </c>
      <c r="AT45" s="35">
        <f>Transfers!AT11</f>
        <v>0</v>
      </c>
      <c r="AU45" s="35">
        <f>Transfers!AU11</f>
        <v>0</v>
      </c>
      <c r="AV45" s="35">
        <f>Transfers!AV11</f>
        <v>0</v>
      </c>
      <c r="AW45" s="35">
        <f>Transfers!AW11</f>
        <v>0</v>
      </c>
      <c r="AX45" s="35">
        <f>Transfers!AX11</f>
        <v>0</v>
      </c>
      <c r="AY45" s="35">
        <f>Transfers!AY11</f>
        <v>0</v>
      </c>
      <c r="AZ45" s="35">
        <f>Transfers!AZ11</f>
        <v>0</v>
      </c>
      <c r="BA45" s="35">
        <f>Transfers!BA11</f>
        <v>0</v>
      </c>
      <c r="BB45" s="35">
        <f>Transfers!BB11</f>
        <v>0</v>
      </c>
      <c r="BC45" s="35">
        <f>Transfers!BC11</f>
        <v>0</v>
      </c>
      <c r="BD45" s="35">
        <f>Transfers!BD11</f>
        <v>0</v>
      </c>
      <c r="BE45" s="35">
        <f>Transfers!BE11</f>
        <v>0</v>
      </c>
      <c r="BF45" s="35">
        <f>Transfers!BF11</f>
        <v>0</v>
      </c>
      <c r="BG45" s="35">
        <f>Transfers!BG11</f>
        <v>0</v>
      </c>
      <c r="BH45" s="35">
        <f>Transfers!BH11</f>
        <v>0</v>
      </c>
      <c r="BI45" s="35">
        <f>Transfers!BI11</f>
        <v>0</v>
      </c>
      <c r="BJ45" s="35">
        <f>Transfers!BJ11</f>
        <v>0</v>
      </c>
      <c r="BK45" s="35">
        <f>Transfers!BK11</f>
        <v>0</v>
      </c>
      <c r="BL45" s="35">
        <f>Transfers!BL11</f>
        <v>0</v>
      </c>
      <c r="BM45" s="32"/>
      <c r="BN45" s="32"/>
    </row>
    <row r="46" spans="1:66" ht="20" customHeight="1">
      <c r="A46" s="30"/>
      <c r="B46" s="30"/>
      <c r="C46" s="31" t="s">
        <v>237</v>
      </c>
      <c r="D46" s="31"/>
      <c r="E46" s="35">
        <f>IF(0&lt;2,0,IF((Assumptions!E88*12)-(0-2)&gt;0,MIN(E44+E45,(E44+E45)/MAX(1,(Assumptions!E88*12)-(0-2))),E44+E45))</f>
        <v>0</v>
      </c>
      <c r="F46" s="35">
        <f>IF(1&lt;2,0,IF((Assumptions!E88*12)-(1-2)&gt;0,MIN(F44+F45,(F44+F45)/MAX(1,(Assumptions!E88*12)-(1-2))),F44+F45))</f>
        <v>0</v>
      </c>
      <c r="G46" s="35">
        <f>IF(2&lt;2,0,IF((Assumptions!E88*12)-(2-2)&gt;0,MIN(G44+G45,(G44+G45)/MAX(1,(Assumptions!E88*12)-(2-2))),G44+G45))</f>
        <v>3.0179310771060757</v>
      </c>
      <c r="H46" s="35">
        <f>IF(3&lt;2,0,IF((Assumptions!E88*12)-(3-2)&gt;0,MIN(H44+H45,(H44+H45)/MAX(1,(Assumptions!E88*12)-(3-2))),H44+H45))</f>
        <v>3.0143482039053424</v>
      </c>
      <c r="I46" s="35">
        <f>IF(4&lt;2,0,IF((Assumptions!E88*12)-(4-2)&gt;0,MIN(I44+I45,(I44+I45)/MAX(1,(Assumptions!E88*12)-(4-2))),I44+I45))</f>
        <v>3.0143482039053424</v>
      </c>
      <c r="J46" s="35">
        <f>IF(5&lt;2,0,IF((Assumptions!E88*12)-(5-2)&gt;0,MIN(J44+J45,(J44+J45)/MAX(1,(Assumptions!E88*12)-(5-2))),J44+J45))</f>
        <v>3.0143482039053424</v>
      </c>
      <c r="K46" s="35">
        <f>IF(6&lt;2,0,IF((Assumptions!E88*12)-(6-2)&gt;0,MIN(K44+K45,(K44+K45)/MAX(1,(Assumptions!E88*12)-(6-2))),K44+K45))</f>
        <v>3.0143482039053424</v>
      </c>
      <c r="L46" s="35">
        <f>IF(7&lt;2,0,IF((Assumptions!E88*12)-(7-2)&gt;0,MIN(L44+L45,(L44+L45)/MAX(1,(Assumptions!E88*12)-(7-2))),L44+L45))</f>
        <v>3.0143482039053424</v>
      </c>
      <c r="M46" s="35">
        <f>IF(8&lt;2,0,IF((Assumptions!E88*12)-(8-2)&gt;0,MIN(M44+M45,(M44+M45)/MAX(1,(Assumptions!E88*12)-(8-2))),M44+M45))</f>
        <v>3.0143482039053424</v>
      </c>
      <c r="N46" s="35">
        <f>IF(9&lt;2,0,IF((Assumptions!E88*12)-(9-2)&gt;0,MIN(N44+N45,(N44+N45)/MAX(1,(Assumptions!E88*12)-(9-2))),N44+N45))</f>
        <v>3.0143482039053424</v>
      </c>
      <c r="O46" s="35">
        <f>IF(10&lt;2,0,IF((Assumptions!E88*12)-(10-2)&gt;0,MIN(O44+O45,(O44+O45)/MAX(1,(Assumptions!E88*12)-(10-2))),O44+O45))</f>
        <v>3.0143482039053424</v>
      </c>
      <c r="P46" s="35">
        <f>IF(11&lt;2,0,IF((Assumptions!E88*12)-(11-2)&gt;0,MIN(P44+P45,(P44+P45)/MAX(1,(Assumptions!E88*12)-(11-2))),P44+P45))</f>
        <v>3.0143482039053424</v>
      </c>
      <c r="Q46" s="35">
        <f>IF(12&lt;2,0,IF((Assumptions!E88*12)-(12-2)&gt;0,MIN(Q44+Q45,(Q44+Q45)/MAX(1,(Assumptions!E88*12)-(12-2))),Q44+Q45))</f>
        <v>3.0143482039053424</v>
      </c>
      <c r="R46" s="35">
        <f>IF(13&lt;2,0,IF((Assumptions!E88*12)-(13-2)&gt;0,MIN(R44+R45,(R44+R45)/MAX(1,(Assumptions!E88*12)-(13-2))),R44+R45))</f>
        <v>3.0143482039053424</v>
      </c>
      <c r="S46" s="35">
        <f>IF(14&lt;2,0,IF((Assumptions!E88*12)-(14-2)&gt;0,MIN(S44+S45,(S44+S45)/MAX(1,(Assumptions!E88*12)-(14-2))),S44+S45))</f>
        <v>2.922975694691893</v>
      </c>
      <c r="T46" s="35">
        <f>IF(15&lt;2,0,IF((Assumptions!E88*12)-(15-2)&gt;0,MIN(T44+T45,(T44+T45)/MAX(1,(Assumptions!E88*12)-(15-2))),T44+T45))</f>
        <v>2.922975694691893</v>
      </c>
      <c r="U46" s="35">
        <f>IF(16&lt;2,0,IF((Assumptions!E88*12)-(16-2)&gt;0,MIN(U44+U45,(U44+U45)/MAX(1,(Assumptions!E88*12)-(16-2))),U44+U45))</f>
        <v>2.922975694691893</v>
      </c>
      <c r="V46" s="35">
        <f>IF(17&lt;2,0,IF((Assumptions!E88*12)-(17-2)&gt;0,MIN(V44+V45,(V44+V45)/MAX(1,(Assumptions!E88*12)-(17-2))),V44+V45))</f>
        <v>2.9229756946918926</v>
      </c>
      <c r="W46" s="35">
        <f>IF(18&lt;2,0,IF((Assumptions!E88*12)-(18-2)&gt;0,MIN(W44+W45,(W44+W45)/MAX(1,(Assumptions!E88*12)-(18-2))),W44+W45))</f>
        <v>2.9229756946918926</v>
      </c>
      <c r="X46" s="35">
        <f>IF(19&lt;2,0,IF((Assumptions!E88*12)-(19-2)&gt;0,MIN(X44+X45,(X44+X45)/MAX(1,(Assumptions!E88*12)-(19-2))),X44+X45))</f>
        <v>2.9229756946918926</v>
      </c>
      <c r="Y46" s="35">
        <f>IF(20&lt;2,0,IF((Assumptions!E88*12)-(20-2)&gt;0,MIN(Y44+Y45,(Y44+Y45)/MAX(1,(Assumptions!E88*12)-(20-2))),Y44+Y45))</f>
        <v>2.9229756946918921</v>
      </c>
      <c r="Z46" s="35">
        <f>IF(21&lt;2,0,IF((Assumptions!E88*12)-(21-2)&gt;0,MIN(Z44+Z45,(Z44+Z45)/MAX(1,(Assumptions!E88*12)-(21-2))),Z44+Z45))</f>
        <v>2.9229756946918926</v>
      </c>
      <c r="AA46" s="35">
        <f>IF(22&lt;2,0,IF((Assumptions!E88*12)-(22-2)&gt;0,MIN(AA44+AA45,(AA44+AA45)/MAX(1,(Assumptions!E88*12)-(22-2))),AA44+AA45))</f>
        <v>2.9229756946918926</v>
      </c>
      <c r="AB46" s="35">
        <f>IF(23&lt;2,0,IF((Assumptions!E88*12)-(23-2)&gt;0,MIN(AB44+AB45,(AB44+AB45)/MAX(1,(Assumptions!E88*12)-(23-2))),AB44+AB45))</f>
        <v>2.9229756946918926</v>
      </c>
      <c r="AC46" s="35">
        <f>IF(24&lt;2,0,IF((Assumptions!E88*12)-(24-2)&gt;0,MIN(AC44+AC45,(AC44+AC45)/MAX(1,(Assumptions!E88*12)-(24-2))),AC44+AC45))</f>
        <v>2.9229756946918921</v>
      </c>
      <c r="AD46" s="35">
        <f>IF(25&lt;2,0,IF((Assumptions!E88*12)-(25-2)&gt;0,MIN(AD44+AD45,(AD44+AD45)/MAX(1,(Assumptions!E88*12)-(25-2))),AD44+AD45))</f>
        <v>2.9229756946918926</v>
      </c>
      <c r="AE46" s="35">
        <f>IF(26&lt;2,0,IF((Assumptions!E88*12)-(26-2)&gt;0,MIN(AE44+AE45,(AE44+AE45)/MAX(1,(Assumptions!E88*12)-(26-2))),AE44+AE45))</f>
        <v>2.8061736958748487</v>
      </c>
      <c r="AF46" s="35">
        <f>IF(27&lt;2,0,IF((Assumptions!E88*12)-(27-2)&gt;0,MIN(AF44+AF45,(AF44+AF45)/MAX(1,(Assumptions!E88*12)-(27-2))),AF44+AF45))</f>
        <v>2.8061736958748491</v>
      </c>
      <c r="AG46" s="35">
        <f>IF(28&lt;2,0,IF((Assumptions!E88*12)-(28-2)&gt;0,MIN(AG44+AG45,(AG44+AG45)/MAX(1,(Assumptions!E88*12)-(28-2))),AG44+AG45))</f>
        <v>2.8061736958748491</v>
      </c>
      <c r="AH46" s="35">
        <f>IF(29&lt;2,0,IF((Assumptions!E88*12)-(29-2)&gt;0,MIN(AH44+AH45,(AH44+AH45)/MAX(1,(Assumptions!E88*12)-(29-2))),AH44+AH45))</f>
        <v>2.8061736958748491</v>
      </c>
      <c r="AI46" s="35">
        <f>IF(30&lt;2,0,IF((Assumptions!E88*12)-(30-2)&gt;0,MIN(AI44+AI45,(AI44+AI45)/MAX(1,(Assumptions!E88*12)-(30-2))),AI44+AI45))</f>
        <v>2.8061736958748491</v>
      </c>
      <c r="AJ46" s="35">
        <f>IF(31&lt;2,0,IF((Assumptions!E88*12)-(31-2)&gt;0,MIN(AJ44+AJ45,(AJ44+AJ45)/MAX(1,(Assumptions!E88*12)-(31-2))),AJ44+AJ45))</f>
        <v>2.8061736958748491</v>
      </c>
      <c r="AK46" s="35">
        <f>IF(32&lt;2,0,IF((Assumptions!E88*12)-(32-2)&gt;0,MIN(AK44+AK45,(AK44+AK45)/MAX(1,(Assumptions!E88*12)-(32-2))),AK44+AK45))</f>
        <v>2.8061736958748491</v>
      </c>
      <c r="AL46" s="35">
        <f>IF(33&lt;2,0,IF((Assumptions!E88*12)-(33-2)&gt;0,MIN(AL44+AL45,(AL44+AL45)/MAX(1,(Assumptions!E88*12)-(33-2))),AL44+AL45))</f>
        <v>2.8061736958748495</v>
      </c>
      <c r="AM46" s="35">
        <f>IF(34&lt;2,0,IF((Assumptions!E88*12)-(34-2)&gt;0,MIN(AM44+AM45,(AM44+AM45)/MAX(1,(Assumptions!E88*12)-(34-2))),AM44+AM45))</f>
        <v>2.8061736958748495</v>
      </c>
      <c r="AN46" s="35">
        <f>IF(35&lt;2,0,IF((Assumptions!E88*12)-(35-2)&gt;0,MIN(AN44+AN45,(AN44+AN45)/MAX(1,(Assumptions!E88*12)-(35-2))),AN44+AN45))</f>
        <v>2.8061736958748495</v>
      </c>
      <c r="AO46" s="35">
        <f>IF(36&lt;2,0,IF((Assumptions!E88*12)-(36-2)&gt;0,MIN(AO44+AO45,(AO44+AO45)/MAX(1,(Assumptions!E88*12)-(36-2))),AO44+AO45))</f>
        <v>2.8061736958748495</v>
      </c>
      <c r="AP46" s="35">
        <f>IF(37&lt;2,0,IF((Assumptions!E88*12)-(37-2)&gt;0,MIN(AP44+AP45,(AP44+AP45)/MAX(1,(Assumptions!E88*12)-(37-2))),AP44+AP45))</f>
        <v>2.8061736958748495</v>
      </c>
      <c r="AQ46" s="35">
        <f>IF(38&lt;2,0,IF((Assumptions!E88*12)-(38-2)&gt;0,MIN(AQ44+AQ45,(AQ44+AQ45)/MAX(1,(Assumptions!E88*12)-(38-2))),AQ44+AQ45))</f>
        <v>2.6575302751861245</v>
      </c>
      <c r="AR46" s="35">
        <f>IF(39&lt;2,0,IF((Assumptions!E88*12)-(39-2)&gt;0,MIN(AR44+AR45,(AR44+AR45)/MAX(1,(Assumptions!E88*12)-(39-2))),AR44+AR45))</f>
        <v>2.6575302751861245</v>
      </c>
      <c r="AS46" s="35">
        <f>IF(40&lt;2,0,IF((Assumptions!E88*12)-(40-2)&gt;0,MIN(AS44+AS45,(AS44+AS45)/MAX(1,(Assumptions!E88*12)-(40-2))),AS44+AS45))</f>
        <v>2.6575302751861241</v>
      </c>
      <c r="AT46" s="35">
        <f>IF(41&lt;2,0,IF((Assumptions!E88*12)-(41-2)&gt;0,MIN(AT44+AT45,(AT44+AT45)/MAX(1,(Assumptions!E88*12)-(41-2))),AT44+AT45))</f>
        <v>2.6575302751861241</v>
      </c>
      <c r="AU46" s="35">
        <f>IF(42&lt;2,0,IF((Assumptions!E88*12)-(42-2)&gt;0,MIN(AU44+AU45,(AU44+AU45)/MAX(1,(Assumptions!E88*12)-(42-2))),AU44+AU45))</f>
        <v>2.6575302751861241</v>
      </c>
      <c r="AV46" s="35">
        <f>IF(43&lt;2,0,IF((Assumptions!E88*12)-(43-2)&gt;0,MIN(AV44+AV45,(AV44+AV45)/MAX(1,(Assumptions!E88*12)-(43-2))),AV44+AV45))</f>
        <v>2.6575302751861241</v>
      </c>
      <c r="AW46" s="35">
        <f>IF(44&lt;2,0,IF((Assumptions!E88*12)-(44-2)&gt;0,MIN(AW44+AW45,(AW44+AW45)/MAX(1,(Assumptions!E88*12)-(44-2))),AW44+AW45))</f>
        <v>2.6575302751861241</v>
      </c>
      <c r="AX46" s="35">
        <f>IF(45&lt;2,0,IF((Assumptions!E88*12)-(45-2)&gt;0,MIN(AX44+AX45,(AX44+AX45)/MAX(1,(Assumptions!E88*12)-(45-2))),AX44+AX45))</f>
        <v>2.6575302751861236</v>
      </c>
      <c r="AY46" s="35">
        <f>IF(46&lt;2,0,IF((Assumptions!E88*12)-(46-2)&gt;0,MIN(AY44+AY45,(AY44+AY45)/MAX(1,(Assumptions!E88*12)-(46-2))),AY44+AY45))</f>
        <v>2.6575302751861236</v>
      </c>
      <c r="AZ46" s="35">
        <f>IF(47&lt;2,0,IF((Assumptions!E88*12)-(47-2)&gt;0,MIN(AZ44+AZ45,(AZ44+AZ45)/MAX(1,(Assumptions!E88*12)-(47-2))),AZ44+AZ45))</f>
        <v>2.6575302751861236</v>
      </c>
      <c r="BA46" s="35">
        <f>IF(48&lt;2,0,IF((Assumptions!E88*12)-(48-2)&gt;0,MIN(BA44+BA45,(BA44+BA45)/MAX(1,(Assumptions!E88*12)-(48-2))),BA44+BA45))</f>
        <v>2.6575302751861232</v>
      </c>
      <c r="BB46" s="35">
        <f>IF(49&lt;2,0,IF((Assumptions!E88*12)-(49-2)&gt;0,MIN(BB44+BB45,(BB44+BB45)/MAX(1,(Assumptions!E88*12)-(49-2))),BB44+BB45))</f>
        <v>2.6575302751861232</v>
      </c>
      <c r="BC46" s="35">
        <f>IF(50&lt;2,0,IF((Assumptions!E88*12)-(50-2)&gt;0,MIN(BC44+BC45,(BC44+BC45)/MAX(1,(Assumptions!E88*12)-(50-2))),BC44+BC45))</f>
        <v>2.4733864821848859</v>
      </c>
      <c r="BD46" s="35">
        <f>IF(51&lt;2,0,IF((Assumptions!E88*12)-(51-2)&gt;0,MIN(BD44+BD45,(BD44+BD45)/MAX(1,(Assumptions!E88*12)-(51-2))),BD44+BD45))</f>
        <v>2.4733864821848859</v>
      </c>
      <c r="BE46" s="35">
        <f>IF(52&lt;2,0,IF((Assumptions!E88*12)-(52-2)&gt;0,MIN(BE44+BE45,(BE44+BE45)/MAX(1,(Assumptions!E88*12)-(52-2))),BE44+BE45))</f>
        <v>2.4733864821848863</v>
      </c>
      <c r="BF46" s="35">
        <f>IF(53&lt;2,0,IF((Assumptions!E88*12)-(53-2)&gt;0,MIN(BF44+BF45,(BF44+BF45)/MAX(1,(Assumptions!E88*12)-(53-2))),BF44+BF45))</f>
        <v>2.4733864821848863</v>
      </c>
      <c r="BG46" s="35">
        <f>IF(54&lt;2,0,IF((Assumptions!E88*12)-(54-2)&gt;0,MIN(BG44+BG45,(BG44+BG45)/MAX(1,(Assumptions!E88*12)-(54-2))),BG44+BG45))</f>
        <v>2.4733864821848863</v>
      </c>
      <c r="BH46" s="35">
        <f>IF(55&lt;2,0,IF((Assumptions!E88*12)-(55-2)&gt;0,MIN(BH44+BH45,(BH44+BH45)/MAX(1,(Assumptions!E88*12)-(55-2))),BH44+BH45))</f>
        <v>2.4733864821848863</v>
      </c>
      <c r="BI46" s="35">
        <f>IF(56&lt;2,0,IF((Assumptions!E88*12)-(56-2)&gt;0,MIN(BI44+BI45,(BI44+BI45)/MAX(1,(Assumptions!E88*12)-(56-2))),BI44+BI45))</f>
        <v>2.4733864821848868</v>
      </c>
      <c r="BJ46" s="35">
        <f>IF(57&lt;2,0,IF((Assumptions!E88*12)-(57-2)&gt;0,MIN(BJ44+BJ45,(BJ44+BJ45)/MAX(1,(Assumptions!E88*12)-(57-2))),BJ44+BJ45))</f>
        <v>2.4733864821848863</v>
      </c>
      <c r="BK46" s="35">
        <f>IF(58&lt;2,0,IF((Assumptions!E88*12)-(58-2)&gt;0,MIN(BK44+BK45,(BK44+BK45)/MAX(1,(Assumptions!E88*12)-(58-2))),BK44+BK45))</f>
        <v>2.4733864821848863</v>
      </c>
      <c r="BL46" s="35">
        <f>IF(59&lt;2,0,IF((Assumptions!E88*12)-(59-2)&gt;0,MIN(BL44+BL45,(BL44+BL45)/MAX(1,(Assumptions!E88*12)-(59-2))),BL44+BL45))</f>
        <v>2.4733864821848863</v>
      </c>
      <c r="BM46" s="32"/>
      <c r="BN46" s="32"/>
    </row>
    <row r="47" spans="1:66" ht="20" customHeight="1">
      <c r="A47" s="30"/>
      <c r="B47" s="30"/>
      <c r="C47" s="31" t="s">
        <v>238</v>
      </c>
      <c r="D47" s="31"/>
      <c r="E47" s="46">
        <f t="shared" ref="E47:AJ47" si="32">E44+E45-E46</f>
        <v>0</v>
      </c>
      <c r="F47" s="46">
        <f t="shared" si="32"/>
        <v>0</v>
      </c>
      <c r="G47" s="46">
        <f t="shared" si="32"/>
        <v>178.05793354925845</v>
      </c>
      <c r="H47" s="46">
        <f t="shared" si="32"/>
        <v>174.83219582650986</v>
      </c>
      <c r="I47" s="46">
        <f t="shared" si="32"/>
        <v>171.81784762260452</v>
      </c>
      <c r="J47" s="46">
        <f t="shared" si="32"/>
        <v>168.80349941869918</v>
      </c>
      <c r="K47" s="46">
        <f t="shared" si="32"/>
        <v>165.78915121479383</v>
      </c>
      <c r="L47" s="46">
        <f t="shared" si="32"/>
        <v>162.77480301088849</v>
      </c>
      <c r="M47" s="46">
        <f t="shared" si="32"/>
        <v>159.76045480698315</v>
      </c>
      <c r="N47" s="46">
        <f t="shared" si="32"/>
        <v>156.74610660307781</v>
      </c>
      <c r="O47" s="46">
        <f t="shared" si="32"/>
        <v>153.73175839917246</v>
      </c>
      <c r="P47" s="46">
        <f t="shared" si="32"/>
        <v>150.71741019526712</v>
      </c>
      <c r="Q47" s="46">
        <f t="shared" si="32"/>
        <v>147.70306199136178</v>
      </c>
      <c r="R47" s="46">
        <f t="shared" si="32"/>
        <v>144.68871378745644</v>
      </c>
      <c r="S47" s="46">
        <f t="shared" si="32"/>
        <v>137.37985765051897</v>
      </c>
      <c r="T47" s="46">
        <f t="shared" si="32"/>
        <v>134.45688195582707</v>
      </c>
      <c r="U47" s="46">
        <f t="shared" si="32"/>
        <v>131.53390626113517</v>
      </c>
      <c r="V47" s="46">
        <f t="shared" si="32"/>
        <v>128.61093056644327</v>
      </c>
      <c r="W47" s="46">
        <f t="shared" si="32"/>
        <v>125.68795487175137</v>
      </c>
      <c r="X47" s="46">
        <f t="shared" si="32"/>
        <v>122.76497917705947</v>
      </c>
      <c r="Y47" s="46">
        <f t="shared" si="32"/>
        <v>119.84200348236759</v>
      </c>
      <c r="Z47" s="46">
        <f t="shared" si="32"/>
        <v>116.9190277876757</v>
      </c>
      <c r="AA47" s="46">
        <f t="shared" si="32"/>
        <v>113.9960520929838</v>
      </c>
      <c r="AB47" s="46">
        <f t="shared" si="32"/>
        <v>111.0730763982919</v>
      </c>
      <c r="AC47" s="46">
        <f t="shared" si="32"/>
        <v>108.15010070360002</v>
      </c>
      <c r="AD47" s="46">
        <f t="shared" si="32"/>
        <v>105.22712500890813</v>
      </c>
      <c r="AE47" s="46">
        <f t="shared" si="32"/>
        <v>98.216079355619712</v>
      </c>
      <c r="AF47" s="46">
        <f t="shared" si="32"/>
        <v>95.409905659744865</v>
      </c>
      <c r="AG47" s="46">
        <f t="shared" si="32"/>
        <v>92.603731963870018</v>
      </c>
      <c r="AH47" s="46">
        <f t="shared" si="32"/>
        <v>89.797558267995171</v>
      </c>
      <c r="AI47" s="46">
        <f t="shared" si="32"/>
        <v>86.991384572120324</v>
      </c>
      <c r="AJ47" s="46">
        <f t="shared" si="32"/>
        <v>84.185210876245478</v>
      </c>
      <c r="AK47" s="46">
        <f t="shared" ref="AK47:BP47" si="33">AK44+AK45-AK46</f>
        <v>81.379037180370631</v>
      </c>
      <c r="AL47" s="46">
        <f t="shared" si="33"/>
        <v>78.572863484495784</v>
      </c>
      <c r="AM47" s="46">
        <f t="shared" si="33"/>
        <v>75.766689788620937</v>
      </c>
      <c r="AN47" s="46">
        <f t="shared" si="33"/>
        <v>72.96051609274609</v>
      </c>
      <c r="AO47" s="46">
        <f t="shared" si="33"/>
        <v>70.154342396871243</v>
      </c>
      <c r="AP47" s="46">
        <f t="shared" si="33"/>
        <v>67.348168700996396</v>
      </c>
      <c r="AQ47" s="46">
        <f t="shared" si="33"/>
        <v>61.123196329280859</v>
      </c>
      <c r="AR47" s="46">
        <f t="shared" si="33"/>
        <v>58.465666054094733</v>
      </c>
      <c r="AS47" s="46">
        <f t="shared" si="33"/>
        <v>55.808135778908607</v>
      </c>
      <c r="AT47" s="46">
        <f t="shared" si="33"/>
        <v>53.150605503722481</v>
      </c>
      <c r="AU47" s="46">
        <f t="shared" si="33"/>
        <v>50.493075228536355</v>
      </c>
      <c r="AV47" s="46">
        <f t="shared" si="33"/>
        <v>47.835544953350229</v>
      </c>
      <c r="AW47" s="46">
        <f t="shared" si="33"/>
        <v>45.178014678164104</v>
      </c>
      <c r="AX47" s="46">
        <f t="shared" si="33"/>
        <v>42.520484402977978</v>
      </c>
      <c r="AY47" s="46">
        <f t="shared" si="33"/>
        <v>39.862954127791852</v>
      </c>
      <c r="AZ47" s="46">
        <f t="shared" si="33"/>
        <v>37.205423852605726</v>
      </c>
      <c r="BA47" s="46">
        <f t="shared" si="33"/>
        <v>34.5478935774196</v>
      </c>
      <c r="BB47" s="46">
        <f t="shared" si="33"/>
        <v>31.890363302233478</v>
      </c>
      <c r="BC47" s="46">
        <f t="shared" si="33"/>
        <v>27.207251304033747</v>
      </c>
      <c r="BD47" s="46">
        <f t="shared" si="33"/>
        <v>24.733864821848861</v>
      </c>
      <c r="BE47" s="46">
        <f t="shared" si="33"/>
        <v>22.260478339663976</v>
      </c>
      <c r="BF47" s="46">
        <f t="shared" si="33"/>
        <v>19.787091857479091</v>
      </c>
      <c r="BG47" s="46">
        <f t="shared" si="33"/>
        <v>17.313705375294205</v>
      </c>
      <c r="BH47" s="46">
        <f t="shared" si="33"/>
        <v>14.84031889310932</v>
      </c>
      <c r="BI47" s="46">
        <f t="shared" si="33"/>
        <v>12.366932410924433</v>
      </c>
      <c r="BJ47" s="46">
        <f t="shared" si="33"/>
        <v>9.8935459287395453</v>
      </c>
      <c r="BK47" s="46">
        <f t="shared" si="33"/>
        <v>7.420159446554659</v>
      </c>
      <c r="BL47" s="46">
        <f t="shared" si="33"/>
        <v>4.9467729643697727</v>
      </c>
      <c r="BM47" s="32"/>
      <c r="BN47" s="32"/>
    </row>
    <row r="48" spans="1:66" ht="20" customHeight="1">
      <c r="A48" s="30"/>
      <c r="B48" s="30"/>
      <c r="C48" s="31" t="s">
        <v>239</v>
      </c>
      <c r="D48" s="31"/>
      <c r="E48" s="35">
        <f>IF(E91&gt;0,E47/E91*Transfers!E24,0)</f>
        <v>0</v>
      </c>
      <c r="F48" s="35">
        <f>IF(F91&gt;0,F47/F91*Transfers!F24,0)</f>
        <v>0</v>
      </c>
      <c r="G48" s="35">
        <f>IF(G91&gt;0,G47/G91*Transfers!G24,0)</f>
        <v>0.21138951884324023</v>
      </c>
      <c r="H48" s="35">
        <f>IF(H91&gt;0,H47/H91*Transfers!H24,0)</f>
        <v>0</v>
      </c>
      <c r="I48" s="35">
        <f>IF(I91&gt;0,I47/I91*Transfers!I24,0)</f>
        <v>0</v>
      </c>
      <c r="J48" s="35">
        <f>IF(J91&gt;0,J47/J91*Transfers!J24,0)</f>
        <v>0</v>
      </c>
      <c r="K48" s="35">
        <f>IF(K91&gt;0,K47/K91*Transfers!K24,0)</f>
        <v>0</v>
      </c>
      <c r="L48" s="35">
        <f>IF(L91&gt;0,L47/L91*Transfers!L24,0)</f>
        <v>0</v>
      </c>
      <c r="M48" s="35">
        <f>IF(M91&gt;0,M47/M91*Transfers!M24,0)</f>
        <v>0</v>
      </c>
      <c r="N48" s="35">
        <f>IF(N91&gt;0,N47/N91*Transfers!N24,0)</f>
        <v>0</v>
      </c>
      <c r="O48" s="35">
        <f>IF(O91&gt;0,O47/O91*Transfers!O24,0)</f>
        <v>0</v>
      </c>
      <c r="P48" s="35">
        <f>IF(P91&gt;0,P47/P91*Transfers!P24,0)</f>
        <v>0</v>
      </c>
      <c r="Q48" s="35">
        <f>IF(Q91&gt;0,Q47/Q91*Transfers!Q24,0)</f>
        <v>0</v>
      </c>
      <c r="R48" s="35">
        <f>IF(R91&gt;0,R47/R91*Transfers!R24,0)</f>
        <v>4.3858804422455631</v>
      </c>
      <c r="S48" s="35">
        <f>IF(S91&gt;0,S47/S91*Transfers!S24,0)</f>
        <v>0</v>
      </c>
      <c r="T48" s="35">
        <f>IF(T91&gt;0,T47/T91*Transfers!T24,0)</f>
        <v>0</v>
      </c>
      <c r="U48" s="35">
        <f>IF(U91&gt;0,U47/U91*Transfers!U24,0)</f>
        <v>0</v>
      </c>
      <c r="V48" s="35">
        <f>IF(V91&gt;0,V47/V91*Transfers!V24,0)</f>
        <v>0</v>
      </c>
      <c r="W48" s="35">
        <f>IF(W91&gt;0,W47/W91*Transfers!W24,0)</f>
        <v>0</v>
      </c>
      <c r="X48" s="35">
        <f>IF(X91&gt;0,X47/X91*Transfers!X24,0)</f>
        <v>0</v>
      </c>
      <c r="Y48" s="35">
        <f>IF(Y91&gt;0,Y47/Y91*Transfers!Y24,0)</f>
        <v>0</v>
      </c>
      <c r="Z48" s="35">
        <f>IF(Z91&gt;0,Z47/Z91*Transfers!Z24,0)</f>
        <v>0</v>
      </c>
      <c r="AA48" s="35">
        <f>IF(AA91&gt;0,AA47/AA91*Transfers!AA24,0)</f>
        <v>0</v>
      </c>
      <c r="AB48" s="35">
        <f>IF(AB91&gt;0,AB47/AB91*Transfers!AB24,0)</f>
        <v>0</v>
      </c>
      <c r="AC48" s="35">
        <f>IF(AC91&gt;0,AC47/AC91*Transfers!AC24,0)</f>
        <v>0</v>
      </c>
      <c r="AD48" s="35">
        <f>IF(AD91&gt;0,AD47/AD91*Transfers!AD24,0)</f>
        <v>4.2048719574135687</v>
      </c>
      <c r="AE48" s="35">
        <f>IF(AE91&gt;0,AE47/AE91*Transfers!AE24,0)</f>
        <v>0</v>
      </c>
      <c r="AF48" s="35">
        <f>IF(AF91&gt;0,AF47/AF91*Transfers!AF24,0)</f>
        <v>0</v>
      </c>
      <c r="AG48" s="35">
        <f>IF(AG91&gt;0,AG47/AG91*Transfers!AG24,0)</f>
        <v>0</v>
      </c>
      <c r="AH48" s="35">
        <f>IF(AH91&gt;0,AH47/AH91*Transfers!AH24,0)</f>
        <v>0</v>
      </c>
      <c r="AI48" s="35">
        <f>IF(AI91&gt;0,AI47/AI91*Transfers!AI24,0)</f>
        <v>0</v>
      </c>
      <c r="AJ48" s="35">
        <f>IF(AJ91&gt;0,AJ47/AJ91*Transfers!AJ24,0)</f>
        <v>0</v>
      </c>
      <c r="AK48" s="35">
        <f>IF(AK91&gt;0,AK47/AK91*Transfers!AK24,0)</f>
        <v>0</v>
      </c>
      <c r="AL48" s="35">
        <f>IF(AL91&gt;0,AL47/AL91*Transfers!AL24,0)</f>
        <v>0</v>
      </c>
      <c r="AM48" s="35">
        <f>IF(AM91&gt;0,AM47/AM91*Transfers!AM24,0)</f>
        <v>0</v>
      </c>
      <c r="AN48" s="35">
        <f>IF(AN91&gt;0,AN47/AN91*Transfers!AN24,0)</f>
        <v>0</v>
      </c>
      <c r="AO48" s="35">
        <f>IF(AO91&gt;0,AO47/AO91*Transfers!AO24,0)</f>
        <v>0</v>
      </c>
      <c r="AP48" s="35">
        <f>IF(AP91&gt;0,AP47/AP91*Transfers!AP24,0)</f>
        <v>3.5674420965294114</v>
      </c>
      <c r="AQ48" s="35">
        <f>IF(AQ91&gt;0,AQ47/AQ91*Transfers!AQ24,0)</f>
        <v>0</v>
      </c>
      <c r="AR48" s="35">
        <f>IF(AR91&gt;0,AR47/AR91*Transfers!AR24,0)</f>
        <v>0</v>
      </c>
      <c r="AS48" s="35">
        <f>IF(AS91&gt;0,AS47/AS91*Transfers!AS24,0)</f>
        <v>0</v>
      </c>
      <c r="AT48" s="35">
        <f>IF(AT91&gt;0,AT47/AT91*Transfers!AT24,0)</f>
        <v>0</v>
      </c>
      <c r="AU48" s="35">
        <f>IF(AU91&gt;0,AU47/AU91*Transfers!AU24,0)</f>
        <v>0</v>
      </c>
      <c r="AV48" s="35">
        <f>IF(AV91&gt;0,AV47/AV91*Transfers!AV24,0)</f>
        <v>0</v>
      </c>
      <c r="AW48" s="35">
        <f>IF(AW91&gt;0,AW47/AW91*Transfers!AW24,0)</f>
        <v>0</v>
      </c>
      <c r="AX48" s="35">
        <f>IF(AX91&gt;0,AX47/AX91*Transfers!AX24,0)</f>
        <v>0</v>
      </c>
      <c r="AY48" s="35">
        <f>IF(AY91&gt;0,AY47/AY91*Transfers!AY24,0)</f>
        <v>0</v>
      </c>
      <c r="AZ48" s="35">
        <f>IF(AZ91&gt;0,AZ47/AZ91*Transfers!AZ24,0)</f>
        <v>0</v>
      </c>
      <c r="BA48" s="35">
        <f>IF(BA91&gt;0,BA47/BA91*Transfers!BA24,0)</f>
        <v>0</v>
      </c>
      <c r="BB48" s="35">
        <f>IF(BB91&gt;0,BB47/BB91*Transfers!BB24,0)</f>
        <v>2.2097255160148448</v>
      </c>
      <c r="BC48" s="35">
        <f>IF(BC91&gt;0,BC47/BC91*Transfers!BC24,0)</f>
        <v>0</v>
      </c>
      <c r="BD48" s="35">
        <f>IF(BD91&gt;0,BD47/BD91*Transfers!BD24,0)</f>
        <v>0</v>
      </c>
      <c r="BE48" s="35">
        <f>IF(BE91&gt;0,BE47/BE91*Transfers!BE24,0)</f>
        <v>0</v>
      </c>
      <c r="BF48" s="35">
        <f>IF(BF91&gt;0,BF47/BF91*Transfers!BF24,0)</f>
        <v>0</v>
      </c>
      <c r="BG48" s="35">
        <f>IF(BG91&gt;0,BG47/BG91*Transfers!BG24,0)</f>
        <v>0</v>
      </c>
      <c r="BH48" s="35">
        <f>IF(BH91&gt;0,BH47/BH91*Transfers!BH24,0)</f>
        <v>0</v>
      </c>
      <c r="BI48" s="35">
        <f>IF(BI91&gt;0,BI47/BI91*Transfers!BI24,0)</f>
        <v>0</v>
      </c>
      <c r="BJ48" s="35">
        <f>IF(BJ91&gt;0,BJ47/BJ91*Transfers!BJ24,0)</f>
        <v>0</v>
      </c>
      <c r="BK48" s="35">
        <f>IF(BK91&gt;0,BK47/BK91*Transfers!BK24,0)</f>
        <v>0</v>
      </c>
      <c r="BL48" s="35">
        <f>IF(BL91&gt;0,BL47/BL91*Transfers!BL24,0)</f>
        <v>0</v>
      </c>
      <c r="BM48" s="32"/>
      <c r="BN48" s="32"/>
    </row>
    <row r="49" spans="1:66" ht="20" customHeight="1">
      <c r="A49" s="30"/>
      <c r="B49" s="30"/>
      <c r="C49" s="31" t="s">
        <v>240</v>
      </c>
      <c r="D49" s="31"/>
      <c r="E49" s="46">
        <f t="shared" ref="E49:AJ49" si="34">E47-E48</f>
        <v>0</v>
      </c>
      <c r="F49" s="46">
        <f t="shared" si="34"/>
        <v>0</v>
      </c>
      <c r="G49" s="46">
        <f t="shared" si="34"/>
        <v>177.8465440304152</v>
      </c>
      <c r="H49" s="46">
        <f t="shared" si="34"/>
        <v>174.83219582650986</v>
      </c>
      <c r="I49" s="46">
        <f t="shared" si="34"/>
        <v>171.81784762260452</v>
      </c>
      <c r="J49" s="46">
        <f t="shared" si="34"/>
        <v>168.80349941869918</v>
      </c>
      <c r="K49" s="46">
        <f t="shared" si="34"/>
        <v>165.78915121479383</v>
      </c>
      <c r="L49" s="46">
        <f t="shared" si="34"/>
        <v>162.77480301088849</v>
      </c>
      <c r="M49" s="46">
        <f t="shared" si="34"/>
        <v>159.76045480698315</v>
      </c>
      <c r="N49" s="46">
        <f t="shared" si="34"/>
        <v>156.74610660307781</v>
      </c>
      <c r="O49" s="46">
        <f t="shared" si="34"/>
        <v>153.73175839917246</v>
      </c>
      <c r="P49" s="46">
        <f t="shared" si="34"/>
        <v>150.71741019526712</v>
      </c>
      <c r="Q49" s="46">
        <f t="shared" si="34"/>
        <v>147.70306199136178</v>
      </c>
      <c r="R49" s="46">
        <f t="shared" si="34"/>
        <v>140.30283334521087</v>
      </c>
      <c r="S49" s="46">
        <f t="shared" si="34"/>
        <v>137.37985765051897</v>
      </c>
      <c r="T49" s="46">
        <f t="shared" si="34"/>
        <v>134.45688195582707</v>
      </c>
      <c r="U49" s="46">
        <f t="shared" si="34"/>
        <v>131.53390626113517</v>
      </c>
      <c r="V49" s="46">
        <f t="shared" si="34"/>
        <v>128.61093056644327</v>
      </c>
      <c r="W49" s="46">
        <f t="shared" si="34"/>
        <v>125.68795487175137</v>
      </c>
      <c r="X49" s="46">
        <f t="shared" si="34"/>
        <v>122.76497917705947</v>
      </c>
      <c r="Y49" s="46">
        <f t="shared" si="34"/>
        <v>119.84200348236759</v>
      </c>
      <c r="Z49" s="46">
        <f t="shared" si="34"/>
        <v>116.9190277876757</v>
      </c>
      <c r="AA49" s="46">
        <f t="shared" si="34"/>
        <v>113.9960520929838</v>
      </c>
      <c r="AB49" s="46">
        <f t="shared" si="34"/>
        <v>111.0730763982919</v>
      </c>
      <c r="AC49" s="46">
        <f t="shared" si="34"/>
        <v>108.15010070360002</v>
      </c>
      <c r="AD49" s="46">
        <f t="shared" si="34"/>
        <v>101.02225305149456</v>
      </c>
      <c r="AE49" s="46">
        <f t="shared" si="34"/>
        <v>98.216079355619712</v>
      </c>
      <c r="AF49" s="46">
        <f t="shared" si="34"/>
        <v>95.409905659744865</v>
      </c>
      <c r="AG49" s="46">
        <f t="shared" si="34"/>
        <v>92.603731963870018</v>
      </c>
      <c r="AH49" s="46">
        <f t="shared" si="34"/>
        <v>89.797558267995171</v>
      </c>
      <c r="AI49" s="46">
        <f t="shared" si="34"/>
        <v>86.991384572120324</v>
      </c>
      <c r="AJ49" s="46">
        <f t="shared" si="34"/>
        <v>84.185210876245478</v>
      </c>
      <c r="AK49" s="46">
        <f t="shared" ref="AK49:BP49" si="35">AK47-AK48</f>
        <v>81.379037180370631</v>
      </c>
      <c r="AL49" s="46">
        <f t="shared" si="35"/>
        <v>78.572863484495784</v>
      </c>
      <c r="AM49" s="46">
        <f t="shared" si="35"/>
        <v>75.766689788620937</v>
      </c>
      <c r="AN49" s="46">
        <f t="shared" si="35"/>
        <v>72.96051609274609</v>
      </c>
      <c r="AO49" s="46">
        <f t="shared" si="35"/>
        <v>70.154342396871243</v>
      </c>
      <c r="AP49" s="46">
        <f t="shared" si="35"/>
        <v>63.780726604466984</v>
      </c>
      <c r="AQ49" s="46">
        <f t="shared" si="35"/>
        <v>61.123196329280859</v>
      </c>
      <c r="AR49" s="46">
        <f t="shared" si="35"/>
        <v>58.465666054094733</v>
      </c>
      <c r="AS49" s="46">
        <f t="shared" si="35"/>
        <v>55.808135778908607</v>
      </c>
      <c r="AT49" s="46">
        <f t="shared" si="35"/>
        <v>53.150605503722481</v>
      </c>
      <c r="AU49" s="46">
        <f t="shared" si="35"/>
        <v>50.493075228536355</v>
      </c>
      <c r="AV49" s="46">
        <f t="shared" si="35"/>
        <v>47.835544953350229</v>
      </c>
      <c r="AW49" s="46">
        <f t="shared" si="35"/>
        <v>45.178014678164104</v>
      </c>
      <c r="AX49" s="46">
        <f t="shared" si="35"/>
        <v>42.520484402977978</v>
      </c>
      <c r="AY49" s="46">
        <f t="shared" si="35"/>
        <v>39.862954127791852</v>
      </c>
      <c r="AZ49" s="46">
        <f t="shared" si="35"/>
        <v>37.205423852605726</v>
      </c>
      <c r="BA49" s="46">
        <f t="shared" si="35"/>
        <v>34.5478935774196</v>
      </c>
      <c r="BB49" s="46">
        <f t="shared" si="35"/>
        <v>29.680637786218632</v>
      </c>
      <c r="BC49" s="46">
        <f t="shared" si="35"/>
        <v>27.207251304033747</v>
      </c>
      <c r="BD49" s="46">
        <f t="shared" si="35"/>
        <v>24.733864821848861</v>
      </c>
      <c r="BE49" s="46">
        <f t="shared" si="35"/>
        <v>22.260478339663976</v>
      </c>
      <c r="BF49" s="46">
        <f t="shared" si="35"/>
        <v>19.787091857479091</v>
      </c>
      <c r="BG49" s="46">
        <f t="shared" si="35"/>
        <v>17.313705375294205</v>
      </c>
      <c r="BH49" s="46">
        <f t="shared" si="35"/>
        <v>14.84031889310932</v>
      </c>
      <c r="BI49" s="46">
        <f t="shared" si="35"/>
        <v>12.366932410924433</v>
      </c>
      <c r="BJ49" s="46">
        <f t="shared" si="35"/>
        <v>9.8935459287395453</v>
      </c>
      <c r="BK49" s="46">
        <f t="shared" si="35"/>
        <v>7.420159446554659</v>
      </c>
      <c r="BL49" s="46">
        <f t="shared" si="35"/>
        <v>4.9467729643697727</v>
      </c>
      <c r="BM49" s="32"/>
      <c r="BN49" s="32"/>
    </row>
    <row r="50" spans="1:66" ht="20" customHeight="1">
      <c r="A50" s="30"/>
      <c r="B50" s="30"/>
      <c r="C50" s="31" t="s">
        <v>246</v>
      </c>
      <c r="D50" s="31"/>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row>
    <row r="51" spans="1:66" ht="20" customHeight="1">
      <c r="A51" s="30"/>
      <c r="B51" s="30"/>
      <c r="C51" s="31" t="s">
        <v>235</v>
      </c>
      <c r="D51" s="31"/>
      <c r="E51" s="46">
        <f>0</f>
        <v>0</v>
      </c>
      <c r="F51" s="46">
        <f t="shared" ref="F51:AK51" si="36">E56</f>
        <v>0</v>
      </c>
      <c r="G51" s="46">
        <f t="shared" si="36"/>
        <v>0</v>
      </c>
      <c r="H51" s="46">
        <f t="shared" si="36"/>
        <v>0</v>
      </c>
      <c r="I51" s="46">
        <f t="shared" si="36"/>
        <v>0</v>
      </c>
      <c r="J51" s="46">
        <f t="shared" si="36"/>
        <v>0</v>
      </c>
      <c r="K51" s="46">
        <f t="shared" si="36"/>
        <v>0</v>
      </c>
      <c r="L51" s="46">
        <f t="shared" si="36"/>
        <v>4.916666666666667</v>
      </c>
      <c r="M51" s="46">
        <f t="shared" si="36"/>
        <v>4.8333333333333339</v>
      </c>
      <c r="N51" s="46">
        <f t="shared" si="36"/>
        <v>4.7500000000000009</v>
      </c>
      <c r="O51" s="46">
        <f t="shared" si="36"/>
        <v>4.6666666666666679</v>
      </c>
      <c r="P51" s="46">
        <f t="shared" si="36"/>
        <v>4.5833333333333348</v>
      </c>
      <c r="Q51" s="46">
        <f t="shared" si="36"/>
        <v>4.5000000000000018</v>
      </c>
      <c r="R51" s="46">
        <f t="shared" si="36"/>
        <v>4.4166666666666687</v>
      </c>
      <c r="S51" s="46">
        <f t="shared" si="36"/>
        <v>4.2019790526925114</v>
      </c>
      <c r="T51" s="46">
        <f t="shared" si="36"/>
        <v>4.1211717632176557</v>
      </c>
      <c r="U51" s="46">
        <f t="shared" si="36"/>
        <v>4.0403644737427999</v>
      </c>
      <c r="V51" s="46">
        <f t="shared" si="36"/>
        <v>3.9595571842679438</v>
      </c>
      <c r="W51" s="46">
        <f t="shared" si="36"/>
        <v>3.8787498947930876</v>
      </c>
      <c r="X51" s="46">
        <f t="shared" si="36"/>
        <v>3.7979426053182315</v>
      </c>
      <c r="Y51" s="46">
        <f t="shared" si="36"/>
        <v>3.7171353158433753</v>
      </c>
      <c r="Z51" s="46">
        <f t="shared" si="36"/>
        <v>3.6363280263685192</v>
      </c>
      <c r="AA51" s="46">
        <f t="shared" si="36"/>
        <v>3.555520736893663</v>
      </c>
      <c r="AB51" s="46">
        <f t="shared" si="36"/>
        <v>3.4747134474188068</v>
      </c>
      <c r="AC51" s="46">
        <f t="shared" si="36"/>
        <v>3.3939061579439507</v>
      </c>
      <c r="AD51" s="46">
        <f t="shared" si="36"/>
        <v>3.3130988684690945</v>
      </c>
      <c r="AE51" s="46">
        <f t="shared" si="36"/>
        <v>3.1031293290748732</v>
      </c>
      <c r="AF51" s="46">
        <f t="shared" si="36"/>
        <v>3.0255510958480012</v>
      </c>
      <c r="AG51" s="46">
        <f t="shared" si="36"/>
        <v>2.9479728626211292</v>
      </c>
      <c r="AH51" s="46">
        <f t="shared" si="36"/>
        <v>2.8703946293942573</v>
      </c>
      <c r="AI51" s="46">
        <f t="shared" si="36"/>
        <v>2.7928163961673853</v>
      </c>
      <c r="AJ51" s="46">
        <f t="shared" si="36"/>
        <v>2.7152381629405133</v>
      </c>
      <c r="AK51" s="46">
        <f t="shared" si="36"/>
        <v>2.6376599297136414</v>
      </c>
      <c r="AL51" s="46">
        <f t="shared" ref="AL51:BL51" si="37">AK56</f>
        <v>2.5600816964867694</v>
      </c>
      <c r="AM51" s="46">
        <f t="shared" si="37"/>
        <v>2.4825034632598975</v>
      </c>
      <c r="AN51" s="46">
        <f t="shared" si="37"/>
        <v>2.4049252300330255</v>
      </c>
      <c r="AO51" s="46">
        <f t="shared" si="37"/>
        <v>2.3273469968061535</v>
      </c>
      <c r="AP51" s="46">
        <f t="shared" si="37"/>
        <v>2.2497687635792816</v>
      </c>
      <c r="AQ51" s="46">
        <f t="shared" si="37"/>
        <v>2.0571292883152954</v>
      </c>
      <c r="AR51" s="46">
        <f t="shared" si="37"/>
        <v>1.9836603851611776</v>
      </c>
      <c r="AS51" s="46">
        <f t="shared" si="37"/>
        <v>1.9101914820070598</v>
      </c>
      <c r="AT51" s="46">
        <f t="shared" si="37"/>
        <v>1.8367225788529422</v>
      </c>
      <c r="AU51" s="46">
        <f t="shared" si="37"/>
        <v>1.7632536756988246</v>
      </c>
      <c r="AV51" s="46">
        <f t="shared" si="37"/>
        <v>1.6897847725447068</v>
      </c>
      <c r="AW51" s="46">
        <f t="shared" si="37"/>
        <v>1.616315869390589</v>
      </c>
      <c r="AX51" s="46">
        <f t="shared" si="37"/>
        <v>1.5428469662364714</v>
      </c>
      <c r="AY51" s="46">
        <f t="shared" si="37"/>
        <v>1.4693780630823539</v>
      </c>
      <c r="AZ51" s="46">
        <f t="shared" si="37"/>
        <v>1.3959091599282361</v>
      </c>
      <c r="BA51" s="46">
        <f t="shared" si="37"/>
        <v>1.3224402567741183</v>
      </c>
      <c r="BB51" s="46">
        <f t="shared" si="37"/>
        <v>1.2489713536200007</v>
      </c>
      <c r="BC51" s="46">
        <f t="shared" si="37"/>
        <v>1.0940503285720407</v>
      </c>
      <c r="BD51" s="46">
        <f t="shared" si="37"/>
        <v>1.025672183036288</v>
      </c>
      <c r="BE51" s="46">
        <f t="shared" si="37"/>
        <v>0.95729403750053554</v>
      </c>
      <c r="BF51" s="46">
        <f t="shared" si="37"/>
        <v>0.88891589196478304</v>
      </c>
      <c r="BG51" s="46">
        <f t="shared" si="37"/>
        <v>0.82053774642903055</v>
      </c>
      <c r="BH51" s="46">
        <f t="shared" si="37"/>
        <v>0.75215960089327805</v>
      </c>
      <c r="BI51" s="46">
        <f t="shared" si="37"/>
        <v>0.68378145535752544</v>
      </c>
      <c r="BJ51" s="46">
        <f t="shared" si="37"/>
        <v>0.61540330982177294</v>
      </c>
      <c r="BK51" s="46">
        <f t="shared" si="37"/>
        <v>0.54702516428602044</v>
      </c>
      <c r="BL51" s="46">
        <f t="shared" si="37"/>
        <v>0.47864701875026788</v>
      </c>
      <c r="BM51" s="32"/>
      <c r="BN51" s="32"/>
    </row>
    <row r="52" spans="1:66" ht="20" customHeight="1">
      <c r="A52" s="30"/>
      <c r="B52" s="30"/>
      <c r="C52" s="31" t="s">
        <v>236</v>
      </c>
      <c r="D52" s="31"/>
      <c r="E52" s="35">
        <f>Transfers!E10+Transfers!E12</f>
        <v>0</v>
      </c>
      <c r="F52" s="35">
        <f>Transfers!F10+Transfers!F12</f>
        <v>0</v>
      </c>
      <c r="G52" s="35">
        <f>Transfers!G10+Transfers!G12</f>
        <v>0</v>
      </c>
      <c r="H52" s="35">
        <f>Transfers!H10+Transfers!H12</f>
        <v>0</v>
      </c>
      <c r="I52" s="35">
        <f>Transfers!I10+Transfers!I12</f>
        <v>0</v>
      </c>
      <c r="J52" s="35">
        <f>Transfers!J10+Transfers!J12</f>
        <v>0</v>
      </c>
      <c r="K52" s="35">
        <f>Transfers!K10+Transfers!K12</f>
        <v>5</v>
      </c>
      <c r="L52" s="35">
        <f>Transfers!L10+Transfers!L12</f>
        <v>0</v>
      </c>
      <c r="M52" s="35">
        <f>Transfers!M10+Transfers!M12</f>
        <v>0</v>
      </c>
      <c r="N52" s="35">
        <f>Transfers!N10+Transfers!N12</f>
        <v>0</v>
      </c>
      <c r="O52" s="35">
        <f>Transfers!O10+Transfers!O12</f>
        <v>0</v>
      </c>
      <c r="P52" s="35">
        <f>Transfers!P10+Transfers!P12</f>
        <v>0</v>
      </c>
      <c r="Q52" s="46">
        <f>0</f>
        <v>0</v>
      </c>
      <c r="R52" s="46">
        <f>0</f>
        <v>0</v>
      </c>
      <c r="S52" s="46">
        <f>0</f>
        <v>0</v>
      </c>
      <c r="T52" s="46">
        <f>0</f>
        <v>0</v>
      </c>
      <c r="U52" s="46">
        <f>0</f>
        <v>0</v>
      </c>
      <c r="V52" s="46">
        <f>0</f>
        <v>0</v>
      </c>
      <c r="W52" s="46">
        <f>0</f>
        <v>0</v>
      </c>
      <c r="X52" s="46">
        <f>0</f>
        <v>0</v>
      </c>
      <c r="Y52" s="46">
        <f>0</f>
        <v>0</v>
      </c>
      <c r="Z52" s="46">
        <f>0</f>
        <v>0</v>
      </c>
      <c r="AA52" s="46">
        <f>0</f>
        <v>0</v>
      </c>
      <c r="AB52" s="46">
        <f>0</f>
        <v>0</v>
      </c>
      <c r="AC52" s="46">
        <f>0</f>
        <v>0</v>
      </c>
      <c r="AD52" s="46">
        <f>0</f>
        <v>0</v>
      </c>
      <c r="AE52" s="46">
        <f>0</f>
        <v>0</v>
      </c>
      <c r="AF52" s="46">
        <f>0</f>
        <v>0</v>
      </c>
      <c r="AG52" s="46">
        <f>0</f>
        <v>0</v>
      </c>
      <c r="AH52" s="46">
        <f>0</f>
        <v>0</v>
      </c>
      <c r="AI52" s="46">
        <f>0</f>
        <v>0</v>
      </c>
      <c r="AJ52" s="46">
        <f>0</f>
        <v>0</v>
      </c>
      <c r="AK52" s="46">
        <f>0</f>
        <v>0</v>
      </c>
      <c r="AL52" s="46">
        <f>0</f>
        <v>0</v>
      </c>
      <c r="AM52" s="46">
        <f>0</f>
        <v>0</v>
      </c>
      <c r="AN52" s="46">
        <f>0</f>
        <v>0</v>
      </c>
      <c r="AO52" s="46">
        <f>0</f>
        <v>0</v>
      </c>
      <c r="AP52" s="46">
        <f>0</f>
        <v>0</v>
      </c>
      <c r="AQ52" s="46">
        <f>0</f>
        <v>0</v>
      </c>
      <c r="AR52" s="46">
        <f>0</f>
        <v>0</v>
      </c>
      <c r="AS52" s="46">
        <f>0</f>
        <v>0</v>
      </c>
      <c r="AT52" s="46">
        <f>0</f>
        <v>0</v>
      </c>
      <c r="AU52" s="46">
        <f>0</f>
        <v>0</v>
      </c>
      <c r="AV52" s="46">
        <f>0</f>
        <v>0</v>
      </c>
      <c r="AW52" s="46">
        <f>0</f>
        <v>0</v>
      </c>
      <c r="AX52" s="46">
        <f>0</f>
        <v>0</v>
      </c>
      <c r="AY52" s="46">
        <f>0</f>
        <v>0</v>
      </c>
      <c r="AZ52" s="46">
        <f>0</f>
        <v>0</v>
      </c>
      <c r="BA52" s="46">
        <f>0</f>
        <v>0</v>
      </c>
      <c r="BB52" s="46">
        <f>0</f>
        <v>0</v>
      </c>
      <c r="BC52" s="46">
        <f>0</f>
        <v>0</v>
      </c>
      <c r="BD52" s="46">
        <f>0</f>
        <v>0</v>
      </c>
      <c r="BE52" s="46">
        <f>0</f>
        <v>0</v>
      </c>
      <c r="BF52" s="46">
        <f>0</f>
        <v>0</v>
      </c>
      <c r="BG52" s="46">
        <f>0</f>
        <v>0</v>
      </c>
      <c r="BH52" s="46">
        <f>0</f>
        <v>0</v>
      </c>
      <c r="BI52" s="46">
        <f>0</f>
        <v>0</v>
      </c>
      <c r="BJ52" s="46">
        <f>0</f>
        <v>0</v>
      </c>
      <c r="BK52" s="46">
        <f>0</f>
        <v>0</v>
      </c>
      <c r="BL52" s="46">
        <f>0</f>
        <v>0</v>
      </c>
      <c r="BM52" s="32"/>
      <c r="BN52" s="32"/>
    </row>
    <row r="53" spans="1:66" ht="20" customHeight="1">
      <c r="A53" s="30"/>
      <c r="B53" s="30"/>
      <c r="C53" s="31" t="s">
        <v>237</v>
      </c>
      <c r="D53" s="31"/>
      <c r="E53" s="35">
        <f>IF(0&lt;6,0,IF((Assumptions!E83*12)-(0-6)&gt;0,MIN(E51+E52,(E51+E52)/MAX(1,(Assumptions!E83*12)-(0-6))),E51+E52))</f>
        <v>0</v>
      </c>
      <c r="F53" s="35">
        <f>IF(1&lt;6,0,IF((Assumptions!E83*12)-(1-6)&gt;0,MIN(F51+F52,(F51+F52)/MAX(1,(Assumptions!E83*12)-(1-6))),F51+F52))</f>
        <v>0</v>
      </c>
      <c r="G53" s="35">
        <f>IF(2&lt;6,0,IF((Assumptions!E83*12)-(2-6)&gt;0,MIN(G51+G52,(G51+G52)/MAX(1,(Assumptions!E83*12)-(2-6))),G51+G52))</f>
        <v>0</v>
      </c>
      <c r="H53" s="35">
        <f>IF(3&lt;6,0,IF((Assumptions!E83*12)-(3-6)&gt;0,MIN(H51+H52,(H51+H52)/MAX(1,(Assumptions!E83*12)-(3-6))),H51+H52))</f>
        <v>0</v>
      </c>
      <c r="I53" s="35">
        <f>IF(4&lt;6,0,IF((Assumptions!E83*12)-(4-6)&gt;0,MIN(I51+I52,(I51+I52)/MAX(1,(Assumptions!E83*12)-(4-6))),I51+I52))</f>
        <v>0</v>
      </c>
      <c r="J53" s="35">
        <f>IF(5&lt;6,0,IF((Assumptions!E83*12)-(5-6)&gt;0,MIN(J51+J52,(J51+J52)/MAX(1,(Assumptions!E83*12)-(5-6))),J51+J52))</f>
        <v>0</v>
      </c>
      <c r="K53" s="35">
        <f>IF(6&lt;6,0,IF((Assumptions!E83*12)-(6-6)&gt;0,MIN(K51+K52,(K51+K52)/MAX(1,(Assumptions!E83*12)-(6-6))),K51+K52))</f>
        <v>8.3333333333333329E-2</v>
      </c>
      <c r="L53" s="35">
        <f>IF(7&lt;6,0,IF((Assumptions!E83*12)-(7-6)&gt;0,MIN(L51+L52,(L51+L52)/MAX(1,(Assumptions!E83*12)-(7-6))),L51+L52))</f>
        <v>8.3333333333333343E-2</v>
      </c>
      <c r="M53" s="35">
        <f>IF(8&lt;6,0,IF((Assumptions!E83*12)-(8-6)&gt;0,MIN(M51+M52,(M51+M52)/MAX(1,(Assumptions!E83*12)-(8-6))),M51+M52))</f>
        <v>8.3333333333333343E-2</v>
      </c>
      <c r="N53" s="35">
        <f>IF(9&lt;6,0,IF((Assumptions!E83*12)-(9-6)&gt;0,MIN(N51+N52,(N51+N52)/MAX(1,(Assumptions!E83*12)-(9-6))),N51+N52))</f>
        <v>8.3333333333333343E-2</v>
      </c>
      <c r="O53" s="35">
        <f>IF(10&lt;6,0,IF((Assumptions!E83*12)-(10-6)&gt;0,MIN(O51+O52,(O51+O52)/MAX(1,(Assumptions!E83*12)-(10-6))),O51+O52))</f>
        <v>8.3333333333333356E-2</v>
      </c>
      <c r="P53" s="35">
        <f>IF(11&lt;6,0,IF((Assumptions!E83*12)-(11-6)&gt;0,MIN(P51+P52,(P51+P52)/MAX(1,(Assumptions!E83*12)-(11-6))),P51+P52))</f>
        <v>8.3333333333333356E-2</v>
      </c>
      <c r="Q53" s="35">
        <f>IF(12&lt;6,0,IF((Assumptions!E83*12)-(12-6)&gt;0,MIN(Q51+Q52,(Q51+Q52)/MAX(1,(Assumptions!E83*12)-(12-6))),Q51+Q52))</f>
        <v>8.333333333333337E-2</v>
      </c>
      <c r="R53" s="35">
        <f>IF(13&lt;6,0,IF((Assumptions!E83*12)-(13-6)&gt;0,MIN(R51+R52,(R51+R52)/MAX(1,(Assumptions!E83*12)-(13-6))),R51+R52))</f>
        <v>8.333333333333337E-2</v>
      </c>
      <c r="S53" s="35">
        <f>IF(14&lt;6,0,IF((Assumptions!E83*12)-(14-6)&gt;0,MIN(S51+S52,(S51+S52)/MAX(1,(Assumptions!E83*12)-(14-6))),S51+S52))</f>
        <v>8.0807289474855992E-2</v>
      </c>
      <c r="T53" s="35">
        <f>IF(15&lt;6,0,IF((Assumptions!E83*12)-(15-6)&gt;0,MIN(T51+T52,(T51+T52)/MAX(1,(Assumptions!E83*12)-(15-6))),T51+T52))</f>
        <v>8.0807289474855992E-2</v>
      </c>
      <c r="U53" s="35">
        <f>IF(16&lt;6,0,IF((Assumptions!E83*12)-(16-6)&gt;0,MIN(U51+U52,(U51+U52)/MAX(1,(Assumptions!E83*12)-(16-6))),U51+U52))</f>
        <v>8.0807289474855992E-2</v>
      </c>
      <c r="V53" s="35">
        <f>IF(17&lt;6,0,IF((Assumptions!E83*12)-(17-6)&gt;0,MIN(V51+V52,(V51+V52)/MAX(1,(Assumptions!E83*12)-(17-6))),V51+V52))</f>
        <v>8.0807289474855992E-2</v>
      </c>
      <c r="W53" s="35">
        <f>IF(18&lt;6,0,IF((Assumptions!E83*12)-(18-6)&gt;0,MIN(W51+W52,(W51+W52)/MAX(1,(Assumptions!E83*12)-(18-6))),W51+W52))</f>
        <v>8.0807289474855992E-2</v>
      </c>
      <c r="X53" s="35">
        <f>IF(19&lt;6,0,IF((Assumptions!E83*12)-(19-6)&gt;0,MIN(X51+X52,(X51+X52)/MAX(1,(Assumptions!E83*12)-(19-6))),X51+X52))</f>
        <v>8.0807289474855992E-2</v>
      </c>
      <c r="Y53" s="35">
        <f>IF(20&lt;6,0,IF((Assumptions!E83*12)-(20-6)&gt;0,MIN(Y51+Y52,(Y51+Y52)/MAX(1,(Assumptions!E83*12)-(20-6))),Y51+Y52))</f>
        <v>8.0807289474855978E-2</v>
      </c>
      <c r="Z53" s="35">
        <f>IF(21&lt;6,0,IF((Assumptions!E83*12)-(21-6)&gt;0,MIN(Z51+Z52,(Z51+Z52)/MAX(1,(Assumptions!E83*12)-(21-6))),Z51+Z52))</f>
        <v>8.0807289474855978E-2</v>
      </c>
      <c r="AA53" s="35">
        <f>IF(22&lt;6,0,IF((Assumptions!E83*12)-(22-6)&gt;0,MIN(AA51+AA52,(AA51+AA52)/MAX(1,(Assumptions!E83*12)-(22-6))),AA51+AA52))</f>
        <v>8.0807289474855978E-2</v>
      </c>
      <c r="AB53" s="35">
        <f>IF(23&lt;6,0,IF((Assumptions!E83*12)-(23-6)&gt;0,MIN(AB51+AB52,(AB51+AB52)/MAX(1,(Assumptions!E83*12)-(23-6))),AB51+AB52))</f>
        <v>8.0807289474855978E-2</v>
      </c>
      <c r="AC53" s="35">
        <f>IF(24&lt;6,0,IF((Assumptions!E83*12)-(24-6)&gt;0,MIN(AC51+AC52,(AC51+AC52)/MAX(1,(Assumptions!E83*12)-(24-6))),AC51+AC52))</f>
        <v>8.0807289474855964E-2</v>
      </c>
      <c r="AD53" s="35">
        <f>IF(25&lt;6,0,IF((Assumptions!E83*12)-(25-6)&gt;0,MIN(AD51+AD52,(AD51+AD52)/MAX(1,(Assumptions!E83*12)-(25-6))),AD51+AD52))</f>
        <v>8.0807289474855964E-2</v>
      </c>
      <c r="AE53" s="35">
        <f>IF(26&lt;6,0,IF((Assumptions!E83*12)-(26-6)&gt;0,MIN(AE51+AE52,(AE51+AE52)/MAX(1,(Assumptions!E83*12)-(26-6))),AE51+AE52))</f>
        <v>7.7578233226871823E-2</v>
      </c>
      <c r="AF53" s="35">
        <f>IF(27&lt;6,0,IF((Assumptions!E83*12)-(27-6)&gt;0,MIN(AF51+AF52,(AF51+AF52)/MAX(1,(Assumptions!E83*12)-(27-6))),AF51+AF52))</f>
        <v>7.7578233226871823E-2</v>
      </c>
      <c r="AG53" s="35">
        <f>IF(28&lt;6,0,IF((Assumptions!E83*12)-(28-6)&gt;0,MIN(AG51+AG52,(AG51+AG52)/MAX(1,(Assumptions!E83*12)-(28-6))),AG51+AG52))</f>
        <v>7.7578233226871823E-2</v>
      </c>
      <c r="AH53" s="35">
        <f>IF(29&lt;6,0,IF((Assumptions!E83*12)-(29-6)&gt;0,MIN(AH51+AH52,(AH51+AH52)/MAX(1,(Assumptions!E83*12)-(29-6))),AH51+AH52))</f>
        <v>7.7578233226871823E-2</v>
      </c>
      <c r="AI53" s="35">
        <f>IF(30&lt;6,0,IF((Assumptions!E83*12)-(30-6)&gt;0,MIN(AI51+AI52,(AI51+AI52)/MAX(1,(Assumptions!E83*12)-(30-6))),AI51+AI52))</f>
        <v>7.7578233226871809E-2</v>
      </c>
      <c r="AJ53" s="35">
        <f>IF(31&lt;6,0,IF((Assumptions!E83*12)-(31-6)&gt;0,MIN(AJ51+AJ52,(AJ51+AJ52)/MAX(1,(Assumptions!E83*12)-(31-6))),AJ51+AJ52))</f>
        <v>7.7578233226871809E-2</v>
      </c>
      <c r="AK53" s="35">
        <f>IF(32&lt;6,0,IF((Assumptions!E83*12)-(32-6)&gt;0,MIN(AK51+AK52,(AK51+AK52)/MAX(1,(Assumptions!E83*12)-(32-6))),AK51+AK52))</f>
        <v>7.7578233226871809E-2</v>
      </c>
      <c r="AL53" s="35">
        <f>IF(33&lt;6,0,IF((Assumptions!E83*12)-(33-6)&gt;0,MIN(AL51+AL52,(AL51+AL52)/MAX(1,(Assumptions!E83*12)-(33-6))),AL51+AL52))</f>
        <v>7.7578233226871796E-2</v>
      </c>
      <c r="AM53" s="35">
        <f>IF(34&lt;6,0,IF((Assumptions!E83*12)-(34-6)&gt;0,MIN(AM51+AM52,(AM51+AM52)/MAX(1,(Assumptions!E83*12)-(34-6))),AM51+AM52))</f>
        <v>7.7578233226871796E-2</v>
      </c>
      <c r="AN53" s="35">
        <f>IF(35&lt;6,0,IF((Assumptions!E83*12)-(35-6)&gt;0,MIN(AN51+AN52,(AN51+AN52)/MAX(1,(Assumptions!E83*12)-(35-6))),AN51+AN52))</f>
        <v>7.7578233226871796E-2</v>
      </c>
      <c r="AO53" s="35">
        <f>IF(36&lt;6,0,IF((Assumptions!E83*12)-(36-6)&gt;0,MIN(AO51+AO52,(AO51+AO52)/MAX(1,(Assumptions!E83*12)-(36-6))),AO51+AO52))</f>
        <v>7.7578233226871782E-2</v>
      </c>
      <c r="AP53" s="35">
        <f>IF(37&lt;6,0,IF((Assumptions!E83*12)-(37-6)&gt;0,MIN(AP51+AP52,(AP51+AP52)/MAX(1,(Assumptions!E83*12)-(37-6))),AP51+AP52))</f>
        <v>7.7578233226871782E-2</v>
      </c>
      <c r="AQ53" s="35">
        <f>IF(38&lt;6,0,IF((Assumptions!E83*12)-(38-6)&gt;0,MIN(AQ51+AQ52,(AQ51+AQ52)/MAX(1,(Assumptions!E83*12)-(38-6))),AQ51+AQ52))</f>
        <v>7.3468903154117693E-2</v>
      </c>
      <c r="AR53" s="35">
        <f>IF(39&lt;6,0,IF((Assumptions!E83*12)-(39-6)&gt;0,MIN(AR51+AR52,(AR51+AR52)/MAX(1,(Assumptions!E83*12)-(39-6))),AR51+AR52))</f>
        <v>7.3468903154117693E-2</v>
      </c>
      <c r="AS53" s="35">
        <f>IF(40&lt;6,0,IF((Assumptions!E83*12)-(40-6)&gt;0,MIN(AS51+AS52,(AS51+AS52)/MAX(1,(Assumptions!E83*12)-(40-6))),AS51+AS52))</f>
        <v>7.3468903154117679E-2</v>
      </c>
      <c r="AT53" s="35">
        <f>IF(41&lt;6,0,IF((Assumptions!E83*12)-(41-6)&gt;0,MIN(AT51+AT52,(AT51+AT52)/MAX(1,(Assumptions!E83*12)-(41-6))),AT51+AT52))</f>
        <v>7.3468903154117693E-2</v>
      </c>
      <c r="AU53" s="35">
        <f>IF(42&lt;6,0,IF((Assumptions!E83*12)-(42-6)&gt;0,MIN(AU51+AU52,(AU51+AU52)/MAX(1,(Assumptions!E83*12)-(42-6))),AU51+AU52))</f>
        <v>7.3468903154117693E-2</v>
      </c>
      <c r="AV53" s="35">
        <f>IF(43&lt;6,0,IF((Assumptions!E83*12)-(43-6)&gt;0,MIN(AV51+AV52,(AV51+AV52)/MAX(1,(Assumptions!E83*12)-(43-6))),AV51+AV52))</f>
        <v>7.3468903154117693E-2</v>
      </c>
      <c r="AW53" s="35">
        <f>IF(44&lt;6,0,IF((Assumptions!E83*12)-(44-6)&gt;0,MIN(AW51+AW52,(AW51+AW52)/MAX(1,(Assumptions!E83*12)-(44-6))),AW51+AW52))</f>
        <v>7.3468903154117679E-2</v>
      </c>
      <c r="AX53" s="35">
        <f>IF(45&lt;6,0,IF((Assumptions!E83*12)-(45-6)&gt;0,MIN(AX51+AX52,(AX51+AX52)/MAX(1,(Assumptions!E83*12)-(45-6))),AX51+AX52))</f>
        <v>7.3468903154117693E-2</v>
      </c>
      <c r="AY53" s="35">
        <f>IF(46&lt;6,0,IF((Assumptions!E83*12)-(46-6)&gt;0,MIN(AY51+AY52,(AY51+AY52)/MAX(1,(Assumptions!E83*12)-(46-6))),AY51+AY52))</f>
        <v>7.3468903154117693E-2</v>
      </c>
      <c r="AZ53" s="35">
        <f>IF(47&lt;6,0,IF((Assumptions!E83*12)-(47-6)&gt;0,MIN(AZ51+AZ52,(AZ51+AZ52)/MAX(1,(Assumptions!E83*12)-(47-6))),AZ51+AZ52))</f>
        <v>7.3468903154117693E-2</v>
      </c>
      <c r="BA53" s="35">
        <f>IF(48&lt;6,0,IF((Assumptions!E83*12)-(48-6)&gt;0,MIN(BA51+BA52,(BA51+BA52)/MAX(1,(Assumptions!E83*12)-(48-6))),BA51+BA52))</f>
        <v>7.3468903154117679E-2</v>
      </c>
      <c r="BB53" s="35">
        <f>IF(49&lt;6,0,IF((Assumptions!E83*12)-(49-6)&gt;0,MIN(BB51+BB52,(BB51+BB52)/MAX(1,(Assumptions!E83*12)-(49-6))),BB51+BB52))</f>
        <v>7.3468903154117693E-2</v>
      </c>
      <c r="BC53" s="35">
        <f>IF(50&lt;6,0,IF((Assumptions!E83*12)-(50-6)&gt;0,MIN(BC51+BC52,(BC51+BC52)/MAX(1,(Assumptions!E83*12)-(50-6))),BC51+BC52))</f>
        <v>6.8378145535752541E-2</v>
      </c>
      <c r="BD53" s="35">
        <f>IF(51&lt;6,0,IF((Assumptions!E83*12)-(51-6)&gt;0,MIN(BD51+BD52,(BD51+BD52)/MAX(1,(Assumptions!E83*12)-(51-6))),BD51+BD52))</f>
        <v>6.8378145535752541E-2</v>
      </c>
      <c r="BE53" s="35">
        <f>IF(52&lt;6,0,IF((Assumptions!E83*12)-(52-6)&gt;0,MIN(BE51+BE52,(BE51+BE52)/MAX(1,(Assumptions!E83*12)-(52-6))),BE51+BE52))</f>
        <v>6.8378145535752541E-2</v>
      </c>
      <c r="BF53" s="35">
        <f>IF(53&lt;6,0,IF((Assumptions!E83*12)-(53-6)&gt;0,MIN(BF51+BF52,(BF51+BF52)/MAX(1,(Assumptions!E83*12)-(53-6))),BF51+BF52))</f>
        <v>6.8378145535752541E-2</v>
      </c>
      <c r="BG53" s="35">
        <f>IF(54&lt;6,0,IF((Assumptions!E83*12)-(54-6)&gt;0,MIN(BG51+BG52,(BG51+BG52)/MAX(1,(Assumptions!E83*12)-(54-6))),BG51+BG52))</f>
        <v>6.8378145535752541E-2</v>
      </c>
      <c r="BH53" s="35">
        <f>IF(55&lt;6,0,IF((Assumptions!E83*12)-(55-6)&gt;0,MIN(BH51+BH52,(BH51+BH52)/MAX(1,(Assumptions!E83*12)-(55-6))),BH51+BH52))</f>
        <v>6.8378145535752555E-2</v>
      </c>
      <c r="BI53" s="35">
        <f>IF(56&lt;6,0,IF((Assumptions!E83*12)-(56-6)&gt;0,MIN(BI51+BI52,(BI51+BI52)/MAX(1,(Assumptions!E83*12)-(56-6))),BI51+BI52))</f>
        <v>6.8378145535752541E-2</v>
      </c>
      <c r="BJ53" s="35">
        <f>IF(57&lt;6,0,IF((Assumptions!E83*12)-(57-6)&gt;0,MIN(BJ51+BJ52,(BJ51+BJ52)/MAX(1,(Assumptions!E83*12)-(57-6))),BJ51+BJ52))</f>
        <v>6.8378145535752555E-2</v>
      </c>
      <c r="BK53" s="35">
        <f>IF(58&lt;6,0,IF((Assumptions!E83*12)-(58-6)&gt;0,MIN(BK51+BK52,(BK51+BK52)/MAX(1,(Assumptions!E83*12)-(58-6))),BK51+BK52))</f>
        <v>6.8378145535752555E-2</v>
      </c>
      <c r="BL53" s="35">
        <f>IF(59&lt;6,0,IF((Assumptions!E83*12)-(59-6)&gt;0,MIN(BL51+BL52,(BL51+BL52)/MAX(1,(Assumptions!E83*12)-(59-6))),BL51+BL52))</f>
        <v>6.8378145535752555E-2</v>
      </c>
      <c r="BM53" s="32"/>
      <c r="BN53" s="32"/>
    </row>
    <row r="54" spans="1:66" ht="20" customHeight="1">
      <c r="A54" s="30"/>
      <c r="B54" s="30"/>
      <c r="C54" s="31" t="s">
        <v>238</v>
      </c>
      <c r="D54" s="31"/>
      <c r="E54" s="46">
        <f t="shared" ref="E54:AJ54" si="38">E51+E52-E53</f>
        <v>0</v>
      </c>
      <c r="F54" s="46">
        <f t="shared" si="38"/>
        <v>0</v>
      </c>
      <c r="G54" s="46">
        <f t="shared" si="38"/>
        <v>0</v>
      </c>
      <c r="H54" s="46">
        <f t="shared" si="38"/>
        <v>0</v>
      </c>
      <c r="I54" s="46">
        <f t="shared" si="38"/>
        <v>0</v>
      </c>
      <c r="J54" s="46">
        <f t="shared" si="38"/>
        <v>0</v>
      </c>
      <c r="K54" s="46">
        <f t="shared" si="38"/>
        <v>4.916666666666667</v>
      </c>
      <c r="L54" s="46">
        <f t="shared" si="38"/>
        <v>4.8333333333333339</v>
      </c>
      <c r="M54" s="46">
        <f t="shared" si="38"/>
        <v>4.7500000000000009</v>
      </c>
      <c r="N54" s="46">
        <f t="shared" si="38"/>
        <v>4.6666666666666679</v>
      </c>
      <c r="O54" s="46">
        <f t="shared" si="38"/>
        <v>4.5833333333333348</v>
      </c>
      <c r="P54" s="46">
        <f t="shared" si="38"/>
        <v>4.5000000000000018</v>
      </c>
      <c r="Q54" s="46">
        <f t="shared" si="38"/>
        <v>4.4166666666666687</v>
      </c>
      <c r="R54" s="46">
        <f t="shared" si="38"/>
        <v>4.3333333333333357</v>
      </c>
      <c r="S54" s="46">
        <f t="shared" si="38"/>
        <v>4.1211717632176557</v>
      </c>
      <c r="T54" s="46">
        <f t="shared" si="38"/>
        <v>4.0403644737427999</v>
      </c>
      <c r="U54" s="46">
        <f t="shared" si="38"/>
        <v>3.9595571842679438</v>
      </c>
      <c r="V54" s="46">
        <f t="shared" si="38"/>
        <v>3.8787498947930876</v>
      </c>
      <c r="W54" s="46">
        <f t="shared" si="38"/>
        <v>3.7979426053182315</v>
      </c>
      <c r="X54" s="46">
        <f t="shared" si="38"/>
        <v>3.7171353158433753</v>
      </c>
      <c r="Y54" s="46">
        <f t="shared" si="38"/>
        <v>3.6363280263685192</v>
      </c>
      <c r="Z54" s="46">
        <f t="shared" si="38"/>
        <v>3.555520736893663</v>
      </c>
      <c r="AA54" s="46">
        <f t="shared" si="38"/>
        <v>3.4747134474188068</v>
      </c>
      <c r="AB54" s="46">
        <f t="shared" si="38"/>
        <v>3.3939061579439507</v>
      </c>
      <c r="AC54" s="46">
        <f t="shared" si="38"/>
        <v>3.3130988684690945</v>
      </c>
      <c r="AD54" s="46">
        <f t="shared" si="38"/>
        <v>3.2322915789942384</v>
      </c>
      <c r="AE54" s="46">
        <f t="shared" si="38"/>
        <v>3.0255510958480012</v>
      </c>
      <c r="AF54" s="46">
        <f t="shared" si="38"/>
        <v>2.9479728626211292</v>
      </c>
      <c r="AG54" s="46">
        <f t="shared" si="38"/>
        <v>2.8703946293942573</v>
      </c>
      <c r="AH54" s="46">
        <f t="shared" si="38"/>
        <v>2.7928163961673853</v>
      </c>
      <c r="AI54" s="46">
        <f t="shared" si="38"/>
        <v>2.7152381629405133</v>
      </c>
      <c r="AJ54" s="46">
        <f t="shared" si="38"/>
        <v>2.6376599297136414</v>
      </c>
      <c r="AK54" s="46">
        <f t="shared" ref="AK54:BP54" si="39">AK51+AK52-AK53</f>
        <v>2.5600816964867694</v>
      </c>
      <c r="AL54" s="46">
        <f t="shared" si="39"/>
        <v>2.4825034632598975</v>
      </c>
      <c r="AM54" s="46">
        <f t="shared" si="39"/>
        <v>2.4049252300330255</v>
      </c>
      <c r="AN54" s="46">
        <f t="shared" si="39"/>
        <v>2.3273469968061535</v>
      </c>
      <c r="AO54" s="46">
        <f t="shared" si="39"/>
        <v>2.2497687635792816</v>
      </c>
      <c r="AP54" s="46">
        <f t="shared" si="39"/>
        <v>2.1721905303524096</v>
      </c>
      <c r="AQ54" s="46">
        <f t="shared" si="39"/>
        <v>1.9836603851611776</v>
      </c>
      <c r="AR54" s="46">
        <f t="shared" si="39"/>
        <v>1.9101914820070598</v>
      </c>
      <c r="AS54" s="46">
        <f t="shared" si="39"/>
        <v>1.8367225788529422</v>
      </c>
      <c r="AT54" s="46">
        <f t="shared" si="39"/>
        <v>1.7632536756988246</v>
      </c>
      <c r="AU54" s="46">
        <f t="shared" si="39"/>
        <v>1.6897847725447068</v>
      </c>
      <c r="AV54" s="46">
        <f t="shared" si="39"/>
        <v>1.616315869390589</v>
      </c>
      <c r="AW54" s="46">
        <f t="shared" si="39"/>
        <v>1.5428469662364714</v>
      </c>
      <c r="AX54" s="46">
        <f t="shared" si="39"/>
        <v>1.4693780630823539</v>
      </c>
      <c r="AY54" s="46">
        <f t="shared" si="39"/>
        <v>1.3959091599282361</v>
      </c>
      <c r="AZ54" s="46">
        <f t="shared" si="39"/>
        <v>1.3224402567741183</v>
      </c>
      <c r="BA54" s="46">
        <f t="shared" si="39"/>
        <v>1.2489713536200007</v>
      </c>
      <c r="BB54" s="46">
        <f t="shared" si="39"/>
        <v>1.1755024504658831</v>
      </c>
      <c r="BC54" s="46">
        <f t="shared" si="39"/>
        <v>1.025672183036288</v>
      </c>
      <c r="BD54" s="46">
        <f t="shared" si="39"/>
        <v>0.95729403750053554</v>
      </c>
      <c r="BE54" s="46">
        <f t="shared" si="39"/>
        <v>0.88891589196478304</v>
      </c>
      <c r="BF54" s="46">
        <f t="shared" si="39"/>
        <v>0.82053774642903055</v>
      </c>
      <c r="BG54" s="46">
        <f t="shared" si="39"/>
        <v>0.75215960089327805</v>
      </c>
      <c r="BH54" s="46">
        <f t="shared" si="39"/>
        <v>0.68378145535752544</v>
      </c>
      <c r="BI54" s="46">
        <f t="shared" si="39"/>
        <v>0.61540330982177294</v>
      </c>
      <c r="BJ54" s="46">
        <f t="shared" si="39"/>
        <v>0.54702516428602044</v>
      </c>
      <c r="BK54" s="46">
        <f t="shared" si="39"/>
        <v>0.47864701875026788</v>
      </c>
      <c r="BL54" s="46">
        <f t="shared" si="39"/>
        <v>0.41026887321451533</v>
      </c>
      <c r="BM54" s="32"/>
      <c r="BN54" s="32"/>
    </row>
    <row r="55" spans="1:66" ht="20" customHeight="1">
      <c r="A55" s="30"/>
      <c r="B55" s="30"/>
      <c r="C55" s="31" t="s">
        <v>239</v>
      </c>
      <c r="D55" s="31"/>
      <c r="E55" s="35">
        <f>IF(E91&gt;0,E54/E91*Transfers!E24,0)</f>
        <v>0</v>
      </c>
      <c r="F55" s="35">
        <f>IF(F91&gt;0,F54/F91*Transfers!F24,0)</f>
        <v>0</v>
      </c>
      <c r="G55" s="35">
        <f>IF(G91&gt;0,G54/G91*Transfers!G24,0)</f>
        <v>0</v>
      </c>
      <c r="H55" s="35">
        <f>IF(H91&gt;0,H54/H91*Transfers!H24,0)</f>
        <v>0</v>
      </c>
      <c r="I55" s="35">
        <f>IF(I91&gt;0,I54/I91*Transfers!I24,0)</f>
        <v>0</v>
      </c>
      <c r="J55" s="35">
        <f>IF(J91&gt;0,J54/J91*Transfers!J24,0)</f>
        <v>0</v>
      </c>
      <c r="K55" s="35">
        <f>IF(K91&gt;0,K54/K91*Transfers!K24,0)</f>
        <v>0</v>
      </c>
      <c r="L55" s="35">
        <f>IF(L91&gt;0,L54/L91*Transfers!L24,0)</f>
        <v>0</v>
      </c>
      <c r="M55" s="35">
        <f>IF(M91&gt;0,M54/M91*Transfers!M24,0)</f>
        <v>0</v>
      </c>
      <c r="N55" s="35">
        <f>IF(N91&gt;0,N54/N91*Transfers!N24,0)</f>
        <v>0</v>
      </c>
      <c r="O55" s="35">
        <f>IF(O91&gt;0,O54/O91*Transfers!O24,0)</f>
        <v>0</v>
      </c>
      <c r="P55" s="35">
        <f>IF(P91&gt;0,P54/P91*Transfers!P24,0)</f>
        <v>0</v>
      </c>
      <c r="Q55" s="35">
        <f>IF(Q91&gt;0,Q54/Q91*Transfers!Q24,0)</f>
        <v>0</v>
      </c>
      <c r="R55" s="35">
        <f>IF(R91&gt;0,R54/R91*Transfers!R24,0)</f>
        <v>0.13135428064082427</v>
      </c>
      <c r="S55" s="35">
        <f>IF(S91&gt;0,S54/S91*Transfers!S24,0)</f>
        <v>0</v>
      </c>
      <c r="T55" s="35">
        <f>IF(T91&gt;0,T54/T91*Transfers!T24,0)</f>
        <v>0</v>
      </c>
      <c r="U55" s="35">
        <f>IF(U91&gt;0,U54/U91*Transfers!U24,0)</f>
        <v>0</v>
      </c>
      <c r="V55" s="35">
        <f>IF(V91&gt;0,V54/V91*Transfers!V24,0)</f>
        <v>0</v>
      </c>
      <c r="W55" s="35">
        <f>IF(W91&gt;0,W54/W91*Transfers!W24,0)</f>
        <v>0</v>
      </c>
      <c r="X55" s="35">
        <f>IF(X91&gt;0,X54/X91*Transfers!X24,0)</f>
        <v>0</v>
      </c>
      <c r="Y55" s="35">
        <f>IF(Y91&gt;0,Y54/Y91*Transfers!Y24,0)</f>
        <v>0</v>
      </c>
      <c r="Z55" s="35">
        <f>IF(Z91&gt;0,Z54/Z91*Transfers!Z24,0)</f>
        <v>0</v>
      </c>
      <c r="AA55" s="35">
        <f>IF(AA91&gt;0,AA54/AA91*Transfers!AA24,0)</f>
        <v>0</v>
      </c>
      <c r="AB55" s="35">
        <f>IF(AB91&gt;0,AB54/AB91*Transfers!AB24,0)</f>
        <v>0</v>
      </c>
      <c r="AC55" s="35">
        <f>IF(AC91&gt;0,AC54/AC91*Transfers!AC24,0)</f>
        <v>0</v>
      </c>
      <c r="AD55" s="35">
        <f>IF(AD91&gt;0,AD54/AD91*Transfers!AD24,0)</f>
        <v>0.1291622499193654</v>
      </c>
      <c r="AE55" s="35">
        <f>IF(AE91&gt;0,AE54/AE91*Transfers!AE24,0)</f>
        <v>0</v>
      </c>
      <c r="AF55" s="35">
        <f>IF(AF91&gt;0,AF54/AF91*Transfers!AF24,0)</f>
        <v>0</v>
      </c>
      <c r="AG55" s="35">
        <f>IF(AG91&gt;0,AG54/AG91*Transfers!AG24,0)</f>
        <v>0</v>
      </c>
      <c r="AH55" s="35">
        <f>IF(AH91&gt;0,AH54/AH91*Transfers!AH24,0)</f>
        <v>0</v>
      </c>
      <c r="AI55" s="35">
        <f>IF(AI91&gt;0,AI54/AI91*Transfers!AI24,0)</f>
        <v>0</v>
      </c>
      <c r="AJ55" s="35">
        <f>IF(AJ91&gt;0,AJ54/AJ91*Transfers!AJ24,0)</f>
        <v>0</v>
      </c>
      <c r="AK55" s="35">
        <f>IF(AK91&gt;0,AK54/AK91*Transfers!AK24,0)</f>
        <v>0</v>
      </c>
      <c r="AL55" s="35">
        <f>IF(AL91&gt;0,AL54/AL91*Transfers!AL24,0)</f>
        <v>0</v>
      </c>
      <c r="AM55" s="35">
        <f>IF(AM91&gt;0,AM54/AM91*Transfers!AM24,0)</f>
        <v>0</v>
      </c>
      <c r="AN55" s="35">
        <f>IF(AN91&gt;0,AN54/AN91*Transfers!AN24,0)</f>
        <v>0</v>
      </c>
      <c r="AO55" s="35">
        <f>IF(AO91&gt;0,AO54/AO91*Transfers!AO24,0)</f>
        <v>0</v>
      </c>
      <c r="AP55" s="35">
        <f>IF(AP91&gt;0,AP54/AP91*Transfers!AP24,0)</f>
        <v>0.11506124203711403</v>
      </c>
      <c r="AQ55" s="35">
        <f>IF(AQ91&gt;0,AQ54/AQ91*Transfers!AQ24,0)</f>
        <v>0</v>
      </c>
      <c r="AR55" s="35">
        <f>IF(AR91&gt;0,AR54/AR91*Transfers!AR24,0)</f>
        <v>0</v>
      </c>
      <c r="AS55" s="35">
        <f>IF(AS91&gt;0,AS54/AS91*Transfers!AS24,0)</f>
        <v>0</v>
      </c>
      <c r="AT55" s="35">
        <f>IF(AT91&gt;0,AT54/AT91*Transfers!AT24,0)</f>
        <v>0</v>
      </c>
      <c r="AU55" s="35">
        <f>IF(AU91&gt;0,AU54/AU91*Transfers!AU24,0)</f>
        <v>0</v>
      </c>
      <c r="AV55" s="35">
        <f>IF(AV91&gt;0,AV54/AV91*Transfers!AV24,0)</f>
        <v>0</v>
      </c>
      <c r="AW55" s="35">
        <f>IF(AW91&gt;0,AW54/AW91*Transfers!AW24,0)</f>
        <v>0</v>
      </c>
      <c r="AX55" s="35">
        <f>IF(AX91&gt;0,AX54/AX91*Transfers!AX24,0)</f>
        <v>0</v>
      </c>
      <c r="AY55" s="35">
        <f>IF(AY91&gt;0,AY54/AY91*Transfers!AY24,0)</f>
        <v>0</v>
      </c>
      <c r="AZ55" s="35">
        <f>IF(AZ91&gt;0,AZ54/AZ91*Transfers!AZ24,0)</f>
        <v>0</v>
      </c>
      <c r="BA55" s="35">
        <f>IF(BA91&gt;0,BA54/BA91*Transfers!BA24,0)</f>
        <v>0</v>
      </c>
      <c r="BB55" s="35">
        <f>IF(BB91&gt;0,BB54/BB91*Transfers!BB24,0)</f>
        <v>8.145212189384235E-2</v>
      </c>
      <c r="BC55" s="35">
        <f>IF(BC91&gt;0,BC54/BC91*Transfers!BC24,0)</f>
        <v>0</v>
      </c>
      <c r="BD55" s="35">
        <f>IF(BD91&gt;0,BD54/BD91*Transfers!BD24,0)</f>
        <v>0</v>
      </c>
      <c r="BE55" s="35">
        <f>IF(BE91&gt;0,BE54/BE91*Transfers!BE24,0)</f>
        <v>0</v>
      </c>
      <c r="BF55" s="35">
        <f>IF(BF91&gt;0,BF54/BF91*Transfers!BF24,0)</f>
        <v>0</v>
      </c>
      <c r="BG55" s="35">
        <f>IF(BG91&gt;0,BG54/BG91*Transfers!BG24,0)</f>
        <v>0</v>
      </c>
      <c r="BH55" s="35">
        <f>IF(BH91&gt;0,BH54/BH91*Transfers!BH24,0)</f>
        <v>0</v>
      </c>
      <c r="BI55" s="35">
        <f>IF(BI91&gt;0,BI54/BI91*Transfers!BI24,0)</f>
        <v>0</v>
      </c>
      <c r="BJ55" s="35">
        <f>IF(BJ91&gt;0,BJ54/BJ91*Transfers!BJ24,0)</f>
        <v>0</v>
      </c>
      <c r="BK55" s="35">
        <f>IF(BK91&gt;0,BK54/BK91*Transfers!BK24,0)</f>
        <v>0</v>
      </c>
      <c r="BL55" s="35">
        <f>IF(BL91&gt;0,BL54/BL91*Transfers!BL24,0)</f>
        <v>0</v>
      </c>
      <c r="BM55" s="32"/>
      <c r="BN55" s="32"/>
    </row>
    <row r="56" spans="1:66" ht="20" customHeight="1">
      <c r="A56" s="30"/>
      <c r="B56" s="30"/>
      <c r="C56" s="31" t="s">
        <v>240</v>
      </c>
      <c r="D56" s="31"/>
      <c r="E56" s="46">
        <f t="shared" ref="E56:AJ56" si="40">E54-E55</f>
        <v>0</v>
      </c>
      <c r="F56" s="46">
        <f t="shared" si="40"/>
        <v>0</v>
      </c>
      <c r="G56" s="46">
        <f t="shared" si="40"/>
        <v>0</v>
      </c>
      <c r="H56" s="46">
        <f t="shared" si="40"/>
        <v>0</v>
      </c>
      <c r="I56" s="46">
        <f t="shared" si="40"/>
        <v>0</v>
      </c>
      <c r="J56" s="46">
        <f t="shared" si="40"/>
        <v>0</v>
      </c>
      <c r="K56" s="46">
        <f t="shared" si="40"/>
        <v>4.916666666666667</v>
      </c>
      <c r="L56" s="46">
        <f t="shared" si="40"/>
        <v>4.8333333333333339</v>
      </c>
      <c r="M56" s="46">
        <f t="shared" si="40"/>
        <v>4.7500000000000009</v>
      </c>
      <c r="N56" s="46">
        <f t="shared" si="40"/>
        <v>4.6666666666666679</v>
      </c>
      <c r="O56" s="46">
        <f t="shared" si="40"/>
        <v>4.5833333333333348</v>
      </c>
      <c r="P56" s="46">
        <f t="shared" si="40"/>
        <v>4.5000000000000018</v>
      </c>
      <c r="Q56" s="46">
        <f t="shared" si="40"/>
        <v>4.4166666666666687</v>
      </c>
      <c r="R56" s="46">
        <f t="shared" si="40"/>
        <v>4.2019790526925114</v>
      </c>
      <c r="S56" s="46">
        <f t="shared" si="40"/>
        <v>4.1211717632176557</v>
      </c>
      <c r="T56" s="46">
        <f t="shared" si="40"/>
        <v>4.0403644737427999</v>
      </c>
      <c r="U56" s="46">
        <f t="shared" si="40"/>
        <v>3.9595571842679438</v>
      </c>
      <c r="V56" s="46">
        <f t="shared" si="40"/>
        <v>3.8787498947930876</v>
      </c>
      <c r="W56" s="46">
        <f t="shared" si="40"/>
        <v>3.7979426053182315</v>
      </c>
      <c r="X56" s="46">
        <f t="shared" si="40"/>
        <v>3.7171353158433753</v>
      </c>
      <c r="Y56" s="46">
        <f t="shared" si="40"/>
        <v>3.6363280263685192</v>
      </c>
      <c r="Z56" s="46">
        <f t="shared" si="40"/>
        <v>3.555520736893663</v>
      </c>
      <c r="AA56" s="46">
        <f t="shared" si="40"/>
        <v>3.4747134474188068</v>
      </c>
      <c r="AB56" s="46">
        <f t="shared" si="40"/>
        <v>3.3939061579439507</v>
      </c>
      <c r="AC56" s="46">
        <f t="shared" si="40"/>
        <v>3.3130988684690945</v>
      </c>
      <c r="AD56" s="46">
        <f t="shared" si="40"/>
        <v>3.1031293290748732</v>
      </c>
      <c r="AE56" s="46">
        <f t="shared" si="40"/>
        <v>3.0255510958480012</v>
      </c>
      <c r="AF56" s="46">
        <f t="shared" si="40"/>
        <v>2.9479728626211292</v>
      </c>
      <c r="AG56" s="46">
        <f t="shared" si="40"/>
        <v>2.8703946293942573</v>
      </c>
      <c r="AH56" s="46">
        <f t="shared" si="40"/>
        <v>2.7928163961673853</v>
      </c>
      <c r="AI56" s="46">
        <f t="shared" si="40"/>
        <v>2.7152381629405133</v>
      </c>
      <c r="AJ56" s="46">
        <f t="shared" si="40"/>
        <v>2.6376599297136414</v>
      </c>
      <c r="AK56" s="46">
        <f t="shared" ref="AK56:BP56" si="41">AK54-AK55</f>
        <v>2.5600816964867694</v>
      </c>
      <c r="AL56" s="46">
        <f t="shared" si="41"/>
        <v>2.4825034632598975</v>
      </c>
      <c r="AM56" s="46">
        <f t="shared" si="41"/>
        <v>2.4049252300330255</v>
      </c>
      <c r="AN56" s="46">
        <f t="shared" si="41"/>
        <v>2.3273469968061535</v>
      </c>
      <c r="AO56" s="46">
        <f t="shared" si="41"/>
        <v>2.2497687635792816</v>
      </c>
      <c r="AP56" s="46">
        <f t="shared" si="41"/>
        <v>2.0571292883152954</v>
      </c>
      <c r="AQ56" s="46">
        <f t="shared" si="41"/>
        <v>1.9836603851611776</v>
      </c>
      <c r="AR56" s="46">
        <f t="shared" si="41"/>
        <v>1.9101914820070598</v>
      </c>
      <c r="AS56" s="46">
        <f t="shared" si="41"/>
        <v>1.8367225788529422</v>
      </c>
      <c r="AT56" s="46">
        <f t="shared" si="41"/>
        <v>1.7632536756988246</v>
      </c>
      <c r="AU56" s="46">
        <f t="shared" si="41"/>
        <v>1.6897847725447068</v>
      </c>
      <c r="AV56" s="46">
        <f t="shared" si="41"/>
        <v>1.616315869390589</v>
      </c>
      <c r="AW56" s="46">
        <f t="shared" si="41"/>
        <v>1.5428469662364714</v>
      </c>
      <c r="AX56" s="46">
        <f t="shared" si="41"/>
        <v>1.4693780630823539</v>
      </c>
      <c r="AY56" s="46">
        <f t="shared" si="41"/>
        <v>1.3959091599282361</v>
      </c>
      <c r="AZ56" s="46">
        <f t="shared" si="41"/>
        <v>1.3224402567741183</v>
      </c>
      <c r="BA56" s="46">
        <f t="shared" si="41"/>
        <v>1.2489713536200007</v>
      </c>
      <c r="BB56" s="46">
        <f t="shared" si="41"/>
        <v>1.0940503285720407</v>
      </c>
      <c r="BC56" s="46">
        <f t="shared" si="41"/>
        <v>1.025672183036288</v>
      </c>
      <c r="BD56" s="46">
        <f t="shared" si="41"/>
        <v>0.95729403750053554</v>
      </c>
      <c r="BE56" s="46">
        <f t="shared" si="41"/>
        <v>0.88891589196478304</v>
      </c>
      <c r="BF56" s="46">
        <f t="shared" si="41"/>
        <v>0.82053774642903055</v>
      </c>
      <c r="BG56" s="46">
        <f t="shared" si="41"/>
        <v>0.75215960089327805</v>
      </c>
      <c r="BH56" s="46">
        <f t="shared" si="41"/>
        <v>0.68378145535752544</v>
      </c>
      <c r="BI56" s="46">
        <f t="shared" si="41"/>
        <v>0.61540330982177294</v>
      </c>
      <c r="BJ56" s="46">
        <f t="shared" si="41"/>
        <v>0.54702516428602044</v>
      </c>
      <c r="BK56" s="46">
        <f t="shared" si="41"/>
        <v>0.47864701875026788</v>
      </c>
      <c r="BL56" s="46">
        <f t="shared" si="41"/>
        <v>0.41026887321451533</v>
      </c>
      <c r="BM56" s="32"/>
      <c r="BN56" s="32"/>
    </row>
    <row r="57" spans="1:66" ht="20" customHeight="1">
      <c r="A57" s="30"/>
      <c r="B57" s="30"/>
      <c r="C57" s="31" t="s">
        <v>247</v>
      </c>
      <c r="D57" s="31"/>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row>
    <row r="58" spans="1:66" ht="20" customHeight="1">
      <c r="A58" s="30"/>
      <c r="B58" s="30"/>
      <c r="C58" s="31" t="s">
        <v>235</v>
      </c>
      <c r="D58" s="31"/>
      <c r="E58" s="46">
        <f>0</f>
        <v>0</v>
      </c>
      <c r="F58" s="46">
        <f t="shared" ref="F58:AK58" si="42">E63</f>
        <v>0</v>
      </c>
      <c r="G58" s="46">
        <f t="shared" si="42"/>
        <v>0</v>
      </c>
      <c r="H58" s="46">
        <f t="shared" si="42"/>
        <v>0</v>
      </c>
      <c r="I58" s="46">
        <f t="shared" si="42"/>
        <v>0</v>
      </c>
      <c r="J58" s="46">
        <f t="shared" si="42"/>
        <v>0</v>
      </c>
      <c r="K58" s="46">
        <f t="shared" si="42"/>
        <v>0</v>
      </c>
      <c r="L58" s="46">
        <f t="shared" si="42"/>
        <v>0</v>
      </c>
      <c r="M58" s="46">
        <f t="shared" si="42"/>
        <v>0</v>
      </c>
      <c r="N58" s="46">
        <f t="shared" si="42"/>
        <v>0</v>
      </c>
      <c r="O58" s="46">
        <f t="shared" si="42"/>
        <v>0</v>
      </c>
      <c r="P58" s="46">
        <f t="shared" si="42"/>
        <v>0</v>
      </c>
      <c r="Q58" s="46">
        <f t="shared" si="42"/>
        <v>0</v>
      </c>
      <c r="R58" s="46">
        <f t="shared" si="42"/>
        <v>61.173399200950222</v>
      </c>
      <c r="S58" s="46">
        <f t="shared" si="42"/>
        <v>58.313670811269589</v>
      </c>
      <c r="T58" s="46">
        <f t="shared" si="42"/>
        <v>57.308262693833903</v>
      </c>
      <c r="U58" s="46">
        <f t="shared" si="42"/>
        <v>56.302854576398218</v>
      </c>
      <c r="V58" s="46">
        <f t="shared" si="42"/>
        <v>55.297446458962533</v>
      </c>
      <c r="W58" s="46">
        <f t="shared" si="42"/>
        <v>54.292038341526847</v>
      </c>
      <c r="X58" s="46">
        <f t="shared" si="42"/>
        <v>53.286630224091162</v>
      </c>
      <c r="Y58" s="46">
        <f t="shared" si="42"/>
        <v>52.281222106655477</v>
      </c>
      <c r="Z58" s="46">
        <f t="shared" si="42"/>
        <v>51.275813989219792</v>
      </c>
      <c r="AA58" s="46">
        <f t="shared" si="42"/>
        <v>50.270405871784106</v>
      </c>
      <c r="AB58" s="46">
        <f t="shared" si="42"/>
        <v>49.264997754348421</v>
      </c>
      <c r="AC58" s="46">
        <f t="shared" si="42"/>
        <v>48.259589636912736</v>
      </c>
      <c r="AD58" s="46">
        <f t="shared" si="42"/>
        <v>47.254181519477051</v>
      </c>
      <c r="AE58" s="46">
        <f t="shared" si="42"/>
        <v>44.400674156466089</v>
      </c>
      <c r="AF58" s="46">
        <f t="shared" si="42"/>
        <v>43.43544210958639</v>
      </c>
      <c r="AG58" s="46">
        <f t="shared" si="42"/>
        <v>42.470210062706691</v>
      </c>
      <c r="AH58" s="46">
        <f t="shared" si="42"/>
        <v>41.504978015826993</v>
      </c>
      <c r="AI58" s="46">
        <f t="shared" si="42"/>
        <v>40.539745968947294</v>
      </c>
      <c r="AJ58" s="46">
        <f t="shared" si="42"/>
        <v>39.574513922067595</v>
      </c>
      <c r="AK58" s="46">
        <f t="shared" si="42"/>
        <v>38.609281875187897</v>
      </c>
      <c r="AL58" s="46">
        <f t="shared" ref="AL58:BL58" si="43">AK63</f>
        <v>37.644049828308198</v>
      </c>
      <c r="AM58" s="46">
        <f t="shared" si="43"/>
        <v>36.678817781428499</v>
      </c>
      <c r="AN58" s="46">
        <f t="shared" si="43"/>
        <v>35.713585734548801</v>
      </c>
      <c r="AO58" s="46">
        <f t="shared" si="43"/>
        <v>34.748353687669102</v>
      </c>
      <c r="AP58" s="46">
        <f t="shared" si="43"/>
        <v>33.783121640789403</v>
      </c>
      <c r="AQ58" s="46">
        <f t="shared" si="43"/>
        <v>31.079521303951498</v>
      </c>
      <c r="AR58" s="46">
        <f t="shared" si="43"/>
        <v>30.165417736188218</v>
      </c>
      <c r="AS58" s="46">
        <f t="shared" si="43"/>
        <v>29.251314168424937</v>
      </c>
      <c r="AT58" s="46">
        <f t="shared" si="43"/>
        <v>28.337210600661656</v>
      </c>
      <c r="AU58" s="46">
        <f t="shared" si="43"/>
        <v>27.423107032898375</v>
      </c>
      <c r="AV58" s="46">
        <f t="shared" si="43"/>
        <v>26.509003465135095</v>
      </c>
      <c r="AW58" s="46">
        <f t="shared" si="43"/>
        <v>25.594899897371814</v>
      </c>
      <c r="AX58" s="46">
        <f t="shared" si="43"/>
        <v>24.680796329608533</v>
      </c>
      <c r="AY58" s="46">
        <f t="shared" si="43"/>
        <v>23.766692761845253</v>
      </c>
      <c r="AZ58" s="46">
        <f t="shared" si="43"/>
        <v>22.852589194081972</v>
      </c>
      <c r="BA58" s="46">
        <f t="shared" si="43"/>
        <v>21.938485626318695</v>
      </c>
      <c r="BB58" s="46">
        <f t="shared" si="43"/>
        <v>21.024382058555418</v>
      </c>
      <c r="BC58" s="46">
        <f t="shared" si="43"/>
        <v>18.71681065556821</v>
      </c>
      <c r="BD58" s="46">
        <f t="shared" si="43"/>
        <v>17.866046534860565</v>
      </c>
      <c r="BE58" s="46">
        <f t="shared" si="43"/>
        <v>17.015282414152921</v>
      </c>
      <c r="BF58" s="46">
        <f t="shared" si="43"/>
        <v>16.164518293445276</v>
      </c>
      <c r="BG58" s="46">
        <f t="shared" si="43"/>
        <v>15.31375417273763</v>
      </c>
      <c r="BH58" s="46">
        <f t="shared" si="43"/>
        <v>14.462990052029983</v>
      </c>
      <c r="BI58" s="46">
        <f t="shared" si="43"/>
        <v>13.612225931322337</v>
      </c>
      <c r="BJ58" s="46">
        <f t="shared" si="43"/>
        <v>12.761461810614691</v>
      </c>
      <c r="BK58" s="46">
        <f t="shared" si="43"/>
        <v>11.910697689907044</v>
      </c>
      <c r="BL58" s="46">
        <f t="shared" si="43"/>
        <v>11.059933569199398</v>
      </c>
      <c r="BM58" s="32"/>
      <c r="BN58" s="32"/>
    </row>
    <row r="59" spans="1:66" ht="20" customHeight="1">
      <c r="A59" s="30"/>
      <c r="B59" s="30"/>
      <c r="C59" s="31" t="s">
        <v>236</v>
      </c>
      <c r="D59" s="31"/>
      <c r="E59" s="46">
        <f>0</f>
        <v>0</v>
      </c>
      <c r="F59" s="46">
        <f>0</f>
        <v>0</v>
      </c>
      <c r="G59" s="46">
        <f>0</f>
        <v>0</v>
      </c>
      <c r="H59" s="46">
        <f>0</f>
        <v>0</v>
      </c>
      <c r="I59" s="46">
        <f>0</f>
        <v>0</v>
      </c>
      <c r="J59" s="46">
        <f>0</f>
        <v>0</v>
      </c>
      <c r="K59" s="46">
        <f>0</f>
        <v>0</v>
      </c>
      <c r="L59" s="46">
        <f>0</f>
        <v>0</v>
      </c>
      <c r="M59" s="46">
        <f>0</f>
        <v>0</v>
      </c>
      <c r="N59" s="46">
        <f>0</f>
        <v>0</v>
      </c>
      <c r="O59" s="46">
        <f>0</f>
        <v>0</v>
      </c>
      <c r="P59" s="46">
        <f>0</f>
        <v>0</v>
      </c>
      <c r="Q59" s="35">
        <f>Transfers!Q10+Transfers!Q12</f>
        <v>62.210236475542601</v>
      </c>
      <c r="R59" s="35">
        <f>Transfers!R10+Transfers!R12</f>
        <v>0</v>
      </c>
      <c r="S59" s="35">
        <f>Transfers!S10+Transfers!S12</f>
        <v>0</v>
      </c>
      <c r="T59" s="35">
        <f>Transfers!T10+Transfers!T12</f>
        <v>0</v>
      </c>
      <c r="U59" s="35">
        <f>Transfers!U10+Transfers!U12</f>
        <v>0</v>
      </c>
      <c r="V59" s="35">
        <f>Transfers!V10+Transfers!V12</f>
        <v>0</v>
      </c>
      <c r="W59" s="35">
        <f>Transfers!W10+Transfers!W12</f>
        <v>0</v>
      </c>
      <c r="X59" s="35">
        <f>Transfers!X10+Transfers!X12</f>
        <v>0</v>
      </c>
      <c r="Y59" s="35">
        <f>Transfers!Y10+Transfers!Y12</f>
        <v>0</v>
      </c>
      <c r="Z59" s="35">
        <f>Transfers!Z10+Transfers!Z12</f>
        <v>0</v>
      </c>
      <c r="AA59" s="35">
        <f>Transfers!AA10+Transfers!AA12</f>
        <v>0</v>
      </c>
      <c r="AB59" s="35">
        <f>Transfers!AB10+Transfers!AB12</f>
        <v>0</v>
      </c>
      <c r="AC59" s="46">
        <f>0</f>
        <v>0</v>
      </c>
      <c r="AD59" s="46">
        <f>0</f>
        <v>0</v>
      </c>
      <c r="AE59" s="46">
        <f>0</f>
        <v>0</v>
      </c>
      <c r="AF59" s="46">
        <f>0</f>
        <v>0</v>
      </c>
      <c r="AG59" s="46">
        <f>0</f>
        <v>0</v>
      </c>
      <c r="AH59" s="46">
        <f>0</f>
        <v>0</v>
      </c>
      <c r="AI59" s="46">
        <f>0</f>
        <v>0</v>
      </c>
      <c r="AJ59" s="46">
        <f>0</f>
        <v>0</v>
      </c>
      <c r="AK59" s="46">
        <f>0</f>
        <v>0</v>
      </c>
      <c r="AL59" s="46">
        <f>0</f>
        <v>0</v>
      </c>
      <c r="AM59" s="46">
        <f>0</f>
        <v>0</v>
      </c>
      <c r="AN59" s="46">
        <f>0</f>
        <v>0</v>
      </c>
      <c r="AO59" s="46">
        <f>0</f>
        <v>0</v>
      </c>
      <c r="AP59" s="46">
        <f>0</f>
        <v>0</v>
      </c>
      <c r="AQ59" s="46">
        <f>0</f>
        <v>0</v>
      </c>
      <c r="AR59" s="46">
        <f>0</f>
        <v>0</v>
      </c>
      <c r="AS59" s="46">
        <f>0</f>
        <v>0</v>
      </c>
      <c r="AT59" s="46">
        <f>0</f>
        <v>0</v>
      </c>
      <c r="AU59" s="46">
        <f>0</f>
        <v>0</v>
      </c>
      <c r="AV59" s="46">
        <f>0</f>
        <v>0</v>
      </c>
      <c r="AW59" s="46">
        <f>0</f>
        <v>0</v>
      </c>
      <c r="AX59" s="46">
        <f>0</f>
        <v>0</v>
      </c>
      <c r="AY59" s="46">
        <f>0</f>
        <v>0</v>
      </c>
      <c r="AZ59" s="46">
        <f>0</f>
        <v>0</v>
      </c>
      <c r="BA59" s="46">
        <f>0</f>
        <v>0</v>
      </c>
      <c r="BB59" s="46">
        <f>0</f>
        <v>0</v>
      </c>
      <c r="BC59" s="46">
        <f>0</f>
        <v>0</v>
      </c>
      <c r="BD59" s="46">
        <f>0</f>
        <v>0</v>
      </c>
      <c r="BE59" s="46">
        <f>0</f>
        <v>0</v>
      </c>
      <c r="BF59" s="46">
        <f>0</f>
        <v>0</v>
      </c>
      <c r="BG59" s="46">
        <f>0</f>
        <v>0</v>
      </c>
      <c r="BH59" s="46">
        <f>0</f>
        <v>0</v>
      </c>
      <c r="BI59" s="46">
        <f>0</f>
        <v>0</v>
      </c>
      <c r="BJ59" s="46">
        <f>0</f>
        <v>0</v>
      </c>
      <c r="BK59" s="46">
        <f>0</f>
        <v>0</v>
      </c>
      <c r="BL59" s="46">
        <f>0</f>
        <v>0</v>
      </c>
      <c r="BM59" s="32"/>
      <c r="BN59" s="32"/>
    </row>
    <row r="60" spans="1:66" ht="20" customHeight="1">
      <c r="A60" s="30"/>
      <c r="B60" s="30"/>
      <c r="C60" s="31" t="s">
        <v>237</v>
      </c>
      <c r="D60" s="31"/>
      <c r="E60" s="35">
        <f>IF(0&lt;12,0,IF((Assumptions!F83*12)-(0-12)&gt;0,MIN(E58+E59,(E58+E59)/MAX(1,(Assumptions!F83*12)-(0-12))),E58+E59))</f>
        <v>0</v>
      </c>
      <c r="F60" s="35">
        <f>IF(1&lt;12,0,IF((Assumptions!F83*12)-(1-12)&gt;0,MIN(F58+F59,(F58+F59)/MAX(1,(Assumptions!F83*12)-(1-12))),F58+F59))</f>
        <v>0</v>
      </c>
      <c r="G60" s="35">
        <f>IF(2&lt;12,0,IF((Assumptions!F83*12)-(2-12)&gt;0,MIN(G58+G59,(G58+G59)/MAX(1,(Assumptions!F83*12)-(2-12))),G58+G59))</f>
        <v>0</v>
      </c>
      <c r="H60" s="35">
        <f>IF(3&lt;12,0,IF((Assumptions!F83*12)-(3-12)&gt;0,MIN(H58+H59,(H58+H59)/MAX(1,(Assumptions!F83*12)-(3-12))),H58+H59))</f>
        <v>0</v>
      </c>
      <c r="I60" s="35">
        <f>IF(4&lt;12,0,IF((Assumptions!F83*12)-(4-12)&gt;0,MIN(I58+I59,(I58+I59)/MAX(1,(Assumptions!F83*12)-(4-12))),I58+I59))</f>
        <v>0</v>
      </c>
      <c r="J60" s="35">
        <f>IF(5&lt;12,0,IF((Assumptions!F83*12)-(5-12)&gt;0,MIN(J58+J59,(J58+J59)/MAX(1,(Assumptions!F83*12)-(5-12))),J58+J59))</f>
        <v>0</v>
      </c>
      <c r="K60" s="35">
        <f>IF(6&lt;12,0,IF((Assumptions!F83*12)-(6-12)&gt;0,MIN(K58+K59,(K58+K59)/MAX(1,(Assumptions!F83*12)-(6-12))),K58+K59))</f>
        <v>0</v>
      </c>
      <c r="L60" s="35">
        <f>IF(7&lt;12,0,IF((Assumptions!F83*12)-(7-12)&gt;0,MIN(L58+L59,(L58+L59)/MAX(1,(Assumptions!F83*12)-(7-12))),L58+L59))</f>
        <v>0</v>
      </c>
      <c r="M60" s="35">
        <f>IF(8&lt;12,0,IF((Assumptions!F83*12)-(8-12)&gt;0,MIN(M58+M59,(M58+M59)/MAX(1,(Assumptions!F83*12)-(8-12))),M58+M59))</f>
        <v>0</v>
      </c>
      <c r="N60" s="35">
        <f>IF(9&lt;12,0,IF((Assumptions!F83*12)-(9-12)&gt;0,MIN(N58+N59,(N58+N59)/MAX(1,(Assumptions!F83*12)-(9-12))),N58+N59))</f>
        <v>0</v>
      </c>
      <c r="O60" s="35">
        <f>IF(10&lt;12,0,IF((Assumptions!F83*12)-(10-12)&gt;0,MIN(O58+O59,(O58+O59)/MAX(1,(Assumptions!F83*12)-(10-12))),O58+O59))</f>
        <v>0</v>
      </c>
      <c r="P60" s="35">
        <f>IF(11&lt;12,0,IF((Assumptions!F83*12)-(11-12)&gt;0,MIN(P58+P59,(P58+P59)/MAX(1,(Assumptions!F83*12)-(11-12))),P58+P59))</f>
        <v>0</v>
      </c>
      <c r="Q60" s="35">
        <f>IF(12&lt;12,0,IF((Assumptions!F83*12)-(12-12)&gt;0,MIN(Q58+Q59,(Q58+Q59)/MAX(1,(Assumptions!F83*12)-(12-12))),Q58+Q59))</f>
        <v>1.0368372745923766</v>
      </c>
      <c r="R60" s="35">
        <f>IF(13&lt;12,0,IF((Assumptions!F83*12)-(13-12)&gt;0,MIN(R58+R59,(R58+R59)/MAX(1,(Assumptions!F83*12)-(13-12))),R58+R59))</f>
        <v>1.0368372745923766</v>
      </c>
      <c r="S60" s="35">
        <f>IF(14&lt;12,0,IF((Assumptions!F83*12)-(14-12)&gt;0,MIN(S58+S59,(S58+S59)/MAX(1,(Assumptions!F83*12)-(14-12))),S58+S59))</f>
        <v>1.0054081174356826</v>
      </c>
      <c r="T60" s="35">
        <f>IF(15&lt;12,0,IF((Assumptions!F83*12)-(15-12)&gt;0,MIN(T58+T59,(T58+T59)/MAX(1,(Assumptions!F83*12)-(15-12))),T58+T59))</f>
        <v>1.0054081174356826</v>
      </c>
      <c r="U60" s="35">
        <f>IF(16&lt;12,0,IF((Assumptions!F83*12)-(16-12)&gt;0,MIN(U58+U59,(U58+U59)/MAX(1,(Assumptions!F83*12)-(16-12))),U58+U59))</f>
        <v>1.0054081174356824</v>
      </c>
      <c r="V60" s="35">
        <f>IF(17&lt;12,0,IF((Assumptions!F83*12)-(17-12)&gt;0,MIN(V58+V59,(V58+V59)/MAX(1,(Assumptions!F83*12)-(17-12))),V58+V59))</f>
        <v>1.0054081174356824</v>
      </c>
      <c r="W60" s="35">
        <f>IF(18&lt;12,0,IF((Assumptions!F83*12)-(18-12)&gt;0,MIN(W58+W59,(W58+W59)/MAX(1,(Assumptions!F83*12)-(18-12))),W58+W59))</f>
        <v>1.0054081174356824</v>
      </c>
      <c r="X60" s="35">
        <f>IF(19&lt;12,0,IF((Assumptions!F83*12)-(19-12)&gt;0,MIN(X58+X59,(X58+X59)/MAX(1,(Assumptions!F83*12)-(19-12))),X58+X59))</f>
        <v>1.0054081174356824</v>
      </c>
      <c r="Y60" s="35">
        <f>IF(20&lt;12,0,IF((Assumptions!F83*12)-(20-12)&gt;0,MIN(Y58+Y59,(Y58+Y59)/MAX(1,(Assumptions!F83*12)-(20-12))),Y58+Y59))</f>
        <v>1.0054081174356821</v>
      </c>
      <c r="Z60" s="35">
        <f>IF(21&lt;12,0,IF((Assumptions!F83*12)-(21-12)&gt;0,MIN(Z58+Z59,(Z58+Z59)/MAX(1,(Assumptions!F83*12)-(21-12))),Z58+Z59))</f>
        <v>1.0054081174356821</v>
      </c>
      <c r="AA60" s="35">
        <f>IF(22&lt;12,0,IF((Assumptions!F83*12)-(22-12)&gt;0,MIN(AA58+AA59,(AA58+AA59)/MAX(1,(Assumptions!F83*12)-(22-12))),AA58+AA59))</f>
        <v>1.0054081174356821</v>
      </c>
      <c r="AB60" s="35">
        <f>IF(23&lt;12,0,IF((Assumptions!F83*12)-(23-12)&gt;0,MIN(AB58+AB59,(AB58+AB59)/MAX(1,(Assumptions!F83*12)-(23-12))),AB58+AB59))</f>
        <v>1.0054081174356821</v>
      </c>
      <c r="AC60" s="35">
        <f>IF(24&lt;12,0,IF((Assumptions!F83*12)-(24-12)&gt;0,MIN(AC58+AC59,(AC58+AC59)/MAX(1,(Assumptions!F83*12)-(24-12))),AC58+AC59))</f>
        <v>1.0054081174356819</v>
      </c>
      <c r="AD60" s="35">
        <f>IF(25&lt;12,0,IF((Assumptions!F83*12)-(25-12)&gt;0,MIN(AD58+AD59,(AD58+AD59)/MAX(1,(Assumptions!F83*12)-(25-12))),AD58+AD59))</f>
        <v>1.0054081174356819</v>
      </c>
      <c r="AE60" s="35">
        <f>IF(26&lt;12,0,IF((Assumptions!F83*12)-(26-12)&gt;0,MIN(AE58+AE59,(AE58+AE59)/MAX(1,(Assumptions!F83*12)-(26-12))),AE58+AE59))</f>
        <v>0.96523204687969755</v>
      </c>
      <c r="AF60" s="35">
        <f>IF(27&lt;12,0,IF((Assumptions!F83*12)-(27-12)&gt;0,MIN(AF58+AF59,(AF58+AF59)/MAX(1,(Assumptions!F83*12)-(27-12))),AF58+AF59))</f>
        <v>0.96523204687969755</v>
      </c>
      <c r="AG60" s="35">
        <f>IF(28&lt;12,0,IF((Assumptions!F83*12)-(28-12)&gt;0,MIN(AG58+AG59,(AG58+AG59)/MAX(1,(Assumptions!F83*12)-(28-12))),AG58+AG59))</f>
        <v>0.96523204687969755</v>
      </c>
      <c r="AH60" s="35">
        <f>IF(29&lt;12,0,IF((Assumptions!F83*12)-(29-12)&gt;0,MIN(AH58+AH59,(AH58+AH59)/MAX(1,(Assumptions!F83*12)-(29-12))),AH58+AH59))</f>
        <v>0.96523204687969755</v>
      </c>
      <c r="AI60" s="35">
        <f>IF(30&lt;12,0,IF((Assumptions!F83*12)-(30-12)&gt;0,MIN(AI58+AI59,(AI58+AI59)/MAX(1,(Assumptions!F83*12)-(30-12))),AI58+AI59))</f>
        <v>0.96523204687969744</v>
      </c>
      <c r="AJ60" s="35">
        <f>IF(31&lt;12,0,IF((Assumptions!F83*12)-(31-12)&gt;0,MIN(AJ58+AJ59,(AJ58+AJ59)/MAX(1,(Assumptions!F83*12)-(31-12))),AJ58+AJ59))</f>
        <v>0.96523204687969744</v>
      </c>
      <c r="AK60" s="35">
        <f>IF(32&lt;12,0,IF((Assumptions!F83*12)-(32-12)&gt;0,MIN(AK58+AK59,(AK58+AK59)/MAX(1,(Assumptions!F83*12)-(32-12))),AK58+AK59))</f>
        <v>0.96523204687969744</v>
      </c>
      <c r="AL60" s="35">
        <f>IF(33&lt;12,0,IF((Assumptions!F83*12)-(33-12)&gt;0,MIN(AL58+AL59,(AL58+AL59)/MAX(1,(Assumptions!F83*12)-(33-12))),AL58+AL59))</f>
        <v>0.96523204687969744</v>
      </c>
      <c r="AM60" s="35">
        <f>IF(34&lt;12,0,IF((Assumptions!F83*12)-(34-12)&gt;0,MIN(AM58+AM59,(AM58+AM59)/MAX(1,(Assumptions!F83*12)-(34-12))),AM58+AM59))</f>
        <v>0.96523204687969733</v>
      </c>
      <c r="AN60" s="35">
        <f>IF(35&lt;12,0,IF((Assumptions!F83*12)-(35-12)&gt;0,MIN(AN58+AN59,(AN58+AN59)/MAX(1,(Assumptions!F83*12)-(35-12))),AN58+AN59))</f>
        <v>0.96523204687969733</v>
      </c>
      <c r="AO60" s="35">
        <f>IF(36&lt;12,0,IF((Assumptions!F83*12)-(36-12)&gt;0,MIN(AO58+AO59,(AO58+AO59)/MAX(1,(Assumptions!F83*12)-(36-12))),AO58+AO59))</f>
        <v>0.96523204687969733</v>
      </c>
      <c r="AP60" s="35">
        <f>IF(37&lt;12,0,IF((Assumptions!F83*12)-(37-12)&gt;0,MIN(AP58+AP59,(AP58+AP59)/MAX(1,(Assumptions!F83*12)-(37-12))),AP58+AP59))</f>
        <v>0.96523204687969721</v>
      </c>
      <c r="AQ60" s="35">
        <f>IF(38&lt;12,0,IF((Assumptions!F83*12)-(38-12)&gt;0,MIN(AQ58+AQ59,(AQ58+AQ59)/MAX(1,(Assumptions!F83*12)-(38-12))),AQ58+AQ59))</f>
        <v>0.91410356776327939</v>
      </c>
      <c r="AR60" s="35">
        <f>IF(39&lt;12,0,IF((Assumptions!F83*12)-(39-12)&gt;0,MIN(AR58+AR59,(AR58+AR59)/MAX(1,(Assumptions!F83*12)-(39-12))),AR58+AR59))</f>
        <v>0.91410356776327928</v>
      </c>
      <c r="AS60" s="35">
        <f>IF(40&lt;12,0,IF((Assumptions!F83*12)-(40-12)&gt;0,MIN(AS58+AS59,(AS58+AS59)/MAX(1,(Assumptions!F83*12)-(40-12))),AS58+AS59))</f>
        <v>0.91410356776327928</v>
      </c>
      <c r="AT60" s="35">
        <f>IF(41&lt;12,0,IF((Assumptions!F83*12)-(41-12)&gt;0,MIN(AT58+AT59,(AT58+AT59)/MAX(1,(Assumptions!F83*12)-(41-12))),AT58+AT59))</f>
        <v>0.91410356776327928</v>
      </c>
      <c r="AU60" s="35">
        <f>IF(42&lt;12,0,IF((Assumptions!F83*12)-(42-12)&gt;0,MIN(AU58+AU59,(AU58+AU59)/MAX(1,(Assumptions!F83*12)-(42-12))),AU58+AU59))</f>
        <v>0.91410356776327917</v>
      </c>
      <c r="AV60" s="35">
        <f>IF(43&lt;12,0,IF((Assumptions!F83*12)-(43-12)&gt;0,MIN(AV58+AV59,(AV58+AV59)/MAX(1,(Assumptions!F83*12)-(43-12))),AV58+AV59))</f>
        <v>0.91410356776327917</v>
      </c>
      <c r="AW60" s="35">
        <f>IF(44&lt;12,0,IF((Assumptions!F83*12)-(44-12)&gt;0,MIN(AW58+AW59,(AW58+AW59)/MAX(1,(Assumptions!F83*12)-(44-12))),AW58+AW59))</f>
        <v>0.91410356776327906</v>
      </c>
      <c r="AX60" s="35">
        <f>IF(45&lt;12,0,IF((Assumptions!F83*12)-(45-12)&gt;0,MIN(AX58+AX59,(AX58+AX59)/MAX(1,(Assumptions!F83*12)-(45-12))),AX58+AX59))</f>
        <v>0.91410356776327906</v>
      </c>
      <c r="AY60" s="35">
        <f>IF(46&lt;12,0,IF((Assumptions!F83*12)-(46-12)&gt;0,MIN(AY58+AY59,(AY58+AY59)/MAX(1,(Assumptions!F83*12)-(46-12))),AY58+AY59))</f>
        <v>0.91410356776327895</v>
      </c>
      <c r="AZ60" s="35">
        <f>IF(47&lt;12,0,IF((Assumptions!F83*12)-(47-12)&gt;0,MIN(AZ58+AZ59,(AZ58+AZ59)/MAX(1,(Assumptions!F83*12)-(47-12))),AZ58+AZ59))</f>
        <v>0.91410356776327883</v>
      </c>
      <c r="BA60" s="35">
        <f>IF(48&lt;12,0,IF((Assumptions!F83*12)-(48-12)&gt;0,MIN(BA58+BA59,(BA58+BA59)/MAX(1,(Assumptions!F83*12)-(48-12))),BA58+BA59))</f>
        <v>0.91410356776327895</v>
      </c>
      <c r="BB60" s="35">
        <f>IF(49&lt;12,0,IF((Assumptions!F83*12)-(49-12)&gt;0,MIN(BB58+BB59,(BB58+BB59)/MAX(1,(Assumptions!F83*12)-(49-12))),BB58+BB59))</f>
        <v>0.91410356776327906</v>
      </c>
      <c r="BC60" s="35">
        <f>IF(50&lt;12,0,IF((Assumptions!F83*12)-(50-12)&gt;0,MIN(BC58+BC59,(BC58+BC59)/MAX(1,(Assumptions!F83*12)-(50-12))),BC58+BC59))</f>
        <v>0.85076412070764595</v>
      </c>
      <c r="BD60" s="35">
        <f>IF(51&lt;12,0,IF((Assumptions!F83*12)-(51-12)&gt;0,MIN(BD58+BD59,(BD58+BD59)/MAX(1,(Assumptions!F83*12)-(51-12))),BD58+BD59))</f>
        <v>0.85076412070764595</v>
      </c>
      <c r="BE60" s="35">
        <f>IF(52&lt;12,0,IF((Assumptions!F83*12)-(52-12)&gt;0,MIN(BE58+BE59,(BE58+BE59)/MAX(1,(Assumptions!F83*12)-(52-12))),BE58+BE59))</f>
        <v>0.85076412070764607</v>
      </c>
      <c r="BF60" s="35">
        <f>IF(53&lt;12,0,IF((Assumptions!F83*12)-(53-12)&gt;0,MIN(BF58+BF59,(BF58+BF59)/MAX(1,(Assumptions!F83*12)-(53-12))),BF58+BF59))</f>
        <v>0.85076412070764607</v>
      </c>
      <c r="BG60" s="35">
        <f>IF(54&lt;12,0,IF((Assumptions!F83*12)-(54-12)&gt;0,MIN(BG58+BG59,(BG58+BG59)/MAX(1,(Assumptions!F83*12)-(54-12))),BG58+BG59))</f>
        <v>0.85076412070764607</v>
      </c>
      <c r="BH60" s="35">
        <f>IF(55&lt;12,0,IF((Assumptions!F83*12)-(55-12)&gt;0,MIN(BH58+BH59,(BH58+BH59)/MAX(1,(Assumptions!F83*12)-(55-12))),BH58+BH59))</f>
        <v>0.85076412070764607</v>
      </c>
      <c r="BI60" s="35">
        <f>IF(56&lt;12,0,IF((Assumptions!F83*12)-(56-12)&gt;0,MIN(BI58+BI59,(BI58+BI59)/MAX(1,(Assumptions!F83*12)-(56-12))),BI58+BI59))</f>
        <v>0.85076412070764607</v>
      </c>
      <c r="BJ60" s="35">
        <f>IF(57&lt;12,0,IF((Assumptions!F83*12)-(57-12)&gt;0,MIN(BJ58+BJ59,(BJ58+BJ59)/MAX(1,(Assumptions!F83*12)-(57-12))),BJ58+BJ59))</f>
        <v>0.85076412070764607</v>
      </c>
      <c r="BK60" s="35">
        <f>IF(58&lt;12,0,IF((Assumptions!F83*12)-(58-12)&gt;0,MIN(BK58+BK59,(BK58+BK59)/MAX(1,(Assumptions!F83*12)-(58-12))),BK58+BK59))</f>
        <v>0.85076412070764607</v>
      </c>
      <c r="BL60" s="35">
        <f>IF(59&lt;12,0,IF((Assumptions!F83*12)-(59-12)&gt;0,MIN(BL58+BL59,(BL58+BL59)/MAX(1,(Assumptions!F83*12)-(59-12))),BL58+BL59))</f>
        <v>0.85076412070764595</v>
      </c>
      <c r="BM60" s="32"/>
      <c r="BN60" s="32"/>
    </row>
    <row r="61" spans="1:66" ht="20" customHeight="1">
      <c r="A61" s="30"/>
      <c r="B61" s="30"/>
      <c r="C61" s="31" t="s">
        <v>238</v>
      </c>
      <c r="D61" s="31"/>
      <c r="E61" s="46">
        <f t="shared" ref="E61:AJ61" si="44">E58+E59-E60</f>
        <v>0</v>
      </c>
      <c r="F61" s="46">
        <f t="shared" si="44"/>
        <v>0</v>
      </c>
      <c r="G61" s="46">
        <f t="shared" si="44"/>
        <v>0</v>
      </c>
      <c r="H61" s="46">
        <f t="shared" si="44"/>
        <v>0</v>
      </c>
      <c r="I61" s="46">
        <f t="shared" si="44"/>
        <v>0</v>
      </c>
      <c r="J61" s="46">
        <f t="shared" si="44"/>
        <v>0</v>
      </c>
      <c r="K61" s="46">
        <f t="shared" si="44"/>
        <v>0</v>
      </c>
      <c r="L61" s="46">
        <f t="shared" si="44"/>
        <v>0</v>
      </c>
      <c r="M61" s="46">
        <f t="shared" si="44"/>
        <v>0</v>
      </c>
      <c r="N61" s="46">
        <f t="shared" si="44"/>
        <v>0</v>
      </c>
      <c r="O61" s="46">
        <f t="shared" si="44"/>
        <v>0</v>
      </c>
      <c r="P61" s="46">
        <f t="shared" si="44"/>
        <v>0</v>
      </c>
      <c r="Q61" s="46">
        <f t="shared" si="44"/>
        <v>61.173399200950222</v>
      </c>
      <c r="R61" s="46">
        <f t="shared" si="44"/>
        <v>60.136561926357842</v>
      </c>
      <c r="S61" s="46">
        <f t="shared" si="44"/>
        <v>57.308262693833903</v>
      </c>
      <c r="T61" s="46">
        <f t="shared" si="44"/>
        <v>56.302854576398218</v>
      </c>
      <c r="U61" s="46">
        <f t="shared" si="44"/>
        <v>55.297446458962533</v>
      </c>
      <c r="V61" s="46">
        <f t="shared" si="44"/>
        <v>54.292038341526847</v>
      </c>
      <c r="W61" s="46">
        <f t="shared" si="44"/>
        <v>53.286630224091162</v>
      </c>
      <c r="X61" s="46">
        <f t="shared" si="44"/>
        <v>52.281222106655477</v>
      </c>
      <c r="Y61" s="46">
        <f t="shared" si="44"/>
        <v>51.275813989219792</v>
      </c>
      <c r="Z61" s="46">
        <f t="shared" si="44"/>
        <v>50.270405871784106</v>
      </c>
      <c r="AA61" s="46">
        <f t="shared" si="44"/>
        <v>49.264997754348421</v>
      </c>
      <c r="AB61" s="46">
        <f t="shared" si="44"/>
        <v>48.259589636912736</v>
      </c>
      <c r="AC61" s="46">
        <f t="shared" si="44"/>
        <v>47.254181519477051</v>
      </c>
      <c r="AD61" s="46">
        <f t="shared" si="44"/>
        <v>46.248773402041365</v>
      </c>
      <c r="AE61" s="46">
        <f t="shared" si="44"/>
        <v>43.43544210958639</v>
      </c>
      <c r="AF61" s="46">
        <f t="shared" si="44"/>
        <v>42.470210062706691</v>
      </c>
      <c r="AG61" s="46">
        <f t="shared" si="44"/>
        <v>41.504978015826993</v>
      </c>
      <c r="AH61" s="46">
        <f t="shared" si="44"/>
        <v>40.539745968947294</v>
      </c>
      <c r="AI61" s="46">
        <f t="shared" si="44"/>
        <v>39.574513922067595</v>
      </c>
      <c r="AJ61" s="46">
        <f t="shared" si="44"/>
        <v>38.609281875187897</v>
      </c>
      <c r="AK61" s="46">
        <f t="shared" ref="AK61:BP61" si="45">AK58+AK59-AK60</f>
        <v>37.644049828308198</v>
      </c>
      <c r="AL61" s="46">
        <f t="shared" si="45"/>
        <v>36.678817781428499</v>
      </c>
      <c r="AM61" s="46">
        <f t="shared" si="45"/>
        <v>35.713585734548801</v>
      </c>
      <c r="AN61" s="46">
        <f t="shared" si="45"/>
        <v>34.748353687669102</v>
      </c>
      <c r="AO61" s="46">
        <f t="shared" si="45"/>
        <v>33.783121640789403</v>
      </c>
      <c r="AP61" s="46">
        <f t="shared" si="45"/>
        <v>32.817889593909705</v>
      </c>
      <c r="AQ61" s="46">
        <f t="shared" si="45"/>
        <v>30.165417736188218</v>
      </c>
      <c r="AR61" s="46">
        <f t="shared" si="45"/>
        <v>29.251314168424937</v>
      </c>
      <c r="AS61" s="46">
        <f t="shared" si="45"/>
        <v>28.337210600661656</v>
      </c>
      <c r="AT61" s="46">
        <f t="shared" si="45"/>
        <v>27.423107032898375</v>
      </c>
      <c r="AU61" s="46">
        <f t="shared" si="45"/>
        <v>26.509003465135095</v>
      </c>
      <c r="AV61" s="46">
        <f t="shared" si="45"/>
        <v>25.594899897371814</v>
      </c>
      <c r="AW61" s="46">
        <f t="shared" si="45"/>
        <v>24.680796329608533</v>
      </c>
      <c r="AX61" s="46">
        <f t="shared" si="45"/>
        <v>23.766692761845253</v>
      </c>
      <c r="AY61" s="46">
        <f t="shared" si="45"/>
        <v>22.852589194081972</v>
      </c>
      <c r="AZ61" s="46">
        <f t="shared" si="45"/>
        <v>21.938485626318695</v>
      </c>
      <c r="BA61" s="46">
        <f t="shared" si="45"/>
        <v>21.024382058555418</v>
      </c>
      <c r="BB61" s="46">
        <f t="shared" si="45"/>
        <v>20.110278490792137</v>
      </c>
      <c r="BC61" s="46">
        <f t="shared" si="45"/>
        <v>17.866046534860565</v>
      </c>
      <c r="BD61" s="46">
        <f t="shared" si="45"/>
        <v>17.015282414152921</v>
      </c>
      <c r="BE61" s="46">
        <f t="shared" si="45"/>
        <v>16.164518293445276</v>
      </c>
      <c r="BF61" s="46">
        <f t="shared" si="45"/>
        <v>15.31375417273763</v>
      </c>
      <c r="BG61" s="46">
        <f t="shared" si="45"/>
        <v>14.462990052029983</v>
      </c>
      <c r="BH61" s="46">
        <f t="shared" si="45"/>
        <v>13.612225931322337</v>
      </c>
      <c r="BI61" s="46">
        <f t="shared" si="45"/>
        <v>12.761461810614691</v>
      </c>
      <c r="BJ61" s="46">
        <f t="shared" si="45"/>
        <v>11.910697689907044</v>
      </c>
      <c r="BK61" s="46">
        <f t="shared" si="45"/>
        <v>11.059933569199398</v>
      </c>
      <c r="BL61" s="46">
        <f t="shared" si="45"/>
        <v>10.209169448491751</v>
      </c>
      <c r="BM61" s="32"/>
      <c r="BN61" s="32"/>
    </row>
    <row r="62" spans="1:66" ht="20" customHeight="1">
      <c r="A62" s="30"/>
      <c r="B62" s="30"/>
      <c r="C62" s="31" t="s">
        <v>239</v>
      </c>
      <c r="D62" s="31"/>
      <c r="E62" s="35">
        <f>IF(E91&gt;0,E61/E91*Transfers!E24,0)</f>
        <v>0</v>
      </c>
      <c r="F62" s="35">
        <f>IF(F91&gt;0,F61/F91*Transfers!F24,0)</f>
        <v>0</v>
      </c>
      <c r="G62" s="35">
        <f>IF(G91&gt;0,G61/G91*Transfers!G24,0)</f>
        <v>0</v>
      </c>
      <c r="H62" s="35">
        <f>IF(H91&gt;0,H61/H91*Transfers!H24,0)</f>
        <v>0</v>
      </c>
      <c r="I62" s="35">
        <f>IF(I91&gt;0,I61/I91*Transfers!I24,0)</f>
        <v>0</v>
      </c>
      <c r="J62" s="35">
        <f>IF(J91&gt;0,J61/J91*Transfers!J24,0)</f>
        <v>0</v>
      </c>
      <c r="K62" s="35">
        <f>IF(K91&gt;0,K61/K91*Transfers!K24,0)</f>
        <v>0</v>
      </c>
      <c r="L62" s="35">
        <f>IF(L91&gt;0,L61/L91*Transfers!L24,0)</f>
        <v>0</v>
      </c>
      <c r="M62" s="35">
        <f>IF(M91&gt;0,M61/M91*Transfers!M24,0)</f>
        <v>0</v>
      </c>
      <c r="N62" s="35">
        <f>IF(N91&gt;0,N61/N91*Transfers!N24,0)</f>
        <v>0</v>
      </c>
      <c r="O62" s="35">
        <f>IF(O91&gt;0,O61/O91*Transfers!O24,0)</f>
        <v>0</v>
      </c>
      <c r="P62" s="35">
        <f>IF(P91&gt;0,P61/P91*Transfers!P24,0)</f>
        <v>0</v>
      </c>
      <c r="Q62" s="35">
        <f>IF(Q91&gt;0,Q61/Q91*Transfers!Q24,0)</f>
        <v>0</v>
      </c>
      <c r="R62" s="35">
        <f>IF(R91&gt;0,R61/R91*Transfers!R24,0)</f>
        <v>1.8228911150882563</v>
      </c>
      <c r="S62" s="35">
        <f>IF(S91&gt;0,S61/S91*Transfers!S24,0)</f>
        <v>0</v>
      </c>
      <c r="T62" s="35">
        <f>IF(T91&gt;0,T61/T91*Transfers!T24,0)</f>
        <v>0</v>
      </c>
      <c r="U62" s="35">
        <f>IF(U91&gt;0,U61/U91*Transfers!U24,0)</f>
        <v>0</v>
      </c>
      <c r="V62" s="35">
        <f>IF(V91&gt;0,V61/V91*Transfers!V24,0)</f>
        <v>0</v>
      </c>
      <c r="W62" s="35">
        <f>IF(W91&gt;0,W61/W91*Transfers!W24,0)</f>
        <v>0</v>
      </c>
      <c r="X62" s="35">
        <f>IF(X91&gt;0,X61/X91*Transfers!X24,0)</f>
        <v>0</v>
      </c>
      <c r="Y62" s="35">
        <f>IF(Y91&gt;0,Y61/Y91*Transfers!Y24,0)</f>
        <v>0</v>
      </c>
      <c r="Z62" s="35">
        <f>IF(Z91&gt;0,Z61/Z91*Transfers!Z24,0)</f>
        <v>0</v>
      </c>
      <c r="AA62" s="35">
        <f>IF(AA91&gt;0,AA61/AA91*Transfers!AA24,0)</f>
        <v>0</v>
      </c>
      <c r="AB62" s="35">
        <f>IF(AB91&gt;0,AB61/AB91*Transfers!AB24,0)</f>
        <v>0</v>
      </c>
      <c r="AC62" s="35">
        <f>IF(AC91&gt;0,AC61/AC91*Transfers!AC24,0)</f>
        <v>0</v>
      </c>
      <c r="AD62" s="35">
        <f>IF(AD91&gt;0,AD61/AD91*Transfers!AD24,0)</f>
        <v>1.8480992455752745</v>
      </c>
      <c r="AE62" s="35">
        <f>IF(AE91&gt;0,AE61/AE91*Transfers!AE24,0)</f>
        <v>0</v>
      </c>
      <c r="AF62" s="35">
        <f>IF(AF91&gt;0,AF61/AF91*Transfers!AF24,0)</f>
        <v>0</v>
      </c>
      <c r="AG62" s="35">
        <f>IF(AG91&gt;0,AG61/AG91*Transfers!AG24,0)</f>
        <v>0</v>
      </c>
      <c r="AH62" s="35">
        <f>IF(AH91&gt;0,AH61/AH91*Transfers!AH24,0)</f>
        <v>0</v>
      </c>
      <c r="AI62" s="35">
        <f>IF(AI91&gt;0,AI61/AI91*Transfers!AI24,0)</f>
        <v>0</v>
      </c>
      <c r="AJ62" s="35">
        <f>IF(AJ91&gt;0,AJ61/AJ91*Transfers!AJ24,0)</f>
        <v>0</v>
      </c>
      <c r="AK62" s="35">
        <f>IF(AK91&gt;0,AK61/AK91*Transfers!AK24,0)</f>
        <v>0</v>
      </c>
      <c r="AL62" s="35">
        <f>IF(AL91&gt;0,AL61/AL91*Transfers!AL24,0)</f>
        <v>0</v>
      </c>
      <c r="AM62" s="35">
        <f>IF(AM91&gt;0,AM61/AM91*Transfers!AM24,0)</f>
        <v>0</v>
      </c>
      <c r="AN62" s="35">
        <f>IF(AN91&gt;0,AN61/AN91*Transfers!AN24,0)</f>
        <v>0</v>
      </c>
      <c r="AO62" s="35">
        <f>IF(AO91&gt;0,AO61/AO91*Transfers!AO24,0)</f>
        <v>0</v>
      </c>
      <c r="AP62" s="35">
        <f>IF(AP91&gt;0,AP61/AP91*Transfers!AP24,0)</f>
        <v>1.7383682899582076</v>
      </c>
      <c r="AQ62" s="35">
        <f>IF(AQ91&gt;0,AQ61/AQ91*Transfers!AQ24,0)</f>
        <v>0</v>
      </c>
      <c r="AR62" s="35">
        <f>IF(AR91&gt;0,AR61/AR91*Transfers!AR24,0)</f>
        <v>0</v>
      </c>
      <c r="AS62" s="35">
        <f>IF(AS91&gt;0,AS61/AS91*Transfers!AS24,0)</f>
        <v>0</v>
      </c>
      <c r="AT62" s="35">
        <f>IF(AT91&gt;0,AT61/AT91*Transfers!AT24,0)</f>
        <v>0</v>
      </c>
      <c r="AU62" s="35">
        <f>IF(AU91&gt;0,AU61/AU91*Transfers!AU24,0)</f>
        <v>0</v>
      </c>
      <c r="AV62" s="35">
        <f>IF(AV91&gt;0,AV61/AV91*Transfers!AV24,0)</f>
        <v>0</v>
      </c>
      <c r="AW62" s="35">
        <f>IF(AW91&gt;0,AW61/AW91*Transfers!AW24,0)</f>
        <v>0</v>
      </c>
      <c r="AX62" s="35">
        <f>IF(AX91&gt;0,AX61/AX91*Transfers!AX24,0)</f>
        <v>0</v>
      </c>
      <c r="AY62" s="35">
        <f>IF(AY91&gt;0,AY61/AY91*Transfers!AY24,0)</f>
        <v>0</v>
      </c>
      <c r="AZ62" s="35">
        <f>IF(AZ91&gt;0,AZ61/AZ91*Transfers!AZ24,0)</f>
        <v>0</v>
      </c>
      <c r="BA62" s="35">
        <f>IF(BA91&gt;0,BA61/BA91*Transfers!BA24,0)</f>
        <v>0</v>
      </c>
      <c r="BB62" s="35">
        <f>IF(BB91&gt;0,BB61/BB91*Transfers!BB24,0)</f>
        <v>1.3934678352239283</v>
      </c>
      <c r="BC62" s="35">
        <f>IF(BC91&gt;0,BC61/BC91*Transfers!BC24,0)</f>
        <v>0</v>
      </c>
      <c r="BD62" s="35">
        <f>IF(BD91&gt;0,BD61/BD91*Transfers!BD24,0)</f>
        <v>0</v>
      </c>
      <c r="BE62" s="35">
        <f>IF(BE91&gt;0,BE61/BE91*Transfers!BE24,0)</f>
        <v>0</v>
      </c>
      <c r="BF62" s="35">
        <f>IF(BF91&gt;0,BF61/BF91*Transfers!BF24,0)</f>
        <v>0</v>
      </c>
      <c r="BG62" s="35">
        <f>IF(BG91&gt;0,BG61/BG91*Transfers!BG24,0)</f>
        <v>0</v>
      </c>
      <c r="BH62" s="35">
        <f>IF(BH91&gt;0,BH61/BH91*Transfers!BH24,0)</f>
        <v>0</v>
      </c>
      <c r="BI62" s="35">
        <f>IF(BI91&gt;0,BI61/BI91*Transfers!BI24,0)</f>
        <v>0</v>
      </c>
      <c r="BJ62" s="35">
        <f>IF(BJ91&gt;0,BJ61/BJ91*Transfers!BJ24,0)</f>
        <v>0</v>
      </c>
      <c r="BK62" s="35">
        <f>IF(BK91&gt;0,BK61/BK91*Transfers!BK24,0)</f>
        <v>0</v>
      </c>
      <c r="BL62" s="35">
        <f>IF(BL91&gt;0,BL61/BL91*Transfers!BL24,0)</f>
        <v>0</v>
      </c>
      <c r="BM62" s="32"/>
      <c r="BN62" s="32"/>
    </row>
    <row r="63" spans="1:66" ht="20" customHeight="1">
      <c r="A63" s="30"/>
      <c r="B63" s="30"/>
      <c r="C63" s="31" t="s">
        <v>240</v>
      </c>
      <c r="D63" s="31"/>
      <c r="E63" s="46">
        <f t="shared" ref="E63:AJ63" si="46">E61-E62</f>
        <v>0</v>
      </c>
      <c r="F63" s="46">
        <f t="shared" si="46"/>
        <v>0</v>
      </c>
      <c r="G63" s="46">
        <f t="shared" si="46"/>
        <v>0</v>
      </c>
      <c r="H63" s="46">
        <f t="shared" si="46"/>
        <v>0</v>
      </c>
      <c r="I63" s="46">
        <f t="shared" si="46"/>
        <v>0</v>
      </c>
      <c r="J63" s="46">
        <f t="shared" si="46"/>
        <v>0</v>
      </c>
      <c r="K63" s="46">
        <f t="shared" si="46"/>
        <v>0</v>
      </c>
      <c r="L63" s="46">
        <f t="shared" si="46"/>
        <v>0</v>
      </c>
      <c r="M63" s="46">
        <f t="shared" si="46"/>
        <v>0</v>
      </c>
      <c r="N63" s="46">
        <f t="shared" si="46"/>
        <v>0</v>
      </c>
      <c r="O63" s="46">
        <f t="shared" si="46"/>
        <v>0</v>
      </c>
      <c r="P63" s="46">
        <f t="shared" si="46"/>
        <v>0</v>
      </c>
      <c r="Q63" s="46">
        <f t="shared" si="46"/>
        <v>61.173399200950222</v>
      </c>
      <c r="R63" s="46">
        <f t="shared" si="46"/>
        <v>58.313670811269589</v>
      </c>
      <c r="S63" s="46">
        <f t="shared" si="46"/>
        <v>57.308262693833903</v>
      </c>
      <c r="T63" s="46">
        <f t="shared" si="46"/>
        <v>56.302854576398218</v>
      </c>
      <c r="U63" s="46">
        <f t="shared" si="46"/>
        <v>55.297446458962533</v>
      </c>
      <c r="V63" s="46">
        <f t="shared" si="46"/>
        <v>54.292038341526847</v>
      </c>
      <c r="W63" s="46">
        <f t="shared" si="46"/>
        <v>53.286630224091162</v>
      </c>
      <c r="X63" s="46">
        <f t="shared" si="46"/>
        <v>52.281222106655477</v>
      </c>
      <c r="Y63" s="46">
        <f t="shared" si="46"/>
        <v>51.275813989219792</v>
      </c>
      <c r="Z63" s="46">
        <f t="shared" si="46"/>
        <v>50.270405871784106</v>
      </c>
      <c r="AA63" s="46">
        <f t="shared" si="46"/>
        <v>49.264997754348421</v>
      </c>
      <c r="AB63" s="46">
        <f t="shared" si="46"/>
        <v>48.259589636912736</v>
      </c>
      <c r="AC63" s="46">
        <f t="shared" si="46"/>
        <v>47.254181519477051</v>
      </c>
      <c r="AD63" s="46">
        <f t="shared" si="46"/>
        <v>44.400674156466089</v>
      </c>
      <c r="AE63" s="46">
        <f t="shared" si="46"/>
        <v>43.43544210958639</v>
      </c>
      <c r="AF63" s="46">
        <f t="shared" si="46"/>
        <v>42.470210062706691</v>
      </c>
      <c r="AG63" s="46">
        <f t="shared" si="46"/>
        <v>41.504978015826993</v>
      </c>
      <c r="AH63" s="46">
        <f t="shared" si="46"/>
        <v>40.539745968947294</v>
      </c>
      <c r="AI63" s="46">
        <f t="shared" si="46"/>
        <v>39.574513922067595</v>
      </c>
      <c r="AJ63" s="46">
        <f t="shared" si="46"/>
        <v>38.609281875187897</v>
      </c>
      <c r="AK63" s="46">
        <f t="shared" ref="AK63:BP63" si="47">AK61-AK62</f>
        <v>37.644049828308198</v>
      </c>
      <c r="AL63" s="46">
        <f t="shared" si="47"/>
        <v>36.678817781428499</v>
      </c>
      <c r="AM63" s="46">
        <f t="shared" si="47"/>
        <v>35.713585734548801</v>
      </c>
      <c r="AN63" s="46">
        <f t="shared" si="47"/>
        <v>34.748353687669102</v>
      </c>
      <c r="AO63" s="46">
        <f t="shared" si="47"/>
        <v>33.783121640789403</v>
      </c>
      <c r="AP63" s="46">
        <f t="shared" si="47"/>
        <v>31.079521303951498</v>
      </c>
      <c r="AQ63" s="46">
        <f t="shared" si="47"/>
        <v>30.165417736188218</v>
      </c>
      <c r="AR63" s="46">
        <f t="shared" si="47"/>
        <v>29.251314168424937</v>
      </c>
      <c r="AS63" s="46">
        <f t="shared" si="47"/>
        <v>28.337210600661656</v>
      </c>
      <c r="AT63" s="46">
        <f t="shared" si="47"/>
        <v>27.423107032898375</v>
      </c>
      <c r="AU63" s="46">
        <f t="shared" si="47"/>
        <v>26.509003465135095</v>
      </c>
      <c r="AV63" s="46">
        <f t="shared" si="47"/>
        <v>25.594899897371814</v>
      </c>
      <c r="AW63" s="46">
        <f t="shared" si="47"/>
        <v>24.680796329608533</v>
      </c>
      <c r="AX63" s="46">
        <f t="shared" si="47"/>
        <v>23.766692761845253</v>
      </c>
      <c r="AY63" s="46">
        <f t="shared" si="47"/>
        <v>22.852589194081972</v>
      </c>
      <c r="AZ63" s="46">
        <f t="shared" si="47"/>
        <v>21.938485626318695</v>
      </c>
      <c r="BA63" s="46">
        <f t="shared" si="47"/>
        <v>21.024382058555418</v>
      </c>
      <c r="BB63" s="46">
        <f t="shared" si="47"/>
        <v>18.71681065556821</v>
      </c>
      <c r="BC63" s="46">
        <f t="shared" si="47"/>
        <v>17.866046534860565</v>
      </c>
      <c r="BD63" s="46">
        <f t="shared" si="47"/>
        <v>17.015282414152921</v>
      </c>
      <c r="BE63" s="46">
        <f t="shared" si="47"/>
        <v>16.164518293445276</v>
      </c>
      <c r="BF63" s="46">
        <f t="shared" si="47"/>
        <v>15.31375417273763</v>
      </c>
      <c r="BG63" s="46">
        <f t="shared" si="47"/>
        <v>14.462990052029983</v>
      </c>
      <c r="BH63" s="46">
        <f t="shared" si="47"/>
        <v>13.612225931322337</v>
      </c>
      <c r="BI63" s="46">
        <f t="shared" si="47"/>
        <v>12.761461810614691</v>
      </c>
      <c r="BJ63" s="46">
        <f t="shared" si="47"/>
        <v>11.910697689907044</v>
      </c>
      <c r="BK63" s="46">
        <f t="shared" si="47"/>
        <v>11.059933569199398</v>
      </c>
      <c r="BL63" s="46">
        <f t="shared" si="47"/>
        <v>10.209169448491751</v>
      </c>
      <c r="BM63" s="32"/>
      <c r="BN63" s="32"/>
    </row>
    <row r="64" spans="1:66" ht="20" customHeight="1">
      <c r="A64" s="30"/>
      <c r="B64" s="30"/>
      <c r="C64" s="31" t="s">
        <v>248</v>
      </c>
      <c r="D64" s="31"/>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row>
    <row r="65" spans="1:66" ht="20" customHeight="1">
      <c r="A65" s="30"/>
      <c r="B65" s="30"/>
      <c r="C65" s="31" t="s">
        <v>235</v>
      </c>
      <c r="D65" s="31"/>
      <c r="E65" s="46">
        <f>0</f>
        <v>0</v>
      </c>
      <c r="F65" s="46">
        <f t="shared" ref="F65:AK65" si="48">E70</f>
        <v>0</v>
      </c>
      <c r="G65" s="46">
        <f t="shared" si="48"/>
        <v>0</v>
      </c>
      <c r="H65" s="46">
        <f t="shared" si="48"/>
        <v>0</v>
      </c>
      <c r="I65" s="46">
        <f t="shared" si="48"/>
        <v>0</v>
      </c>
      <c r="J65" s="46">
        <f t="shared" si="48"/>
        <v>0</v>
      </c>
      <c r="K65" s="46">
        <f t="shared" si="48"/>
        <v>0</v>
      </c>
      <c r="L65" s="46">
        <f t="shared" si="48"/>
        <v>0</v>
      </c>
      <c r="M65" s="46">
        <f t="shared" si="48"/>
        <v>0</v>
      </c>
      <c r="N65" s="46">
        <f t="shared" si="48"/>
        <v>0</v>
      </c>
      <c r="O65" s="46">
        <f t="shared" si="48"/>
        <v>0</v>
      </c>
      <c r="P65" s="46">
        <f t="shared" si="48"/>
        <v>0</v>
      </c>
      <c r="Q65" s="46">
        <f t="shared" si="48"/>
        <v>0</v>
      </c>
      <c r="R65" s="46">
        <f t="shared" si="48"/>
        <v>0</v>
      </c>
      <c r="S65" s="46">
        <f t="shared" si="48"/>
        <v>0</v>
      </c>
      <c r="T65" s="46">
        <f t="shared" si="48"/>
        <v>0</v>
      </c>
      <c r="U65" s="46">
        <f t="shared" si="48"/>
        <v>0</v>
      </c>
      <c r="V65" s="46">
        <f t="shared" si="48"/>
        <v>0</v>
      </c>
      <c r="W65" s="46">
        <f t="shared" si="48"/>
        <v>0</v>
      </c>
      <c r="X65" s="46">
        <f t="shared" si="48"/>
        <v>0</v>
      </c>
      <c r="Y65" s="46">
        <f t="shared" si="48"/>
        <v>0</v>
      </c>
      <c r="Z65" s="46">
        <f t="shared" si="48"/>
        <v>0</v>
      </c>
      <c r="AA65" s="46">
        <f t="shared" si="48"/>
        <v>0</v>
      </c>
      <c r="AB65" s="46">
        <f t="shared" si="48"/>
        <v>0</v>
      </c>
      <c r="AC65" s="46">
        <f t="shared" si="48"/>
        <v>0</v>
      </c>
      <c r="AD65" s="46">
        <f t="shared" si="48"/>
        <v>61.173399200950222</v>
      </c>
      <c r="AE65" s="46">
        <f t="shared" si="48"/>
        <v>57.733507173716831</v>
      </c>
      <c r="AF65" s="46">
        <f t="shared" si="48"/>
        <v>56.738101877618263</v>
      </c>
      <c r="AG65" s="46">
        <f t="shared" si="48"/>
        <v>55.742696581519695</v>
      </c>
      <c r="AH65" s="46">
        <f t="shared" si="48"/>
        <v>54.747291285421127</v>
      </c>
      <c r="AI65" s="46">
        <f t="shared" si="48"/>
        <v>53.75188598932256</v>
      </c>
      <c r="AJ65" s="46">
        <f t="shared" si="48"/>
        <v>52.756480693223992</v>
      </c>
      <c r="AK65" s="46">
        <f t="shared" si="48"/>
        <v>51.761075397125424</v>
      </c>
      <c r="AL65" s="46">
        <f t="shared" ref="AL65:BL65" si="49">AK70</f>
        <v>50.765670101026856</v>
      </c>
      <c r="AM65" s="46">
        <f t="shared" si="49"/>
        <v>49.770264804928289</v>
      </c>
      <c r="AN65" s="46">
        <f t="shared" si="49"/>
        <v>48.774859508829721</v>
      </c>
      <c r="AO65" s="46">
        <f t="shared" si="49"/>
        <v>47.779454212731153</v>
      </c>
      <c r="AP65" s="46">
        <f t="shared" si="49"/>
        <v>46.784048916632585</v>
      </c>
      <c r="AQ65" s="46">
        <f t="shared" si="49"/>
        <v>43.363212640812975</v>
      </c>
      <c r="AR65" s="46">
        <f t="shared" si="49"/>
        <v>42.420534105143126</v>
      </c>
      <c r="AS65" s="46">
        <f t="shared" si="49"/>
        <v>41.477855569473277</v>
      </c>
      <c r="AT65" s="46">
        <f t="shared" si="49"/>
        <v>40.535177033803429</v>
      </c>
      <c r="AU65" s="46">
        <f t="shared" si="49"/>
        <v>39.59249849813358</v>
      </c>
      <c r="AV65" s="46">
        <f t="shared" si="49"/>
        <v>38.649819962463731</v>
      </c>
      <c r="AW65" s="46">
        <f t="shared" si="49"/>
        <v>37.707141426793882</v>
      </c>
      <c r="AX65" s="46">
        <f t="shared" si="49"/>
        <v>36.764462891124033</v>
      </c>
      <c r="AY65" s="46">
        <f t="shared" si="49"/>
        <v>35.821784355454184</v>
      </c>
      <c r="AZ65" s="46">
        <f t="shared" si="49"/>
        <v>34.879105819784336</v>
      </c>
      <c r="BA65" s="46">
        <f t="shared" si="49"/>
        <v>33.936427284114487</v>
      </c>
      <c r="BB65" s="46">
        <f t="shared" si="49"/>
        <v>32.993748748444638</v>
      </c>
      <c r="BC65" s="46">
        <f t="shared" si="49"/>
        <v>29.830209102051992</v>
      </c>
      <c r="BD65" s="46">
        <f t="shared" si="49"/>
        <v>28.952850010815169</v>
      </c>
      <c r="BE65" s="46">
        <f t="shared" si="49"/>
        <v>28.075490919578346</v>
      </c>
      <c r="BF65" s="46">
        <f t="shared" si="49"/>
        <v>27.198131828341523</v>
      </c>
      <c r="BG65" s="46">
        <f t="shared" si="49"/>
        <v>26.320772737104701</v>
      </c>
      <c r="BH65" s="46">
        <f t="shared" si="49"/>
        <v>25.443413645867878</v>
      </c>
      <c r="BI65" s="46">
        <f t="shared" si="49"/>
        <v>24.566054554631055</v>
      </c>
      <c r="BJ65" s="46">
        <f t="shared" si="49"/>
        <v>23.688695463394232</v>
      </c>
      <c r="BK65" s="46">
        <f t="shared" si="49"/>
        <v>22.81133637215741</v>
      </c>
      <c r="BL65" s="46">
        <f t="shared" si="49"/>
        <v>21.933977280920587</v>
      </c>
      <c r="BM65" s="32"/>
      <c r="BN65" s="32"/>
    </row>
    <row r="66" spans="1:66" ht="20" customHeight="1">
      <c r="A66" s="30"/>
      <c r="B66" s="30"/>
      <c r="C66" s="31" t="s">
        <v>236</v>
      </c>
      <c r="D66" s="31"/>
      <c r="E66" s="46">
        <f>0</f>
        <v>0</v>
      </c>
      <c r="F66" s="46">
        <f>0</f>
        <v>0</v>
      </c>
      <c r="G66" s="46">
        <f>0</f>
        <v>0</v>
      </c>
      <c r="H66" s="46">
        <f>0</f>
        <v>0</v>
      </c>
      <c r="I66" s="46">
        <f>0</f>
        <v>0</v>
      </c>
      <c r="J66" s="46">
        <f>0</f>
        <v>0</v>
      </c>
      <c r="K66" s="46">
        <f>0</f>
        <v>0</v>
      </c>
      <c r="L66" s="46">
        <f>0</f>
        <v>0</v>
      </c>
      <c r="M66" s="46">
        <f>0</f>
        <v>0</v>
      </c>
      <c r="N66" s="46">
        <f>0</f>
        <v>0</v>
      </c>
      <c r="O66" s="46">
        <f>0</f>
        <v>0</v>
      </c>
      <c r="P66" s="46">
        <f>0</f>
        <v>0</v>
      </c>
      <c r="Q66" s="46">
        <f>0</f>
        <v>0</v>
      </c>
      <c r="R66" s="46">
        <f>0</f>
        <v>0</v>
      </c>
      <c r="S66" s="46">
        <f>0</f>
        <v>0</v>
      </c>
      <c r="T66" s="46">
        <f>0</f>
        <v>0</v>
      </c>
      <c r="U66" s="46">
        <f>0</f>
        <v>0</v>
      </c>
      <c r="V66" s="46">
        <f>0</f>
        <v>0</v>
      </c>
      <c r="W66" s="46">
        <f>0</f>
        <v>0</v>
      </c>
      <c r="X66" s="46">
        <f>0</f>
        <v>0</v>
      </c>
      <c r="Y66" s="46">
        <f>0</f>
        <v>0</v>
      </c>
      <c r="Z66" s="46">
        <f>0</f>
        <v>0</v>
      </c>
      <c r="AA66" s="46">
        <f>0</f>
        <v>0</v>
      </c>
      <c r="AB66" s="46">
        <f>0</f>
        <v>0</v>
      </c>
      <c r="AC66" s="35">
        <f>Transfers!AC10+Transfers!AC12</f>
        <v>62.210236475542601</v>
      </c>
      <c r="AD66" s="35">
        <f>Transfers!AD10+Transfers!AD12</f>
        <v>0</v>
      </c>
      <c r="AE66" s="35">
        <f>Transfers!AE10+Transfers!AE12</f>
        <v>0</v>
      </c>
      <c r="AF66" s="35">
        <f>Transfers!AF10+Transfers!AF12</f>
        <v>0</v>
      </c>
      <c r="AG66" s="35">
        <f>Transfers!AG10+Transfers!AG12</f>
        <v>0</v>
      </c>
      <c r="AH66" s="35">
        <f>Transfers!AH10+Transfers!AH12</f>
        <v>0</v>
      </c>
      <c r="AI66" s="35">
        <f>Transfers!AI10+Transfers!AI12</f>
        <v>0</v>
      </c>
      <c r="AJ66" s="35">
        <f>Transfers!AJ10+Transfers!AJ12</f>
        <v>0</v>
      </c>
      <c r="AK66" s="35">
        <f>Transfers!AK10+Transfers!AK12</f>
        <v>0</v>
      </c>
      <c r="AL66" s="35">
        <f>Transfers!AL10+Transfers!AL12</f>
        <v>0</v>
      </c>
      <c r="AM66" s="35">
        <f>Transfers!AM10+Transfers!AM12</f>
        <v>0</v>
      </c>
      <c r="AN66" s="35">
        <f>Transfers!AN10+Transfers!AN12</f>
        <v>0</v>
      </c>
      <c r="AO66" s="46">
        <f>0</f>
        <v>0</v>
      </c>
      <c r="AP66" s="46">
        <f>0</f>
        <v>0</v>
      </c>
      <c r="AQ66" s="46">
        <f>0</f>
        <v>0</v>
      </c>
      <c r="AR66" s="46">
        <f>0</f>
        <v>0</v>
      </c>
      <c r="AS66" s="46">
        <f>0</f>
        <v>0</v>
      </c>
      <c r="AT66" s="46">
        <f>0</f>
        <v>0</v>
      </c>
      <c r="AU66" s="46">
        <f>0</f>
        <v>0</v>
      </c>
      <c r="AV66" s="46">
        <f>0</f>
        <v>0</v>
      </c>
      <c r="AW66" s="46">
        <f>0</f>
        <v>0</v>
      </c>
      <c r="AX66" s="46">
        <f>0</f>
        <v>0</v>
      </c>
      <c r="AY66" s="46">
        <f>0</f>
        <v>0</v>
      </c>
      <c r="AZ66" s="46">
        <f>0</f>
        <v>0</v>
      </c>
      <c r="BA66" s="46">
        <f>0</f>
        <v>0</v>
      </c>
      <c r="BB66" s="46">
        <f>0</f>
        <v>0</v>
      </c>
      <c r="BC66" s="46">
        <f>0</f>
        <v>0</v>
      </c>
      <c r="BD66" s="46">
        <f>0</f>
        <v>0</v>
      </c>
      <c r="BE66" s="46">
        <f>0</f>
        <v>0</v>
      </c>
      <c r="BF66" s="46">
        <f>0</f>
        <v>0</v>
      </c>
      <c r="BG66" s="46">
        <f>0</f>
        <v>0</v>
      </c>
      <c r="BH66" s="46">
        <f>0</f>
        <v>0</v>
      </c>
      <c r="BI66" s="46">
        <f>0</f>
        <v>0</v>
      </c>
      <c r="BJ66" s="46">
        <f>0</f>
        <v>0</v>
      </c>
      <c r="BK66" s="46">
        <f>0</f>
        <v>0</v>
      </c>
      <c r="BL66" s="46">
        <f>0</f>
        <v>0</v>
      </c>
      <c r="BM66" s="32"/>
      <c r="BN66" s="32"/>
    </row>
    <row r="67" spans="1:66" ht="20" customHeight="1">
      <c r="A67" s="30"/>
      <c r="B67" s="30"/>
      <c r="C67" s="31" t="s">
        <v>237</v>
      </c>
      <c r="D67" s="31"/>
      <c r="E67" s="35">
        <f>IF(0&lt;24,0,IF((Assumptions!G83*12)-(0-24)&gt;0,MIN(E65+E66,(E65+E66)/MAX(1,(Assumptions!G83*12)-(0-24))),E65+E66))</f>
        <v>0</v>
      </c>
      <c r="F67" s="35">
        <f>IF(1&lt;24,0,IF((Assumptions!G83*12)-(1-24)&gt;0,MIN(F65+F66,(F65+F66)/MAX(1,(Assumptions!G83*12)-(1-24))),F65+F66))</f>
        <v>0</v>
      </c>
      <c r="G67" s="35">
        <f>IF(2&lt;24,0,IF((Assumptions!G83*12)-(2-24)&gt;0,MIN(G65+G66,(G65+G66)/MAX(1,(Assumptions!G83*12)-(2-24))),G65+G66))</f>
        <v>0</v>
      </c>
      <c r="H67" s="35">
        <f>IF(3&lt;24,0,IF((Assumptions!G83*12)-(3-24)&gt;0,MIN(H65+H66,(H65+H66)/MAX(1,(Assumptions!G83*12)-(3-24))),H65+H66))</f>
        <v>0</v>
      </c>
      <c r="I67" s="35">
        <f>IF(4&lt;24,0,IF((Assumptions!G83*12)-(4-24)&gt;0,MIN(I65+I66,(I65+I66)/MAX(1,(Assumptions!G83*12)-(4-24))),I65+I66))</f>
        <v>0</v>
      </c>
      <c r="J67" s="35">
        <f>IF(5&lt;24,0,IF((Assumptions!G83*12)-(5-24)&gt;0,MIN(J65+J66,(J65+J66)/MAX(1,(Assumptions!G83*12)-(5-24))),J65+J66))</f>
        <v>0</v>
      </c>
      <c r="K67" s="35">
        <f>IF(6&lt;24,0,IF((Assumptions!G83*12)-(6-24)&gt;0,MIN(K65+K66,(K65+K66)/MAX(1,(Assumptions!G83*12)-(6-24))),K65+K66))</f>
        <v>0</v>
      </c>
      <c r="L67" s="35">
        <f>IF(7&lt;24,0,IF((Assumptions!G83*12)-(7-24)&gt;0,MIN(L65+L66,(L65+L66)/MAX(1,(Assumptions!G83*12)-(7-24))),L65+L66))</f>
        <v>0</v>
      </c>
      <c r="M67" s="35">
        <f>IF(8&lt;24,0,IF((Assumptions!G83*12)-(8-24)&gt;0,MIN(M65+M66,(M65+M66)/MAX(1,(Assumptions!G83*12)-(8-24))),M65+M66))</f>
        <v>0</v>
      </c>
      <c r="N67" s="35">
        <f>IF(9&lt;24,0,IF((Assumptions!G83*12)-(9-24)&gt;0,MIN(N65+N66,(N65+N66)/MAX(1,(Assumptions!G83*12)-(9-24))),N65+N66))</f>
        <v>0</v>
      </c>
      <c r="O67" s="35">
        <f>IF(10&lt;24,0,IF((Assumptions!G83*12)-(10-24)&gt;0,MIN(O65+O66,(O65+O66)/MAX(1,(Assumptions!G83*12)-(10-24))),O65+O66))</f>
        <v>0</v>
      </c>
      <c r="P67" s="35">
        <f>IF(11&lt;24,0,IF((Assumptions!G83*12)-(11-24)&gt;0,MIN(P65+P66,(P65+P66)/MAX(1,(Assumptions!G83*12)-(11-24))),P65+P66))</f>
        <v>0</v>
      </c>
      <c r="Q67" s="35">
        <f>IF(12&lt;24,0,IF((Assumptions!G83*12)-(12-24)&gt;0,MIN(Q65+Q66,(Q65+Q66)/MAX(1,(Assumptions!G83*12)-(12-24))),Q65+Q66))</f>
        <v>0</v>
      </c>
      <c r="R67" s="35">
        <f>IF(13&lt;24,0,IF((Assumptions!G83*12)-(13-24)&gt;0,MIN(R65+R66,(R65+R66)/MAX(1,(Assumptions!G83*12)-(13-24))),R65+R66))</f>
        <v>0</v>
      </c>
      <c r="S67" s="35">
        <f>IF(14&lt;24,0,IF((Assumptions!G83*12)-(14-24)&gt;0,MIN(S65+S66,(S65+S66)/MAX(1,(Assumptions!G83*12)-(14-24))),S65+S66))</f>
        <v>0</v>
      </c>
      <c r="T67" s="35">
        <f>IF(15&lt;24,0,IF((Assumptions!G83*12)-(15-24)&gt;0,MIN(T65+T66,(T65+T66)/MAX(1,(Assumptions!G83*12)-(15-24))),T65+T66))</f>
        <v>0</v>
      </c>
      <c r="U67" s="35">
        <f>IF(16&lt;24,0,IF((Assumptions!G83*12)-(16-24)&gt;0,MIN(U65+U66,(U65+U66)/MAX(1,(Assumptions!G83*12)-(16-24))),U65+U66))</f>
        <v>0</v>
      </c>
      <c r="V67" s="35">
        <f>IF(17&lt;24,0,IF((Assumptions!G83*12)-(17-24)&gt;0,MIN(V65+V66,(V65+V66)/MAX(1,(Assumptions!G83*12)-(17-24))),V65+V66))</f>
        <v>0</v>
      </c>
      <c r="W67" s="35">
        <f>IF(18&lt;24,0,IF((Assumptions!G83*12)-(18-24)&gt;0,MIN(W65+W66,(W65+W66)/MAX(1,(Assumptions!G83*12)-(18-24))),W65+W66))</f>
        <v>0</v>
      </c>
      <c r="X67" s="35">
        <f>IF(19&lt;24,0,IF((Assumptions!G83*12)-(19-24)&gt;0,MIN(X65+X66,(X65+X66)/MAX(1,(Assumptions!G83*12)-(19-24))),X65+X66))</f>
        <v>0</v>
      </c>
      <c r="Y67" s="35">
        <f>IF(20&lt;24,0,IF((Assumptions!G83*12)-(20-24)&gt;0,MIN(Y65+Y66,(Y65+Y66)/MAX(1,(Assumptions!G83*12)-(20-24))),Y65+Y66))</f>
        <v>0</v>
      </c>
      <c r="Z67" s="35">
        <f>IF(21&lt;24,0,IF((Assumptions!G83*12)-(21-24)&gt;0,MIN(Z65+Z66,(Z65+Z66)/MAX(1,(Assumptions!G83*12)-(21-24))),Z65+Z66))</f>
        <v>0</v>
      </c>
      <c r="AA67" s="35">
        <f>IF(22&lt;24,0,IF((Assumptions!G83*12)-(22-24)&gt;0,MIN(AA65+AA66,(AA65+AA66)/MAX(1,(Assumptions!G83*12)-(22-24))),AA65+AA66))</f>
        <v>0</v>
      </c>
      <c r="AB67" s="35">
        <f>IF(23&lt;24,0,IF((Assumptions!G83*12)-(23-24)&gt;0,MIN(AB65+AB66,(AB65+AB66)/MAX(1,(Assumptions!G83*12)-(23-24))),AB65+AB66))</f>
        <v>0</v>
      </c>
      <c r="AC67" s="35">
        <f>IF(24&lt;24,0,IF((Assumptions!G83*12)-(24-24)&gt;0,MIN(AC65+AC66,(AC65+AC66)/MAX(1,(Assumptions!G83*12)-(24-24))),AC65+AC66))</f>
        <v>1.0368372745923766</v>
      </c>
      <c r="AD67" s="35">
        <f>IF(25&lt;24,0,IF((Assumptions!G83*12)-(25-24)&gt;0,MIN(AD65+AD66,(AD65+AD66)/MAX(1,(Assumptions!G83*12)-(25-24))),AD65+AD66))</f>
        <v>1.0368372745923766</v>
      </c>
      <c r="AE67" s="35">
        <f>IF(26&lt;24,0,IF((Assumptions!G83*12)-(26-24)&gt;0,MIN(AE65+AE66,(AE65+AE66)/MAX(1,(Assumptions!G83*12)-(26-24))),AE65+AE66))</f>
        <v>0.99540529609856609</v>
      </c>
      <c r="AF67" s="35">
        <f>IF(27&lt;24,0,IF((Assumptions!G83*12)-(27-24)&gt;0,MIN(AF65+AF66,(AF65+AF66)/MAX(1,(Assumptions!G83*12)-(27-24))),AF65+AF66))</f>
        <v>0.99540529609856598</v>
      </c>
      <c r="AG67" s="35">
        <f>IF(28&lt;24,0,IF((Assumptions!G83*12)-(28-24)&gt;0,MIN(AG65+AG66,(AG65+AG66)/MAX(1,(Assumptions!G83*12)-(28-24))),AG65+AG66))</f>
        <v>0.99540529609856598</v>
      </c>
      <c r="AH67" s="35">
        <f>IF(29&lt;24,0,IF((Assumptions!G83*12)-(29-24)&gt;0,MIN(AH65+AH66,(AH65+AH66)/MAX(1,(Assumptions!G83*12)-(29-24))),AH65+AH66))</f>
        <v>0.99540529609856598</v>
      </c>
      <c r="AI67" s="35">
        <f>IF(30&lt;24,0,IF((Assumptions!G83*12)-(30-24)&gt;0,MIN(AI65+AI66,(AI65+AI66)/MAX(1,(Assumptions!G83*12)-(30-24))),AI65+AI66))</f>
        <v>0.99540529609856587</v>
      </c>
      <c r="AJ67" s="35">
        <f>IF(31&lt;24,0,IF((Assumptions!G83*12)-(31-24)&gt;0,MIN(AJ65+AJ66,(AJ65+AJ66)/MAX(1,(Assumptions!G83*12)-(31-24))),AJ65+AJ66))</f>
        <v>0.99540529609856587</v>
      </c>
      <c r="AK67" s="35">
        <f>IF(32&lt;24,0,IF((Assumptions!G83*12)-(32-24)&gt;0,MIN(AK65+AK66,(AK65+AK66)/MAX(1,(Assumptions!G83*12)-(32-24))),AK65+AK66))</f>
        <v>0.99540529609856587</v>
      </c>
      <c r="AL67" s="35">
        <f>IF(33&lt;24,0,IF((Assumptions!G83*12)-(33-24)&gt;0,MIN(AL65+AL66,(AL65+AL66)/MAX(1,(Assumptions!G83*12)-(33-24))),AL65+AL66))</f>
        <v>0.99540529609856576</v>
      </c>
      <c r="AM67" s="35">
        <f>IF(34&lt;24,0,IF((Assumptions!G83*12)-(34-24)&gt;0,MIN(AM65+AM66,(AM65+AM66)/MAX(1,(Assumptions!G83*12)-(34-24))),AM65+AM66))</f>
        <v>0.99540529609856576</v>
      </c>
      <c r="AN67" s="35">
        <f>IF(35&lt;24,0,IF((Assumptions!G83*12)-(35-24)&gt;0,MIN(AN65+AN66,(AN65+AN66)/MAX(1,(Assumptions!G83*12)-(35-24))),AN65+AN66))</f>
        <v>0.99540529609856576</v>
      </c>
      <c r="AO67" s="35">
        <f>IF(36&lt;24,0,IF((Assumptions!G83*12)-(36-24)&gt;0,MIN(AO65+AO66,(AO65+AO66)/MAX(1,(Assumptions!G83*12)-(36-24))),AO65+AO66))</f>
        <v>0.99540529609856565</v>
      </c>
      <c r="AP67" s="35">
        <f>IF(37&lt;24,0,IF((Assumptions!G83*12)-(37-24)&gt;0,MIN(AP65+AP66,(AP65+AP66)/MAX(1,(Assumptions!G83*12)-(37-24))),AP65+AP66))</f>
        <v>0.99540529609856565</v>
      </c>
      <c r="AQ67" s="35">
        <f>IF(38&lt;24,0,IF((Assumptions!G83*12)-(38-24)&gt;0,MIN(AQ65+AQ66,(AQ65+AQ66)/MAX(1,(Assumptions!G83*12)-(38-24))),AQ65+AQ66))</f>
        <v>0.94267853566984727</v>
      </c>
      <c r="AR67" s="35">
        <f>IF(39&lt;24,0,IF((Assumptions!G83*12)-(39-24)&gt;0,MIN(AR65+AR66,(AR65+AR66)/MAX(1,(Assumptions!G83*12)-(39-24))),AR65+AR66))</f>
        <v>0.94267853566984727</v>
      </c>
      <c r="AS67" s="35">
        <f>IF(40&lt;24,0,IF((Assumptions!G83*12)-(40-24)&gt;0,MIN(AS65+AS66,(AS65+AS66)/MAX(1,(Assumptions!G83*12)-(40-24))),AS65+AS66))</f>
        <v>0.94267853566984716</v>
      </c>
      <c r="AT67" s="35">
        <f>IF(41&lt;24,0,IF((Assumptions!G83*12)-(41-24)&gt;0,MIN(AT65+AT66,(AT65+AT66)/MAX(1,(Assumptions!G83*12)-(41-24))),AT65+AT66))</f>
        <v>0.94267853566984716</v>
      </c>
      <c r="AU67" s="35">
        <f>IF(42&lt;24,0,IF((Assumptions!G83*12)-(42-24)&gt;0,MIN(AU65+AU66,(AU65+AU66)/MAX(1,(Assumptions!G83*12)-(42-24))),AU65+AU66))</f>
        <v>0.94267853566984716</v>
      </c>
      <c r="AV67" s="35">
        <f>IF(43&lt;24,0,IF((Assumptions!G83*12)-(43-24)&gt;0,MIN(AV65+AV66,(AV65+AV66)/MAX(1,(Assumptions!G83*12)-(43-24))),AV65+AV66))</f>
        <v>0.94267853566984705</v>
      </c>
      <c r="AW67" s="35">
        <f>IF(44&lt;24,0,IF((Assumptions!G83*12)-(44-24)&gt;0,MIN(AW65+AW66,(AW65+AW66)/MAX(1,(Assumptions!G83*12)-(44-24))),AW65+AW66))</f>
        <v>0.94267853566984705</v>
      </c>
      <c r="AX67" s="35">
        <f>IF(45&lt;24,0,IF((Assumptions!G83*12)-(45-24)&gt;0,MIN(AX65+AX66,(AX65+AX66)/MAX(1,(Assumptions!G83*12)-(45-24))),AX65+AX66))</f>
        <v>0.94267853566984705</v>
      </c>
      <c r="AY67" s="35">
        <f>IF(46&lt;24,0,IF((Assumptions!G83*12)-(46-24)&gt;0,MIN(AY65+AY66,(AY65+AY66)/MAX(1,(Assumptions!G83*12)-(46-24))),AY65+AY66))</f>
        <v>0.94267853566984694</v>
      </c>
      <c r="AZ67" s="35">
        <f>IF(47&lt;24,0,IF((Assumptions!G83*12)-(47-24)&gt;0,MIN(AZ65+AZ66,(AZ65+AZ66)/MAX(1,(Assumptions!G83*12)-(47-24))),AZ65+AZ66))</f>
        <v>0.94267853566984694</v>
      </c>
      <c r="BA67" s="35">
        <f>IF(48&lt;24,0,IF((Assumptions!G83*12)-(48-24)&gt;0,MIN(BA65+BA66,(BA65+BA66)/MAX(1,(Assumptions!G83*12)-(48-24))),BA65+BA66))</f>
        <v>0.94267853566984683</v>
      </c>
      <c r="BB67" s="35">
        <f>IF(49&lt;24,0,IF((Assumptions!G83*12)-(49-24)&gt;0,MIN(BB65+BB66,(BB65+BB66)/MAX(1,(Assumptions!G83*12)-(49-24))),BB65+BB66))</f>
        <v>0.94267853566984683</v>
      </c>
      <c r="BC67" s="35">
        <f>IF(50&lt;24,0,IF((Assumptions!G83*12)-(50-24)&gt;0,MIN(BC65+BC66,(BC65+BC66)/MAX(1,(Assumptions!G83*12)-(50-24))),BC65+BC66))</f>
        <v>0.87735909123682332</v>
      </c>
      <c r="BD67" s="35">
        <f>IF(51&lt;24,0,IF((Assumptions!G83*12)-(51-24)&gt;0,MIN(BD65+BD66,(BD65+BD66)/MAX(1,(Assumptions!G83*12)-(51-24))),BD65+BD66))</f>
        <v>0.87735909123682332</v>
      </c>
      <c r="BE67" s="35">
        <f>IF(52&lt;24,0,IF((Assumptions!G83*12)-(52-24)&gt;0,MIN(BE65+BE66,(BE65+BE66)/MAX(1,(Assumptions!G83*12)-(52-24))),BE65+BE66))</f>
        <v>0.87735909123682332</v>
      </c>
      <c r="BF67" s="35">
        <f>IF(53&lt;24,0,IF((Assumptions!G83*12)-(53-24)&gt;0,MIN(BF65+BF66,(BF65+BF66)/MAX(1,(Assumptions!G83*12)-(53-24))),BF65+BF66))</f>
        <v>0.87735909123682332</v>
      </c>
      <c r="BG67" s="35">
        <f>IF(54&lt;24,0,IF((Assumptions!G83*12)-(54-24)&gt;0,MIN(BG65+BG66,(BG65+BG66)/MAX(1,(Assumptions!G83*12)-(54-24))),BG65+BG66))</f>
        <v>0.87735909123682332</v>
      </c>
      <c r="BH67" s="35">
        <f>IF(55&lt;24,0,IF((Assumptions!G83*12)-(55-24)&gt;0,MIN(BH65+BH66,(BH65+BH66)/MAX(1,(Assumptions!G83*12)-(55-24))),BH65+BH66))</f>
        <v>0.87735909123682343</v>
      </c>
      <c r="BI67" s="35">
        <f>IF(56&lt;24,0,IF((Assumptions!G83*12)-(56-24)&gt;0,MIN(BI65+BI66,(BI65+BI66)/MAX(1,(Assumptions!G83*12)-(56-24))),BI65+BI66))</f>
        <v>0.87735909123682343</v>
      </c>
      <c r="BJ67" s="35">
        <f>IF(57&lt;24,0,IF((Assumptions!G83*12)-(57-24)&gt;0,MIN(BJ65+BJ66,(BJ65+BJ66)/MAX(1,(Assumptions!G83*12)-(57-24))),BJ65+BJ66))</f>
        <v>0.87735909123682343</v>
      </c>
      <c r="BK67" s="35">
        <f>IF(58&lt;24,0,IF((Assumptions!G83*12)-(58-24)&gt;0,MIN(BK65+BK66,(BK65+BK66)/MAX(1,(Assumptions!G83*12)-(58-24))),BK65+BK66))</f>
        <v>0.87735909123682343</v>
      </c>
      <c r="BL67" s="35">
        <f>IF(59&lt;24,0,IF((Assumptions!G83*12)-(59-24)&gt;0,MIN(BL65+BL66,(BL65+BL66)/MAX(1,(Assumptions!G83*12)-(59-24))),BL65+BL66))</f>
        <v>0.87735909123682343</v>
      </c>
      <c r="BM67" s="32"/>
      <c r="BN67" s="32"/>
    </row>
    <row r="68" spans="1:66" ht="20" customHeight="1">
      <c r="A68" s="30"/>
      <c r="B68" s="30"/>
      <c r="C68" s="31" t="s">
        <v>238</v>
      </c>
      <c r="D68" s="31"/>
      <c r="E68" s="46">
        <f t="shared" ref="E68:AJ68" si="50">E65+E66-E67</f>
        <v>0</v>
      </c>
      <c r="F68" s="46">
        <f t="shared" si="50"/>
        <v>0</v>
      </c>
      <c r="G68" s="46">
        <f t="shared" si="50"/>
        <v>0</v>
      </c>
      <c r="H68" s="46">
        <f t="shared" si="50"/>
        <v>0</v>
      </c>
      <c r="I68" s="46">
        <f t="shared" si="50"/>
        <v>0</v>
      </c>
      <c r="J68" s="46">
        <f t="shared" si="50"/>
        <v>0</v>
      </c>
      <c r="K68" s="46">
        <f t="shared" si="50"/>
        <v>0</v>
      </c>
      <c r="L68" s="46">
        <f t="shared" si="50"/>
        <v>0</v>
      </c>
      <c r="M68" s="46">
        <f t="shared" si="50"/>
        <v>0</v>
      </c>
      <c r="N68" s="46">
        <f t="shared" si="50"/>
        <v>0</v>
      </c>
      <c r="O68" s="46">
        <f t="shared" si="50"/>
        <v>0</v>
      </c>
      <c r="P68" s="46">
        <f t="shared" si="50"/>
        <v>0</v>
      </c>
      <c r="Q68" s="46">
        <f t="shared" si="50"/>
        <v>0</v>
      </c>
      <c r="R68" s="46">
        <f t="shared" si="50"/>
        <v>0</v>
      </c>
      <c r="S68" s="46">
        <f t="shared" si="50"/>
        <v>0</v>
      </c>
      <c r="T68" s="46">
        <f t="shared" si="50"/>
        <v>0</v>
      </c>
      <c r="U68" s="46">
        <f t="shared" si="50"/>
        <v>0</v>
      </c>
      <c r="V68" s="46">
        <f t="shared" si="50"/>
        <v>0</v>
      </c>
      <c r="W68" s="46">
        <f t="shared" si="50"/>
        <v>0</v>
      </c>
      <c r="X68" s="46">
        <f t="shared" si="50"/>
        <v>0</v>
      </c>
      <c r="Y68" s="46">
        <f t="shared" si="50"/>
        <v>0</v>
      </c>
      <c r="Z68" s="46">
        <f t="shared" si="50"/>
        <v>0</v>
      </c>
      <c r="AA68" s="46">
        <f t="shared" si="50"/>
        <v>0</v>
      </c>
      <c r="AB68" s="46">
        <f t="shared" si="50"/>
        <v>0</v>
      </c>
      <c r="AC68" s="46">
        <f t="shared" si="50"/>
        <v>61.173399200950222</v>
      </c>
      <c r="AD68" s="46">
        <f t="shared" si="50"/>
        <v>60.136561926357842</v>
      </c>
      <c r="AE68" s="46">
        <f t="shared" si="50"/>
        <v>56.738101877618263</v>
      </c>
      <c r="AF68" s="46">
        <f t="shared" si="50"/>
        <v>55.742696581519695</v>
      </c>
      <c r="AG68" s="46">
        <f t="shared" si="50"/>
        <v>54.747291285421127</v>
      </c>
      <c r="AH68" s="46">
        <f t="shared" si="50"/>
        <v>53.75188598932256</v>
      </c>
      <c r="AI68" s="46">
        <f t="shared" si="50"/>
        <v>52.756480693223992</v>
      </c>
      <c r="AJ68" s="46">
        <f t="shared" si="50"/>
        <v>51.761075397125424</v>
      </c>
      <c r="AK68" s="46">
        <f t="shared" ref="AK68:BP68" si="51">AK65+AK66-AK67</f>
        <v>50.765670101026856</v>
      </c>
      <c r="AL68" s="46">
        <f t="shared" si="51"/>
        <v>49.770264804928289</v>
      </c>
      <c r="AM68" s="46">
        <f t="shared" si="51"/>
        <v>48.774859508829721</v>
      </c>
      <c r="AN68" s="46">
        <f t="shared" si="51"/>
        <v>47.779454212731153</v>
      </c>
      <c r="AO68" s="46">
        <f t="shared" si="51"/>
        <v>46.784048916632585</v>
      </c>
      <c r="AP68" s="46">
        <f t="shared" si="51"/>
        <v>45.788643620534017</v>
      </c>
      <c r="AQ68" s="46">
        <f t="shared" si="51"/>
        <v>42.420534105143126</v>
      </c>
      <c r="AR68" s="46">
        <f t="shared" si="51"/>
        <v>41.477855569473277</v>
      </c>
      <c r="AS68" s="46">
        <f t="shared" si="51"/>
        <v>40.535177033803429</v>
      </c>
      <c r="AT68" s="46">
        <f t="shared" si="51"/>
        <v>39.59249849813358</v>
      </c>
      <c r="AU68" s="46">
        <f t="shared" si="51"/>
        <v>38.649819962463731</v>
      </c>
      <c r="AV68" s="46">
        <f t="shared" si="51"/>
        <v>37.707141426793882</v>
      </c>
      <c r="AW68" s="46">
        <f t="shared" si="51"/>
        <v>36.764462891124033</v>
      </c>
      <c r="AX68" s="46">
        <f t="shared" si="51"/>
        <v>35.821784355454184</v>
      </c>
      <c r="AY68" s="46">
        <f t="shared" si="51"/>
        <v>34.879105819784336</v>
      </c>
      <c r="AZ68" s="46">
        <f t="shared" si="51"/>
        <v>33.936427284114487</v>
      </c>
      <c r="BA68" s="46">
        <f t="shared" si="51"/>
        <v>32.993748748444638</v>
      </c>
      <c r="BB68" s="46">
        <f t="shared" si="51"/>
        <v>32.051070212774789</v>
      </c>
      <c r="BC68" s="46">
        <f t="shared" si="51"/>
        <v>28.952850010815169</v>
      </c>
      <c r="BD68" s="46">
        <f t="shared" si="51"/>
        <v>28.075490919578346</v>
      </c>
      <c r="BE68" s="46">
        <f t="shared" si="51"/>
        <v>27.198131828341523</v>
      </c>
      <c r="BF68" s="46">
        <f t="shared" si="51"/>
        <v>26.320772737104701</v>
      </c>
      <c r="BG68" s="46">
        <f t="shared" si="51"/>
        <v>25.443413645867878</v>
      </c>
      <c r="BH68" s="46">
        <f t="shared" si="51"/>
        <v>24.566054554631055</v>
      </c>
      <c r="BI68" s="46">
        <f t="shared" si="51"/>
        <v>23.688695463394232</v>
      </c>
      <c r="BJ68" s="46">
        <f t="shared" si="51"/>
        <v>22.81133637215741</v>
      </c>
      <c r="BK68" s="46">
        <f t="shared" si="51"/>
        <v>21.933977280920587</v>
      </c>
      <c r="BL68" s="46">
        <f t="shared" si="51"/>
        <v>21.056618189683764</v>
      </c>
      <c r="BM68" s="32"/>
      <c r="BN68" s="32"/>
    </row>
    <row r="69" spans="1:66" ht="20" customHeight="1">
      <c r="A69" s="30"/>
      <c r="B69" s="30"/>
      <c r="C69" s="31" t="s">
        <v>239</v>
      </c>
      <c r="D69" s="31"/>
      <c r="E69" s="35">
        <f>IF(E91&gt;0,E68/E91*Transfers!E24,0)</f>
        <v>0</v>
      </c>
      <c r="F69" s="35">
        <f>IF(F91&gt;0,F68/F91*Transfers!F24,0)</f>
        <v>0</v>
      </c>
      <c r="G69" s="35">
        <f>IF(G91&gt;0,G68/G91*Transfers!G24,0)</f>
        <v>0</v>
      </c>
      <c r="H69" s="35">
        <f>IF(H91&gt;0,H68/H91*Transfers!H24,0)</f>
        <v>0</v>
      </c>
      <c r="I69" s="35">
        <f>IF(I91&gt;0,I68/I91*Transfers!I24,0)</f>
        <v>0</v>
      </c>
      <c r="J69" s="35">
        <f>IF(J91&gt;0,J68/J91*Transfers!J24,0)</f>
        <v>0</v>
      </c>
      <c r="K69" s="35">
        <f>IF(K91&gt;0,K68/K91*Transfers!K24,0)</f>
        <v>0</v>
      </c>
      <c r="L69" s="35">
        <f>IF(L91&gt;0,L68/L91*Transfers!L24,0)</f>
        <v>0</v>
      </c>
      <c r="M69" s="35">
        <f>IF(M91&gt;0,M68/M91*Transfers!M24,0)</f>
        <v>0</v>
      </c>
      <c r="N69" s="35">
        <f>IF(N91&gt;0,N68/N91*Transfers!N24,0)</f>
        <v>0</v>
      </c>
      <c r="O69" s="35">
        <f>IF(O91&gt;0,O68/O91*Transfers!O24,0)</f>
        <v>0</v>
      </c>
      <c r="P69" s="35">
        <f>IF(P91&gt;0,P68/P91*Transfers!P24,0)</f>
        <v>0</v>
      </c>
      <c r="Q69" s="35">
        <f>IF(Q91&gt;0,Q68/Q91*Transfers!Q24,0)</f>
        <v>0</v>
      </c>
      <c r="R69" s="35">
        <f>IF(R91&gt;0,R68/R91*Transfers!R24,0)</f>
        <v>0</v>
      </c>
      <c r="S69" s="35">
        <f>IF(S91&gt;0,S68/S91*Transfers!S24,0)</f>
        <v>0</v>
      </c>
      <c r="T69" s="35">
        <f>IF(T91&gt;0,T68/T91*Transfers!T24,0)</f>
        <v>0</v>
      </c>
      <c r="U69" s="35">
        <f>IF(U91&gt;0,U68/U91*Transfers!U24,0)</f>
        <v>0</v>
      </c>
      <c r="V69" s="35">
        <f>IF(V91&gt;0,V68/V91*Transfers!V24,0)</f>
        <v>0</v>
      </c>
      <c r="W69" s="35">
        <f>IF(W91&gt;0,W68/W91*Transfers!W24,0)</f>
        <v>0</v>
      </c>
      <c r="X69" s="35">
        <f>IF(X91&gt;0,X68/X91*Transfers!X24,0)</f>
        <v>0</v>
      </c>
      <c r="Y69" s="35">
        <f>IF(Y91&gt;0,Y68/Y91*Transfers!Y24,0)</f>
        <v>0</v>
      </c>
      <c r="Z69" s="35">
        <f>IF(Z91&gt;0,Z68/Z91*Transfers!Z24,0)</f>
        <v>0</v>
      </c>
      <c r="AA69" s="35">
        <f>IF(AA91&gt;0,AA68/AA91*Transfers!AA24,0)</f>
        <v>0</v>
      </c>
      <c r="AB69" s="35">
        <f>IF(AB91&gt;0,AB68/AB91*Transfers!AB24,0)</f>
        <v>0</v>
      </c>
      <c r="AC69" s="35">
        <f>IF(AC91&gt;0,AC68/AC91*Transfers!AC24,0)</f>
        <v>0</v>
      </c>
      <c r="AD69" s="35">
        <f>IF(AD91&gt;0,AD68/AD91*Transfers!AD24,0)</f>
        <v>2.4030547526410118</v>
      </c>
      <c r="AE69" s="35">
        <f>IF(AE91&gt;0,AE68/AE91*Transfers!AE24,0)</f>
        <v>0</v>
      </c>
      <c r="AF69" s="35">
        <f>IF(AF91&gt;0,AF68/AF91*Transfers!AF24,0)</f>
        <v>0</v>
      </c>
      <c r="AG69" s="35">
        <f>IF(AG91&gt;0,AG68/AG91*Transfers!AG24,0)</f>
        <v>0</v>
      </c>
      <c r="AH69" s="35">
        <f>IF(AH91&gt;0,AH68/AH91*Transfers!AH24,0)</f>
        <v>0</v>
      </c>
      <c r="AI69" s="35">
        <f>IF(AI91&gt;0,AI68/AI91*Transfers!AI24,0)</f>
        <v>0</v>
      </c>
      <c r="AJ69" s="35">
        <f>IF(AJ91&gt;0,AJ68/AJ91*Transfers!AJ24,0)</f>
        <v>0</v>
      </c>
      <c r="AK69" s="35">
        <f>IF(AK91&gt;0,AK68/AK91*Transfers!AK24,0)</f>
        <v>0</v>
      </c>
      <c r="AL69" s="35">
        <f>IF(AL91&gt;0,AL68/AL91*Transfers!AL24,0)</f>
        <v>0</v>
      </c>
      <c r="AM69" s="35">
        <f>IF(AM91&gt;0,AM68/AM91*Transfers!AM24,0)</f>
        <v>0</v>
      </c>
      <c r="AN69" s="35">
        <f>IF(AN91&gt;0,AN68/AN91*Transfers!AN24,0)</f>
        <v>0</v>
      </c>
      <c r="AO69" s="35">
        <f>IF(AO91&gt;0,AO68/AO91*Transfers!AO24,0)</f>
        <v>0</v>
      </c>
      <c r="AP69" s="35">
        <f>IF(AP91&gt;0,AP68/AP91*Transfers!AP24,0)</f>
        <v>2.4254309797210452</v>
      </c>
      <c r="AQ69" s="35">
        <f>IF(AQ91&gt;0,AQ68/AQ91*Transfers!AQ24,0)</f>
        <v>0</v>
      </c>
      <c r="AR69" s="35">
        <f>IF(AR91&gt;0,AR68/AR91*Transfers!AR24,0)</f>
        <v>0</v>
      </c>
      <c r="AS69" s="35">
        <f>IF(AS91&gt;0,AS68/AS91*Transfers!AS24,0)</f>
        <v>0</v>
      </c>
      <c r="AT69" s="35">
        <f>IF(AT91&gt;0,AT68/AT91*Transfers!AT24,0)</f>
        <v>0</v>
      </c>
      <c r="AU69" s="35">
        <f>IF(AU91&gt;0,AU68/AU91*Transfers!AU24,0)</f>
        <v>0</v>
      </c>
      <c r="AV69" s="35">
        <f>IF(AV91&gt;0,AV68/AV91*Transfers!AV24,0)</f>
        <v>0</v>
      </c>
      <c r="AW69" s="35">
        <f>IF(AW91&gt;0,AW68/AW91*Transfers!AW24,0)</f>
        <v>0</v>
      </c>
      <c r="AX69" s="35">
        <f>IF(AX91&gt;0,AX68/AX91*Transfers!AX24,0)</f>
        <v>0</v>
      </c>
      <c r="AY69" s="35">
        <f>IF(AY91&gt;0,AY68/AY91*Transfers!AY24,0)</f>
        <v>0</v>
      </c>
      <c r="AZ69" s="35">
        <f>IF(AZ91&gt;0,AZ68/AZ91*Transfers!AZ24,0)</f>
        <v>0</v>
      </c>
      <c r="BA69" s="35">
        <f>IF(BA91&gt;0,BA68/BA91*Transfers!BA24,0)</f>
        <v>0</v>
      </c>
      <c r="BB69" s="35">
        <f>IF(BB91&gt;0,BB68/BB91*Transfers!BB24,0)</f>
        <v>2.2208611107227978</v>
      </c>
      <c r="BC69" s="35">
        <f>IF(BC91&gt;0,BC68/BC91*Transfers!BC24,0)</f>
        <v>0</v>
      </c>
      <c r="BD69" s="35">
        <f>IF(BD91&gt;0,BD68/BD91*Transfers!BD24,0)</f>
        <v>0</v>
      </c>
      <c r="BE69" s="35">
        <f>IF(BE91&gt;0,BE68/BE91*Transfers!BE24,0)</f>
        <v>0</v>
      </c>
      <c r="BF69" s="35">
        <f>IF(BF91&gt;0,BF68/BF91*Transfers!BF24,0)</f>
        <v>0</v>
      </c>
      <c r="BG69" s="35">
        <f>IF(BG91&gt;0,BG68/BG91*Transfers!BG24,0)</f>
        <v>0</v>
      </c>
      <c r="BH69" s="35">
        <f>IF(BH91&gt;0,BH68/BH91*Transfers!BH24,0)</f>
        <v>0</v>
      </c>
      <c r="BI69" s="35">
        <f>IF(BI91&gt;0,BI68/BI91*Transfers!BI24,0)</f>
        <v>0</v>
      </c>
      <c r="BJ69" s="35">
        <f>IF(BJ91&gt;0,BJ68/BJ91*Transfers!BJ24,0)</f>
        <v>0</v>
      </c>
      <c r="BK69" s="35">
        <f>IF(BK91&gt;0,BK68/BK91*Transfers!BK24,0)</f>
        <v>0</v>
      </c>
      <c r="BL69" s="35">
        <f>IF(BL91&gt;0,BL68/BL91*Transfers!BL24,0)</f>
        <v>0</v>
      </c>
      <c r="BM69" s="32"/>
      <c r="BN69" s="32"/>
    </row>
    <row r="70" spans="1:66" ht="20" customHeight="1">
      <c r="A70" s="30"/>
      <c r="B70" s="30"/>
      <c r="C70" s="31" t="s">
        <v>240</v>
      </c>
      <c r="D70" s="31"/>
      <c r="E70" s="46">
        <f t="shared" ref="E70:AJ70" si="52">E68-E69</f>
        <v>0</v>
      </c>
      <c r="F70" s="46">
        <f t="shared" si="52"/>
        <v>0</v>
      </c>
      <c r="G70" s="46">
        <f t="shared" si="52"/>
        <v>0</v>
      </c>
      <c r="H70" s="46">
        <f t="shared" si="52"/>
        <v>0</v>
      </c>
      <c r="I70" s="46">
        <f t="shared" si="52"/>
        <v>0</v>
      </c>
      <c r="J70" s="46">
        <f t="shared" si="52"/>
        <v>0</v>
      </c>
      <c r="K70" s="46">
        <f t="shared" si="52"/>
        <v>0</v>
      </c>
      <c r="L70" s="46">
        <f t="shared" si="52"/>
        <v>0</v>
      </c>
      <c r="M70" s="46">
        <f t="shared" si="52"/>
        <v>0</v>
      </c>
      <c r="N70" s="46">
        <f t="shared" si="52"/>
        <v>0</v>
      </c>
      <c r="O70" s="46">
        <f t="shared" si="52"/>
        <v>0</v>
      </c>
      <c r="P70" s="46">
        <f t="shared" si="52"/>
        <v>0</v>
      </c>
      <c r="Q70" s="46">
        <f t="shared" si="52"/>
        <v>0</v>
      </c>
      <c r="R70" s="46">
        <f t="shared" si="52"/>
        <v>0</v>
      </c>
      <c r="S70" s="46">
        <f t="shared" si="52"/>
        <v>0</v>
      </c>
      <c r="T70" s="46">
        <f t="shared" si="52"/>
        <v>0</v>
      </c>
      <c r="U70" s="46">
        <f t="shared" si="52"/>
        <v>0</v>
      </c>
      <c r="V70" s="46">
        <f t="shared" si="52"/>
        <v>0</v>
      </c>
      <c r="W70" s="46">
        <f t="shared" si="52"/>
        <v>0</v>
      </c>
      <c r="X70" s="46">
        <f t="shared" si="52"/>
        <v>0</v>
      </c>
      <c r="Y70" s="46">
        <f t="shared" si="52"/>
        <v>0</v>
      </c>
      <c r="Z70" s="46">
        <f t="shared" si="52"/>
        <v>0</v>
      </c>
      <c r="AA70" s="46">
        <f t="shared" si="52"/>
        <v>0</v>
      </c>
      <c r="AB70" s="46">
        <f t="shared" si="52"/>
        <v>0</v>
      </c>
      <c r="AC70" s="46">
        <f t="shared" si="52"/>
        <v>61.173399200950222</v>
      </c>
      <c r="AD70" s="46">
        <f t="shared" si="52"/>
        <v>57.733507173716831</v>
      </c>
      <c r="AE70" s="46">
        <f t="shared" si="52"/>
        <v>56.738101877618263</v>
      </c>
      <c r="AF70" s="46">
        <f t="shared" si="52"/>
        <v>55.742696581519695</v>
      </c>
      <c r="AG70" s="46">
        <f t="shared" si="52"/>
        <v>54.747291285421127</v>
      </c>
      <c r="AH70" s="46">
        <f t="shared" si="52"/>
        <v>53.75188598932256</v>
      </c>
      <c r="AI70" s="46">
        <f t="shared" si="52"/>
        <v>52.756480693223992</v>
      </c>
      <c r="AJ70" s="46">
        <f t="shared" si="52"/>
        <v>51.761075397125424</v>
      </c>
      <c r="AK70" s="46">
        <f t="shared" ref="AK70:BP70" si="53">AK68-AK69</f>
        <v>50.765670101026856</v>
      </c>
      <c r="AL70" s="46">
        <f t="shared" si="53"/>
        <v>49.770264804928289</v>
      </c>
      <c r="AM70" s="46">
        <f t="shared" si="53"/>
        <v>48.774859508829721</v>
      </c>
      <c r="AN70" s="46">
        <f t="shared" si="53"/>
        <v>47.779454212731153</v>
      </c>
      <c r="AO70" s="46">
        <f t="shared" si="53"/>
        <v>46.784048916632585</v>
      </c>
      <c r="AP70" s="46">
        <f t="shared" si="53"/>
        <v>43.363212640812975</v>
      </c>
      <c r="AQ70" s="46">
        <f t="shared" si="53"/>
        <v>42.420534105143126</v>
      </c>
      <c r="AR70" s="46">
        <f t="shared" si="53"/>
        <v>41.477855569473277</v>
      </c>
      <c r="AS70" s="46">
        <f t="shared" si="53"/>
        <v>40.535177033803429</v>
      </c>
      <c r="AT70" s="46">
        <f t="shared" si="53"/>
        <v>39.59249849813358</v>
      </c>
      <c r="AU70" s="46">
        <f t="shared" si="53"/>
        <v>38.649819962463731</v>
      </c>
      <c r="AV70" s="46">
        <f t="shared" si="53"/>
        <v>37.707141426793882</v>
      </c>
      <c r="AW70" s="46">
        <f t="shared" si="53"/>
        <v>36.764462891124033</v>
      </c>
      <c r="AX70" s="46">
        <f t="shared" si="53"/>
        <v>35.821784355454184</v>
      </c>
      <c r="AY70" s="46">
        <f t="shared" si="53"/>
        <v>34.879105819784336</v>
      </c>
      <c r="AZ70" s="46">
        <f t="shared" si="53"/>
        <v>33.936427284114487</v>
      </c>
      <c r="BA70" s="46">
        <f t="shared" si="53"/>
        <v>32.993748748444638</v>
      </c>
      <c r="BB70" s="46">
        <f t="shared" si="53"/>
        <v>29.830209102051992</v>
      </c>
      <c r="BC70" s="46">
        <f t="shared" si="53"/>
        <v>28.952850010815169</v>
      </c>
      <c r="BD70" s="46">
        <f t="shared" si="53"/>
        <v>28.075490919578346</v>
      </c>
      <c r="BE70" s="46">
        <f t="shared" si="53"/>
        <v>27.198131828341523</v>
      </c>
      <c r="BF70" s="46">
        <f t="shared" si="53"/>
        <v>26.320772737104701</v>
      </c>
      <c r="BG70" s="46">
        <f t="shared" si="53"/>
        <v>25.443413645867878</v>
      </c>
      <c r="BH70" s="46">
        <f t="shared" si="53"/>
        <v>24.566054554631055</v>
      </c>
      <c r="BI70" s="46">
        <f t="shared" si="53"/>
        <v>23.688695463394232</v>
      </c>
      <c r="BJ70" s="46">
        <f t="shared" si="53"/>
        <v>22.81133637215741</v>
      </c>
      <c r="BK70" s="46">
        <f t="shared" si="53"/>
        <v>21.933977280920587</v>
      </c>
      <c r="BL70" s="46">
        <f t="shared" si="53"/>
        <v>21.056618189683764</v>
      </c>
      <c r="BM70" s="32"/>
      <c r="BN70" s="32"/>
    </row>
    <row r="71" spans="1:66" ht="20" customHeight="1">
      <c r="A71" s="30"/>
      <c r="B71" s="30"/>
      <c r="C71" s="31" t="s">
        <v>249</v>
      </c>
      <c r="D71" s="31"/>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row>
    <row r="72" spans="1:66" ht="20" customHeight="1">
      <c r="A72" s="30"/>
      <c r="B72" s="30"/>
      <c r="C72" s="31" t="s">
        <v>235</v>
      </c>
      <c r="D72" s="31"/>
      <c r="E72" s="46">
        <f>0</f>
        <v>0</v>
      </c>
      <c r="F72" s="46">
        <f t="shared" ref="F72:AK72" si="54">E77</f>
        <v>0</v>
      </c>
      <c r="G72" s="46">
        <f t="shared" si="54"/>
        <v>0</v>
      </c>
      <c r="H72" s="46">
        <f t="shared" si="54"/>
        <v>0</v>
      </c>
      <c r="I72" s="46">
        <f t="shared" si="54"/>
        <v>0</v>
      </c>
      <c r="J72" s="46">
        <f t="shared" si="54"/>
        <v>0</v>
      </c>
      <c r="K72" s="46">
        <f t="shared" si="54"/>
        <v>0</v>
      </c>
      <c r="L72" s="46">
        <f t="shared" si="54"/>
        <v>0</v>
      </c>
      <c r="M72" s="46">
        <f t="shared" si="54"/>
        <v>0</v>
      </c>
      <c r="N72" s="46">
        <f t="shared" si="54"/>
        <v>0</v>
      </c>
      <c r="O72" s="46">
        <f t="shared" si="54"/>
        <v>0</v>
      </c>
      <c r="P72" s="46">
        <f t="shared" si="54"/>
        <v>0</v>
      </c>
      <c r="Q72" s="46">
        <f t="shared" si="54"/>
        <v>0</v>
      </c>
      <c r="R72" s="46">
        <f t="shared" si="54"/>
        <v>0</v>
      </c>
      <c r="S72" s="46">
        <f t="shared" si="54"/>
        <v>0</v>
      </c>
      <c r="T72" s="46">
        <f t="shared" si="54"/>
        <v>0</v>
      </c>
      <c r="U72" s="46">
        <f t="shared" si="54"/>
        <v>0</v>
      </c>
      <c r="V72" s="46">
        <f t="shared" si="54"/>
        <v>0</v>
      </c>
      <c r="W72" s="46">
        <f t="shared" si="54"/>
        <v>0</v>
      </c>
      <c r="X72" s="46">
        <f t="shared" si="54"/>
        <v>0</v>
      </c>
      <c r="Y72" s="46">
        <f t="shared" si="54"/>
        <v>0</v>
      </c>
      <c r="Z72" s="46">
        <f t="shared" si="54"/>
        <v>0</v>
      </c>
      <c r="AA72" s="46">
        <f t="shared" si="54"/>
        <v>0</v>
      </c>
      <c r="AB72" s="46">
        <f t="shared" si="54"/>
        <v>0</v>
      </c>
      <c r="AC72" s="46">
        <f t="shared" si="54"/>
        <v>0</v>
      </c>
      <c r="AD72" s="46">
        <f t="shared" si="54"/>
        <v>0</v>
      </c>
      <c r="AE72" s="46">
        <f t="shared" si="54"/>
        <v>0</v>
      </c>
      <c r="AF72" s="46">
        <f t="shared" si="54"/>
        <v>0</v>
      </c>
      <c r="AG72" s="46">
        <f t="shared" si="54"/>
        <v>0</v>
      </c>
      <c r="AH72" s="46">
        <f t="shared" si="54"/>
        <v>0</v>
      </c>
      <c r="AI72" s="46">
        <f t="shared" si="54"/>
        <v>0</v>
      </c>
      <c r="AJ72" s="46">
        <f t="shared" si="54"/>
        <v>0</v>
      </c>
      <c r="AK72" s="46">
        <f t="shared" si="54"/>
        <v>0</v>
      </c>
      <c r="AL72" s="46">
        <f t="shared" ref="AL72:BL72" si="55">AK77</f>
        <v>0</v>
      </c>
      <c r="AM72" s="46">
        <f t="shared" si="55"/>
        <v>0</v>
      </c>
      <c r="AN72" s="46">
        <f t="shared" si="55"/>
        <v>0</v>
      </c>
      <c r="AO72" s="46">
        <f t="shared" si="55"/>
        <v>0</v>
      </c>
      <c r="AP72" s="46">
        <f t="shared" si="55"/>
        <v>61.173399200950222</v>
      </c>
      <c r="AQ72" s="46">
        <f t="shared" si="55"/>
        <v>56.951119668690886</v>
      </c>
      <c r="AR72" s="46">
        <f t="shared" si="55"/>
        <v>55.969203812334143</v>
      </c>
      <c r="AS72" s="46">
        <f t="shared" si="55"/>
        <v>54.987287955977401</v>
      </c>
      <c r="AT72" s="46">
        <f t="shared" si="55"/>
        <v>54.005372099620658</v>
      </c>
      <c r="AU72" s="46">
        <f t="shared" si="55"/>
        <v>53.023456243263915</v>
      </c>
      <c r="AV72" s="46">
        <f t="shared" si="55"/>
        <v>52.041540386907172</v>
      </c>
      <c r="AW72" s="46">
        <f t="shared" si="55"/>
        <v>51.059624530550437</v>
      </c>
      <c r="AX72" s="46">
        <f t="shared" si="55"/>
        <v>50.077708674193701</v>
      </c>
      <c r="AY72" s="46">
        <f t="shared" si="55"/>
        <v>49.095792817836958</v>
      </c>
      <c r="AZ72" s="46">
        <f t="shared" si="55"/>
        <v>48.113876961480216</v>
      </c>
      <c r="BA72" s="46">
        <f t="shared" si="55"/>
        <v>47.13196110512348</v>
      </c>
      <c r="BB72" s="46">
        <f t="shared" si="55"/>
        <v>46.150045248766745</v>
      </c>
      <c r="BC72" s="46">
        <f t="shared" si="55"/>
        <v>42.038369875933178</v>
      </c>
      <c r="BD72" s="46">
        <f t="shared" si="55"/>
        <v>41.124492269934628</v>
      </c>
      <c r="BE72" s="46">
        <f t="shared" si="55"/>
        <v>40.210614663936077</v>
      </c>
      <c r="BF72" s="46">
        <f t="shared" si="55"/>
        <v>39.296737057937527</v>
      </c>
      <c r="BG72" s="46">
        <f t="shared" si="55"/>
        <v>38.382859451938977</v>
      </c>
      <c r="BH72" s="46">
        <f t="shared" si="55"/>
        <v>37.468981845940426</v>
      </c>
      <c r="BI72" s="46">
        <f t="shared" si="55"/>
        <v>36.555104239941876</v>
      </c>
      <c r="BJ72" s="46">
        <f t="shared" si="55"/>
        <v>35.641226633943326</v>
      </c>
      <c r="BK72" s="46">
        <f t="shared" si="55"/>
        <v>34.727349027944776</v>
      </c>
      <c r="BL72" s="46">
        <f t="shared" si="55"/>
        <v>33.813471421946232</v>
      </c>
      <c r="BM72" s="32"/>
      <c r="BN72" s="32"/>
    </row>
    <row r="73" spans="1:66" ht="20" customHeight="1">
      <c r="A73" s="30"/>
      <c r="B73" s="30"/>
      <c r="C73" s="31" t="s">
        <v>236</v>
      </c>
      <c r="D73" s="31"/>
      <c r="E73" s="46">
        <f>0</f>
        <v>0</v>
      </c>
      <c r="F73" s="46">
        <f>0</f>
        <v>0</v>
      </c>
      <c r="G73" s="46">
        <f>0</f>
        <v>0</v>
      </c>
      <c r="H73" s="46">
        <f>0</f>
        <v>0</v>
      </c>
      <c r="I73" s="46">
        <f>0</f>
        <v>0</v>
      </c>
      <c r="J73" s="46">
        <f>0</f>
        <v>0</v>
      </c>
      <c r="K73" s="46">
        <f>0</f>
        <v>0</v>
      </c>
      <c r="L73" s="46">
        <f>0</f>
        <v>0</v>
      </c>
      <c r="M73" s="46">
        <f>0</f>
        <v>0</v>
      </c>
      <c r="N73" s="46">
        <f>0</f>
        <v>0</v>
      </c>
      <c r="O73" s="46">
        <f>0</f>
        <v>0</v>
      </c>
      <c r="P73" s="46">
        <f>0</f>
        <v>0</v>
      </c>
      <c r="Q73" s="46">
        <f>0</f>
        <v>0</v>
      </c>
      <c r="R73" s="46">
        <f>0</f>
        <v>0</v>
      </c>
      <c r="S73" s="46">
        <f>0</f>
        <v>0</v>
      </c>
      <c r="T73" s="46">
        <f>0</f>
        <v>0</v>
      </c>
      <c r="U73" s="46">
        <f>0</f>
        <v>0</v>
      </c>
      <c r="V73" s="46">
        <f>0</f>
        <v>0</v>
      </c>
      <c r="W73" s="46">
        <f>0</f>
        <v>0</v>
      </c>
      <c r="X73" s="46">
        <f>0</f>
        <v>0</v>
      </c>
      <c r="Y73" s="46">
        <f>0</f>
        <v>0</v>
      </c>
      <c r="Z73" s="46">
        <f>0</f>
        <v>0</v>
      </c>
      <c r="AA73" s="46">
        <f>0</f>
        <v>0</v>
      </c>
      <c r="AB73" s="46">
        <f>0</f>
        <v>0</v>
      </c>
      <c r="AC73" s="46">
        <f>0</f>
        <v>0</v>
      </c>
      <c r="AD73" s="46">
        <f>0</f>
        <v>0</v>
      </c>
      <c r="AE73" s="46">
        <f>0</f>
        <v>0</v>
      </c>
      <c r="AF73" s="46">
        <f>0</f>
        <v>0</v>
      </c>
      <c r="AG73" s="46">
        <f>0</f>
        <v>0</v>
      </c>
      <c r="AH73" s="46">
        <f>0</f>
        <v>0</v>
      </c>
      <c r="AI73" s="46">
        <f>0</f>
        <v>0</v>
      </c>
      <c r="AJ73" s="46">
        <f>0</f>
        <v>0</v>
      </c>
      <c r="AK73" s="46">
        <f>0</f>
        <v>0</v>
      </c>
      <c r="AL73" s="46">
        <f>0</f>
        <v>0</v>
      </c>
      <c r="AM73" s="46">
        <f>0</f>
        <v>0</v>
      </c>
      <c r="AN73" s="46">
        <f>0</f>
        <v>0</v>
      </c>
      <c r="AO73" s="35">
        <f>Transfers!AO10+Transfers!AO12</f>
        <v>62.210236475542601</v>
      </c>
      <c r="AP73" s="35">
        <f>Transfers!AP10+Transfers!AP12</f>
        <v>0</v>
      </c>
      <c r="AQ73" s="35">
        <f>Transfers!AQ10+Transfers!AQ12</f>
        <v>0</v>
      </c>
      <c r="AR73" s="35">
        <f>Transfers!AR10+Transfers!AR12</f>
        <v>0</v>
      </c>
      <c r="AS73" s="35">
        <f>Transfers!AS10+Transfers!AS12</f>
        <v>0</v>
      </c>
      <c r="AT73" s="35">
        <f>Transfers!AT10+Transfers!AT12</f>
        <v>0</v>
      </c>
      <c r="AU73" s="35">
        <f>Transfers!AU10+Transfers!AU12</f>
        <v>0</v>
      </c>
      <c r="AV73" s="35">
        <f>Transfers!AV10+Transfers!AV12</f>
        <v>0</v>
      </c>
      <c r="AW73" s="35">
        <f>Transfers!AW10+Transfers!AW12</f>
        <v>0</v>
      </c>
      <c r="AX73" s="35">
        <f>Transfers!AX10+Transfers!AX12</f>
        <v>0</v>
      </c>
      <c r="AY73" s="35">
        <f>Transfers!AY10+Transfers!AY12</f>
        <v>0</v>
      </c>
      <c r="AZ73" s="35">
        <f>Transfers!AZ10+Transfers!AZ12</f>
        <v>0</v>
      </c>
      <c r="BA73" s="46">
        <f>0</f>
        <v>0</v>
      </c>
      <c r="BB73" s="46">
        <f>0</f>
        <v>0</v>
      </c>
      <c r="BC73" s="46">
        <f>0</f>
        <v>0</v>
      </c>
      <c r="BD73" s="46">
        <f>0</f>
        <v>0</v>
      </c>
      <c r="BE73" s="46">
        <f>0</f>
        <v>0</v>
      </c>
      <c r="BF73" s="46">
        <f>0</f>
        <v>0</v>
      </c>
      <c r="BG73" s="46">
        <f>0</f>
        <v>0</v>
      </c>
      <c r="BH73" s="46">
        <f>0</f>
        <v>0</v>
      </c>
      <c r="BI73" s="46">
        <f>0</f>
        <v>0</v>
      </c>
      <c r="BJ73" s="46">
        <f>0</f>
        <v>0</v>
      </c>
      <c r="BK73" s="46">
        <f>0</f>
        <v>0</v>
      </c>
      <c r="BL73" s="46">
        <f>0</f>
        <v>0</v>
      </c>
      <c r="BM73" s="32"/>
      <c r="BN73" s="32"/>
    </row>
    <row r="74" spans="1:66" ht="20" customHeight="1">
      <c r="A74" s="30"/>
      <c r="B74" s="30"/>
      <c r="C74" s="31" t="s">
        <v>237</v>
      </c>
      <c r="D74" s="31"/>
      <c r="E74" s="35">
        <f>IF(0&lt;36,0,IF((Assumptions!H83*12)-(0-36)&gt;0,MIN(E72+E73,(E72+E73)/MAX(1,(Assumptions!H83*12)-(0-36))),E72+E73))</f>
        <v>0</v>
      </c>
      <c r="F74" s="35">
        <f>IF(1&lt;36,0,IF((Assumptions!H83*12)-(1-36)&gt;0,MIN(F72+F73,(F72+F73)/MAX(1,(Assumptions!H83*12)-(1-36))),F72+F73))</f>
        <v>0</v>
      </c>
      <c r="G74" s="35">
        <f>IF(2&lt;36,0,IF((Assumptions!H83*12)-(2-36)&gt;0,MIN(G72+G73,(G72+G73)/MAX(1,(Assumptions!H83*12)-(2-36))),G72+G73))</f>
        <v>0</v>
      </c>
      <c r="H74" s="35">
        <f>IF(3&lt;36,0,IF((Assumptions!H83*12)-(3-36)&gt;0,MIN(H72+H73,(H72+H73)/MAX(1,(Assumptions!H83*12)-(3-36))),H72+H73))</f>
        <v>0</v>
      </c>
      <c r="I74" s="35">
        <f>IF(4&lt;36,0,IF((Assumptions!H83*12)-(4-36)&gt;0,MIN(I72+I73,(I72+I73)/MAX(1,(Assumptions!H83*12)-(4-36))),I72+I73))</f>
        <v>0</v>
      </c>
      <c r="J74" s="35">
        <f>IF(5&lt;36,0,IF((Assumptions!H83*12)-(5-36)&gt;0,MIN(J72+J73,(J72+J73)/MAX(1,(Assumptions!H83*12)-(5-36))),J72+J73))</f>
        <v>0</v>
      </c>
      <c r="K74" s="35">
        <f>IF(6&lt;36,0,IF((Assumptions!H83*12)-(6-36)&gt;0,MIN(K72+K73,(K72+K73)/MAX(1,(Assumptions!H83*12)-(6-36))),K72+K73))</f>
        <v>0</v>
      </c>
      <c r="L74" s="35">
        <f>IF(7&lt;36,0,IF((Assumptions!H83*12)-(7-36)&gt;0,MIN(L72+L73,(L72+L73)/MAX(1,(Assumptions!H83*12)-(7-36))),L72+L73))</f>
        <v>0</v>
      </c>
      <c r="M74" s="35">
        <f>IF(8&lt;36,0,IF((Assumptions!H83*12)-(8-36)&gt;0,MIN(M72+M73,(M72+M73)/MAX(1,(Assumptions!H83*12)-(8-36))),M72+M73))</f>
        <v>0</v>
      </c>
      <c r="N74" s="35">
        <f>IF(9&lt;36,0,IF((Assumptions!H83*12)-(9-36)&gt;0,MIN(N72+N73,(N72+N73)/MAX(1,(Assumptions!H83*12)-(9-36))),N72+N73))</f>
        <v>0</v>
      </c>
      <c r="O74" s="35">
        <f>IF(10&lt;36,0,IF((Assumptions!H83*12)-(10-36)&gt;0,MIN(O72+O73,(O72+O73)/MAX(1,(Assumptions!H83*12)-(10-36))),O72+O73))</f>
        <v>0</v>
      </c>
      <c r="P74" s="35">
        <f>IF(11&lt;36,0,IF((Assumptions!H83*12)-(11-36)&gt;0,MIN(P72+P73,(P72+P73)/MAX(1,(Assumptions!H83*12)-(11-36))),P72+P73))</f>
        <v>0</v>
      </c>
      <c r="Q74" s="35">
        <f>IF(12&lt;36,0,IF((Assumptions!H83*12)-(12-36)&gt;0,MIN(Q72+Q73,(Q72+Q73)/MAX(1,(Assumptions!H83*12)-(12-36))),Q72+Q73))</f>
        <v>0</v>
      </c>
      <c r="R74" s="35">
        <f>IF(13&lt;36,0,IF((Assumptions!H83*12)-(13-36)&gt;0,MIN(R72+R73,(R72+R73)/MAX(1,(Assumptions!H83*12)-(13-36))),R72+R73))</f>
        <v>0</v>
      </c>
      <c r="S74" s="35">
        <f>IF(14&lt;36,0,IF((Assumptions!H83*12)-(14-36)&gt;0,MIN(S72+S73,(S72+S73)/MAX(1,(Assumptions!H83*12)-(14-36))),S72+S73))</f>
        <v>0</v>
      </c>
      <c r="T74" s="35">
        <f>IF(15&lt;36,0,IF((Assumptions!H83*12)-(15-36)&gt;0,MIN(T72+T73,(T72+T73)/MAX(1,(Assumptions!H83*12)-(15-36))),T72+T73))</f>
        <v>0</v>
      </c>
      <c r="U74" s="35">
        <f>IF(16&lt;36,0,IF((Assumptions!H83*12)-(16-36)&gt;0,MIN(U72+U73,(U72+U73)/MAX(1,(Assumptions!H83*12)-(16-36))),U72+U73))</f>
        <v>0</v>
      </c>
      <c r="V74" s="35">
        <f>IF(17&lt;36,0,IF((Assumptions!H83*12)-(17-36)&gt;0,MIN(V72+V73,(V72+V73)/MAX(1,(Assumptions!H83*12)-(17-36))),V72+V73))</f>
        <v>0</v>
      </c>
      <c r="W74" s="35">
        <f>IF(18&lt;36,0,IF((Assumptions!H83*12)-(18-36)&gt;0,MIN(W72+W73,(W72+W73)/MAX(1,(Assumptions!H83*12)-(18-36))),W72+W73))</f>
        <v>0</v>
      </c>
      <c r="X74" s="35">
        <f>IF(19&lt;36,0,IF((Assumptions!H83*12)-(19-36)&gt;0,MIN(X72+X73,(X72+X73)/MAX(1,(Assumptions!H83*12)-(19-36))),X72+X73))</f>
        <v>0</v>
      </c>
      <c r="Y74" s="35">
        <f>IF(20&lt;36,0,IF((Assumptions!H83*12)-(20-36)&gt;0,MIN(Y72+Y73,(Y72+Y73)/MAX(1,(Assumptions!H83*12)-(20-36))),Y72+Y73))</f>
        <v>0</v>
      </c>
      <c r="Z74" s="35">
        <f>IF(21&lt;36,0,IF((Assumptions!H83*12)-(21-36)&gt;0,MIN(Z72+Z73,(Z72+Z73)/MAX(1,(Assumptions!H83*12)-(21-36))),Z72+Z73))</f>
        <v>0</v>
      </c>
      <c r="AA74" s="35">
        <f>IF(22&lt;36,0,IF((Assumptions!H83*12)-(22-36)&gt;0,MIN(AA72+AA73,(AA72+AA73)/MAX(1,(Assumptions!H83*12)-(22-36))),AA72+AA73))</f>
        <v>0</v>
      </c>
      <c r="AB74" s="35">
        <f>IF(23&lt;36,0,IF((Assumptions!H83*12)-(23-36)&gt;0,MIN(AB72+AB73,(AB72+AB73)/MAX(1,(Assumptions!H83*12)-(23-36))),AB72+AB73))</f>
        <v>0</v>
      </c>
      <c r="AC74" s="35">
        <f>IF(24&lt;36,0,IF((Assumptions!H83*12)-(24-36)&gt;0,MIN(AC72+AC73,(AC72+AC73)/MAX(1,(Assumptions!H83*12)-(24-36))),AC72+AC73))</f>
        <v>0</v>
      </c>
      <c r="AD74" s="35">
        <f>IF(25&lt;36,0,IF((Assumptions!H83*12)-(25-36)&gt;0,MIN(AD72+AD73,(AD72+AD73)/MAX(1,(Assumptions!H83*12)-(25-36))),AD72+AD73))</f>
        <v>0</v>
      </c>
      <c r="AE74" s="35">
        <f>IF(26&lt;36,0,IF((Assumptions!H83*12)-(26-36)&gt;0,MIN(AE72+AE73,(AE72+AE73)/MAX(1,(Assumptions!H83*12)-(26-36))),AE72+AE73))</f>
        <v>0</v>
      </c>
      <c r="AF74" s="35">
        <f>IF(27&lt;36,0,IF((Assumptions!H83*12)-(27-36)&gt;0,MIN(AF72+AF73,(AF72+AF73)/MAX(1,(Assumptions!H83*12)-(27-36))),AF72+AF73))</f>
        <v>0</v>
      </c>
      <c r="AG74" s="35">
        <f>IF(28&lt;36,0,IF((Assumptions!H83*12)-(28-36)&gt;0,MIN(AG72+AG73,(AG72+AG73)/MAX(1,(Assumptions!H83*12)-(28-36))),AG72+AG73))</f>
        <v>0</v>
      </c>
      <c r="AH74" s="35">
        <f>IF(29&lt;36,0,IF((Assumptions!H83*12)-(29-36)&gt;0,MIN(AH72+AH73,(AH72+AH73)/MAX(1,(Assumptions!H83*12)-(29-36))),AH72+AH73))</f>
        <v>0</v>
      </c>
      <c r="AI74" s="35">
        <f>IF(30&lt;36,0,IF((Assumptions!H83*12)-(30-36)&gt;0,MIN(AI72+AI73,(AI72+AI73)/MAX(1,(Assumptions!H83*12)-(30-36))),AI72+AI73))</f>
        <v>0</v>
      </c>
      <c r="AJ74" s="35">
        <f>IF(31&lt;36,0,IF((Assumptions!H83*12)-(31-36)&gt;0,MIN(AJ72+AJ73,(AJ72+AJ73)/MAX(1,(Assumptions!H83*12)-(31-36))),AJ72+AJ73))</f>
        <v>0</v>
      </c>
      <c r="AK74" s="35">
        <f>IF(32&lt;36,0,IF((Assumptions!H83*12)-(32-36)&gt;0,MIN(AK72+AK73,(AK72+AK73)/MAX(1,(Assumptions!H83*12)-(32-36))),AK72+AK73))</f>
        <v>0</v>
      </c>
      <c r="AL74" s="35">
        <f>IF(33&lt;36,0,IF((Assumptions!H83*12)-(33-36)&gt;0,MIN(AL72+AL73,(AL72+AL73)/MAX(1,(Assumptions!H83*12)-(33-36))),AL72+AL73))</f>
        <v>0</v>
      </c>
      <c r="AM74" s="35">
        <f>IF(34&lt;36,0,IF((Assumptions!H83*12)-(34-36)&gt;0,MIN(AM72+AM73,(AM72+AM73)/MAX(1,(Assumptions!H83*12)-(34-36))),AM72+AM73))</f>
        <v>0</v>
      </c>
      <c r="AN74" s="35">
        <f>IF(35&lt;36,0,IF((Assumptions!H83*12)-(35-36)&gt;0,MIN(AN72+AN73,(AN72+AN73)/MAX(1,(Assumptions!H83*12)-(35-36))),AN72+AN73))</f>
        <v>0</v>
      </c>
      <c r="AO74" s="35">
        <f>IF(36&lt;36,0,IF((Assumptions!H83*12)-(36-36)&gt;0,MIN(AO72+AO73,(AO72+AO73)/MAX(1,(Assumptions!H83*12)-(36-36))),AO72+AO73))</f>
        <v>1.0368372745923766</v>
      </c>
      <c r="AP74" s="35">
        <f>IF(37&lt;36,0,IF((Assumptions!H83*12)-(37-36)&gt;0,MIN(AP72+AP73,(AP72+AP73)/MAX(1,(Assumptions!H83*12)-(37-36))),AP72+AP73))</f>
        <v>1.0368372745923766</v>
      </c>
      <c r="AQ74" s="35">
        <f>IF(38&lt;36,0,IF((Assumptions!H83*12)-(38-36)&gt;0,MIN(AQ72+AQ73,(AQ72+AQ73)/MAX(1,(Assumptions!H83*12)-(38-36))),AQ72+AQ73))</f>
        <v>0.98191585635673939</v>
      </c>
      <c r="AR74" s="35">
        <f>IF(39&lt;36,0,IF((Assumptions!H83*12)-(39-36)&gt;0,MIN(AR72+AR73,(AR72+AR73)/MAX(1,(Assumptions!H83*12)-(39-36))),AR72+AR73))</f>
        <v>0.98191585635673939</v>
      </c>
      <c r="AS74" s="35">
        <f>IF(40&lt;36,0,IF((Assumptions!H83*12)-(40-36)&gt;0,MIN(AS72+AS73,(AS72+AS73)/MAX(1,(Assumptions!H83*12)-(40-36))),AS72+AS73))</f>
        <v>0.98191585635673928</v>
      </c>
      <c r="AT74" s="35">
        <f>IF(41&lt;36,0,IF((Assumptions!H83*12)-(41-36)&gt;0,MIN(AT72+AT73,(AT72+AT73)/MAX(1,(Assumptions!H83*12)-(41-36))),AT72+AT73))</f>
        <v>0.98191585635673928</v>
      </c>
      <c r="AU74" s="35">
        <f>IF(42&lt;36,0,IF((Assumptions!H83*12)-(42-36)&gt;0,MIN(AU72+AU73,(AU72+AU73)/MAX(1,(Assumptions!H83*12)-(42-36))),AU72+AU73))</f>
        <v>0.98191585635673917</v>
      </c>
      <c r="AV74" s="35">
        <f>IF(43&lt;36,0,IF((Assumptions!H83*12)-(43-36)&gt;0,MIN(AV72+AV73,(AV72+AV73)/MAX(1,(Assumptions!H83*12)-(43-36))),AV72+AV73))</f>
        <v>0.98191585635673906</v>
      </c>
      <c r="AW74" s="35">
        <f>IF(44&lt;36,0,IF((Assumptions!H83*12)-(44-36)&gt;0,MIN(AW72+AW73,(AW72+AW73)/MAX(1,(Assumptions!H83*12)-(44-36))),AW72+AW73))</f>
        <v>0.98191585635673917</v>
      </c>
      <c r="AX74" s="35">
        <f>IF(45&lt;36,0,IF((Assumptions!H83*12)-(45-36)&gt;0,MIN(AX72+AX73,(AX72+AX73)/MAX(1,(Assumptions!H83*12)-(45-36))),AX72+AX73))</f>
        <v>0.98191585635673928</v>
      </c>
      <c r="AY74" s="35">
        <f>IF(46&lt;36,0,IF((Assumptions!H83*12)-(46-36)&gt;0,MIN(AY72+AY73,(AY72+AY73)/MAX(1,(Assumptions!H83*12)-(46-36))),AY72+AY73))</f>
        <v>0.98191585635673917</v>
      </c>
      <c r="AZ74" s="35">
        <f>IF(47&lt;36,0,IF((Assumptions!H83*12)-(47-36)&gt;0,MIN(AZ72+AZ73,(AZ72+AZ73)/MAX(1,(Assumptions!H83*12)-(47-36))),AZ72+AZ73))</f>
        <v>0.98191585635673906</v>
      </c>
      <c r="BA74" s="35">
        <f>IF(48&lt;36,0,IF((Assumptions!H83*12)-(48-36)&gt;0,MIN(BA72+BA73,(BA72+BA73)/MAX(1,(Assumptions!H83*12)-(48-36))),BA72+BA73))</f>
        <v>0.98191585635673917</v>
      </c>
      <c r="BB74" s="35">
        <f>IF(49&lt;36,0,IF((Assumptions!H83*12)-(49-36)&gt;0,MIN(BB72+BB73,(BB72+BB73)/MAX(1,(Assumptions!H83*12)-(49-36))),BB72+BB73))</f>
        <v>0.98191585635673928</v>
      </c>
      <c r="BC74" s="35">
        <f>IF(50&lt;36,0,IF((Assumptions!H83*12)-(50-36)&gt;0,MIN(BC72+BC73,(BC72+BC73)/MAX(1,(Assumptions!H83*12)-(50-36))),BC72+BC73))</f>
        <v>0.91387760599854739</v>
      </c>
      <c r="BD74" s="35">
        <f>IF(51&lt;36,0,IF((Assumptions!H83*12)-(51-36)&gt;0,MIN(BD72+BD73,(BD72+BD73)/MAX(1,(Assumptions!H83*12)-(51-36))),BD72+BD73))</f>
        <v>0.91387760599854728</v>
      </c>
      <c r="BE74" s="35">
        <f>IF(52&lt;36,0,IF((Assumptions!H83*12)-(52-36)&gt;0,MIN(BE72+BE73,(BE72+BE73)/MAX(1,(Assumptions!H83*12)-(52-36))),BE72+BE73))</f>
        <v>0.91387760599854717</v>
      </c>
      <c r="BF74" s="35">
        <f>IF(53&lt;36,0,IF((Assumptions!H83*12)-(53-36)&gt;0,MIN(BF72+BF73,(BF72+BF73)/MAX(1,(Assumptions!H83*12)-(53-36))),BF72+BF73))</f>
        <v>0.91387760599854717</v>
      </c>
      <c r="BG74" s="35">
        <f>IF(54&lt;36,0,IF((Assumptions!H83*12)-(54-36)&gt;0,MIN(BG72+BG73,(BG72+BG73)/MAX(1,(Assumptions!H83*12)-(54-36))),BG72+BG73))</f>
        <v>0.91387760599854706</v>
      </c>
      <c r="BH74" s="35">
        <f>IF(55&lt;36,0,IF((Assumptions!H83*12)-(55-36)&gt;0,MIN(BH72+BH73,(BH72+BH73)/MAX(1,(Assumptions!H83*12)-(55-36))),BH72+BH73))</f>
        <v>0.91387760599854695</v>
      </c>
      <c r="BI74" s="35">
        <f>IF(56&lt;36,0,IF((Assumptions!H83*12)-(56-36)&gt;0,MIN(BI72+BI73,(BI72+BI73)/MAX(1,(Assumptions!H83*12)-(56-36))),BI72+BI73))</f>
        <v>0.91387760599854695</v>
      </c>
      <c r="BJ74" s="35">
        <f>IF(57&lt;36,0,IF((Assumptions!H83*12)-(57-36)&gt;0,MIN(BJ72+BJ73,(BJ72+BJ73)/MAX(1,(Assumptions!H83*12)-(57-36))),BJ72+BJ73))</f>
        <v>0.91387760599854684</v>
      </c>
      <c r="BK74" s="35">
        <f>IF(58&lt;36,0,IF((Assumptions!H83*12)-(58-36)&gt;0,MIN(BK72+BK73,(BK72+BK73)/MAX(1,(Assumptions!H83*12)-(58-36))),BK72+BK73))</f>
        <v>0.91387760599854673</v>
      </c>
      <c r="BL74" s="35">
        <f>IF(59&lt;36,0,IF((Assumptions!H83*12)-(59-36)&gt;0,MIN(BL72+BL73,(BL72+BL73)/MAX(1,(Assumptions!H83*12)-(59-36))),BL72+BL73))</f>
        <v>0.91387760599854684</v>
      </c>
      <c r="BM74" s="32"/>
      <c r="BN74" s="32"/>
    </row>
    <row r="75" spans="1:66" ht="20" customHeight="1">
      <c r="A75" s="30"/>
      <c r="B75" s="30"/>
      <c r="C75" s="31" t="s">
        <v>238</v>
      </c>
      <c r="D75" s="31"/>
      <c r="E75" s="46">
        <f t="shared" ref="E75:AJ75" si="56">E72+E73-E74</f>
        <v>0</v>
      </c>
      <c r="F75" s="46">
        <f t="shared" si="56"/>
        <v>0</v>
      </c>
      <c r="G75" s="46">
        <f t="shared" si="56"/>
        <v>0</v>
      </c>
      <c r="H75" s="46">
        <f t="shared" si="56"/>
        <v>0</v>
      </c>
      <c r="I75" s="46">
        <f t="shared" si="56"/>
        <v>0</v>
      </c>
      <c r="J75" s="46">
        <f t="shared" si="56"/>
        <v>0</v>
      </c>
      <c r="K75" s="46">
        <f t="shared" si="56"/>
        <v>0</v>
      </c>
      <c r="L75" s="46">
        <f t="shared" si="56"/>
        <v>0</v>
      </c>
      <c r="M75" s="46">
        <f t="shared" si="56"/>
        <v>0</v>
      </c>
      <c r="N75" s="46">
        <f t="shared" si="56"/>
        <v>0</v>
      </c>
      <c r="O75" s="46">
        <f t="shared" si="56"/>
        <v>0</v>
      </c>
      <c r="P75" s="46">
        <f t="shared" si="56"/>
        <v>0</v>
      </c>
      <c r="Q75" s="46">
        <f t="shared" si="56"/>
        <v>0</v>
      </c>
      <c r="R75" s="46">
        <f t="shared" si="56"/>
        <v>0</v>
      </c>
      <c r="S75" s="46">
        <f t="shared" si="56"/>
        <v>0</v>
      </c>
      <c r="T75" s="46">
        <f t="shared" si="56"/>
        <v>0</v>
      </c>
      <c r="U75" s="46">
        <f t="shared" si="56"/>
        <v>0</v>
      </c>
      <c r="V75" s="46">
        <f t="shared" si="56"/>
        <v>0</v>
      </c>
      <c r="W75" s="46">
        <f t="shared" si="56"/>
        <v>0</v>
      </c>
      <c r="X75" s="46">
        <f t="shared" si="56"/>
        <v>0</v>
      </c>
      <c r="Y75" s="46">
        <f t="shared" si="56"/>
        <v>0</v>
      </c>
      <c r="Z75" s="46">
        <f t="shared" si="56"/>
        <v>0</v>
      </c>
      <c r="AA75" s="46">
        <f t="shared" si="56"/>
        <v>0</v>
      </c>
      <c r="AB75" s="46">
        <f t="shared" si="56"/>
        <v>0</v>
      </c>
      <c r="AC75" s="46">
        <f t="shared" si="56"/>
        <v>0</v>
      </c>
      <c r="AD75" s="46">
        <f t="shared" si="56"/>
        <v>0</v>
      </c>
      <c r="AE75" s="46">
        <f t="shared" si="56"/>
        <v>0</v>
      </c>
      <c r="AF75" s="46">
        <f t="shared" si="56"/>
        <v>0</v>
      </c>
      <c r="AG75" s="46">
        <f t="shared" si="56"/>
        <v>0</v>
      </c>
      <c r="AH75" s="46">
        <f t="shared" si="56"/>
        <v>0</v>
      </c>
      <c r="AI75" s="46">
        <f t="shared" si="56"/>
        <v>0</v>
      </c>
      <c r="AJ75" s="46">
        <f t="shared" si="56"/>
        <v>0</v>
      </c>
      <c r="AK75" s="46">
        <f t="shared" ref="AK75:BP75" si="57">AK72+AK73-AK74</f>
        <v>0</v>
      </c>
      <c r="AL75" s="46">
        <f t="shared" si="57"/>
        <v>0</v>
      </c>
      <c r="AM75" s="46">
        <f t="shared" si="57"/>
        <v>0</v>
      </c>
      <c r="AN75" s="46">
        <f t="shared" si="57"/>
        <v>0</v>
      </c>
      <c r="AO75" s="46">
        <f t="shared" si="57"/>
        <v>61.173399200950222</v>
      </c>
      <c r="AP75" s="46">
        <f t="shared" si="57"/>
        <v>60.136561926357842</v>
      </c>
      <c r="AQ75" s="46">
        <f t="shared" si="57"/>
        <v>55.969203812334143</v>
      </c>
      <c r="AR75" s="46">
        <f t="shared" si="57"/>
        <v>54.987287955977401</v>
      </c>
      <c r="AS75" s="46">
        <f t="shared" si="57"/>
        <v>54.005372099620658</v>
      </c>
      <c r="AT75" s="46">
        <f t="shared" si="57"/>
        <v>53.023456243263915</v>
      </c>
      <c r="AU75" s="46">
        <f t="shared" si="57"/>
        <v>52.041540386907172</v>
      </c>
      <c r="AV75" s="46">
        <f t="shared" si="57"/>
        <v>51.059624530550437</v>
      </c>
      <c r="AW75" s="46">
        <f t="shared" si="57"/>
        <v>50.077708674193701</v>
      </c>
      <c r="AX75" s="46">
        <f t="shared" si="57"/>
        <v>49.095792817836958</v>
      </c>
      <c r="AY75" s="46">
        <f t="shared" si="57"/>
        <v>48.113876961480216</v>
      </c>
      <c r="AZ75" s="46">
        <f t="shared" si="57"/>
        <v>47.13196110512348</v>
      </c>
      <c r="BA75" s="46">
        <f t="shared" si="57"/>
        <v>46.150045248766745</v>
      </c>
      <c r="BB75" s="46">
        <f t="shared" si="57"/>
        <v>45.168129392410002</v>
      </c>
      <c r="BC75" s="46">
        <f t="shared" si="57"/>
        <v>41.124492269934628</v>
      </c>
      <c r="BD75" s="46">
        <f t="shared" si="57"/>
        <v>40.210614663936077</v>
      </c>
      <c r="BE75" s="46">
        <f t="shared" si="57"/>
        <v>39.296737057937527</v>
      </c>
      <c r="BF75" s="46">
        <f t="shared" si="57"/>
        <v>38.382859451938977</v>
      </c>
      <c r="BG75" s="46">
        <f t="shared" si="57"/>
        <v>37.468981845940426</v>
      </c>
      <c r="BH75" s="46">
        <f t="shared" si="57"/>
        <v>36.555104239941876</v>
      </c>
      <c r="BI75" s="46">
        <f t="shared" si="57"/>
        <v>35.641226633943326</v>
      </c>
      <c r="BJ75" s="46">
        <f t="shared" si="57"/>
        <v>34.727349027944776</v>
      </c>
      <c r="BK75" s="46">
        <f t="shared" si="57"/>
        <v>33.813471421946232</v>
      </c>
      <c r="BL75" s="46">
        <f t="shared" si="57"/>
        <v>32.899593815947682</v>
      </c>
      <c r="BM75" s="32"/>
      <c r="BN75" s="32"/>
    </row>
    <row r="76" spans="1:66" ht="20" customHeight="1">
      <c r="A76" s="30"/>
      <c r="B76" s="30"/>
      <c r="C76" s="31" t="s">
        <v>239</v>
      </c>
      <c r="D76" s="31"/>
      <c r="E76" s="35">
        <f>IF(E91&gt;0,E75/E91*Transfers!E24,0)</f>
        <v>0</v>
      </c>
      <c r="F76" s="35">
        <f>IF(F91&gt;0,F75/F91*Transfers!F24,0)</f>
        <v>0</v>
      </c>
      <c r="G76" s="35">
        <f>IF(G91&gt;0,G75/G91*Transfers!G24,0)</f>
        <v>0</v>
      </c>
      <c r="H76" s="35">
        <f>IF(H91&gt;0,H75/H91*Transfers!H24,0)</f>
        <v>0</v>
      </c>
      <c r="I76" s="35">
        <f>IF(I91&gt;0,I75/I91*Transfers!I24,0)</f>
        <v>0</v>
      </c>
      <c r="J76" s="35">
        <f>IF(J91&gt;0,J75/J91*Transfers!J24,0)</f>
        <v>0</v>
      </c>
      <c r="K76" s="35">
        <f>IF(K91&gt;0,K75/K91*Transfers!K24,0)</f>
        <v>0</v>
      </c>
      <c r="L76" s="35">
        <f>IF(L91&gt;0,L75/L91*Transfers!L24,0)</f>
        <v>0</v>
      </c>
      <c r="M76" s="35">
        <f>IF(M91&gt;0,M75/M91*Transfers!M24,0)</f>
        <v>0</v>
      </c>
      <c r="N76" s="35">
        <f>IF(N91&gt;0,N75/N91*Transfers!N24,0)</f>
        <v>0</v>
      </c>
      <c r="O76" s="35">
        <f>IF(O91&gt;0,O75/O91*Transfers!O24,0)</f>
        <v>0</v>
      </c>
      <c r="P76" s="35">
        <f>IF(P91&gt;0,P75/P91*Transfers!P24,0)</f>
        <v>0</v>
      </c>
      <c r="Q76" s="35">
        <f>IF(Q91&gt;0,Q75/Q91*Transfers!Q24,0)</f>
        <v>0</v>
      </c>
      <c r="R76" s="35">
        <f>IF(R91&gt;0,R75/R91*Transfers!R24,0)</f>
        <v>0</v>
      </c>
      <c r="S76" s="35">
        <f>IF(S91&gt;0,S75/S91*Transfers!S24,0)</f>
        <v>0</v>
      </c>
      <c r="T76" s="35">
        <f>IF(T91&gt;0,T75/T91*Transfers!T24,0)</f>
        <v>0</v>
      </c>
      <c r="U76" s="35">
        <f>IF(U91&gt;0,U75/U91*Transfers!U24,0)</f>
        <v>0</v>
      </c>
      <c r="V76" s="35">
        <f>IF(V91&gt;0,V75/V91*Transfers!V24,0)</f>
        <v>0</v>
      </c>
      <c r="W76" s="35">
        <f>IF(W91&gt;0,W75/W91*Transfers!W24,0)</f>
        <v>0</v>
      </c>
      <c r="X76" s="35">
        <f>IF(X91&gt;0,X75/X91*Transfers!X24,0)</f>
        <v>0</v>
      </c>
      <c r="Y76" s="35">
        <f>IF(Y91&gt;0,Y75/Y91*Transfers!Y24,0)</f>
        <v>0</v>
      </c>
      <c r="Z76" s="35">
        <f>IF(Z91&gt;0,Z75/Z91*Transfers!Z24,0)</f>
        <v>0</v>
      </c>
      <c r="AA76" s="35">
        <f>IF(AA91&gt;0,AA75/AA91*Transfers!AA24,0)</f>
        <v>0</v>
      </c>
      <c r="AB76" s="35">
        <f>IF(AB91&gt;0,AB75/AB91*Transfers!AB24,0)</f>
        <v>0</v>
      </c>
      <c r="AC76" s="35">
        <f>IF(AC91&gt;0,AC75/AC91*Transfers!AC24,0)</f>
        <v>0</v>
      </c>
      <c r="AD76" s="35">
        <f>IF(AD91&gt;0,AD75/AD91*Transfers!AD24,0)</f>
        <v>0</v>
      </c>
      <c r="AE76" s="35">
        <f>IF(AE91&gt;0,AE75/AE91*Transfers!AE24,0)</f>
        <v>0</v>
      </c>
      <c r="AF76" s="35">
        <f>IF(AF91&gt;0,AF75/AF91*Transfers!AF24,0)</f>
        <v>0</v>
      </c>
      <c r="AG76" s="35">
        <f>IF(AG91&gt;0,AG75/AG91*Transfers!AG24,0)</f>
        <v>0</v>
      </c>
      <c r="AH76" s="35">
        <f>IF(AH91&gt;0,AH75/AH91*Transfers!AH24,0)</f>
        <v>0</v>
      </c>
      <c r="AI76" s="35">
        <f>IF(AI91&gt;0,AI75/AI91*Transfers!AI24,0)</f>
        <v>0</v>
      </c>
      <c r="AJ76" s="35">
        <f>IF(AJ91&gt;0,AJ75/AJ91*Transfers!AJ24,0)</f>
        <v>0</v>
      </c>
      <c r="AK76" s="35">
        <f>IF(AK91&gt;0,AK75/AK91*Transfers!AK24,0)</f>
        <v>0</v>
      </c>
      <c r="AL76" s="35">
        <f>IF(AL91&gt;0,AL75/AL91*Transfers!AL24,0)</f>
        <v>0</v>
      </c>
      <c r="AM76" s="35">
        <f>IF(AM91&gt;0,AM75/AM91*Transfers!AM24,0)</f>
        <v>0</v>
      </c>
      <c r="AN76" s="35">
        <f>IF(AN91&gt;0,AN75/AN91*Transfers!AN24,0)</f>
        <v>0</v>
      </c>
      <c r="AO76" s="35">
        <f>IF(AO91&gt;0,AO75/AO91*Transfers!AO24,0)</f>
        <v>0</v>
      </c>
      <c r="AP76" s="35">
        <f>IF(AP91&gt;0,AP75/AP91*Transfers!AP24,0)</f>
        <v>3.1854422576669532</v>
      </c>
      <c r="AQ76" s="35">
        <f>IF(AQ91&gt;0,AQ75/AQ91*Transfers!AQ24,0)</f>
        <v>0</v>
      </c>
      <c r="AR76" s="35">
        <f>IF(AR91&gt;0,AR75/AR91*Transfers!AR24,0)</f>
        <v>0</v>
      </c>
      <c r="AS76" s="35">
        <f>IF(AS91&gt;0,AS75/AS91*Transfers!AS24,0)</f>
        <v>0</v>
      </c>
      <c r="AT76" s="35">
        <f>IF(AT91&gt;0,AT75/AT91*Transfers!AT24,0)</f>
        <v>0</v>
      </c>
      <c r="AU76" s="35">
        <f>IF(AU91&gt;0,AU75/AU91*Transfers!AU24,0)</f>
        <v>0</v>
      </c>
      <c r="AV76" s="35">
        <f>IF(AV91&gt;0,AV75/AV91*Transfers!AV24,0)</f>
        <v>0</v>
      </c>
      <c r="AW76" s="35">
        <f>IF(AW91&gt;0,AW75/AW91*Transfers!AW24,0)</f>
        <v>0</v>
      </c>
      <c r="AX76" s="35">
        <f>IF(AX91&gt;0,AX75/AX91*Transfers!AX24,0)</f>
        <v>0</v>
      </c>
      <c r="AY76" s="35">
        <f>IF(AY91&gt;0,AY75/AY91*Transfers!AY24,0)</f>
        <v>0</v>
      </c>
      <c r="AZ76" s="35">
        <f>IF(AZ91&gt;0,AZ75/AZ91*Transfers!AZ24,0)</f>
        <v>0</v>
      </c>
      <c r="BA76" s="35">
        <f>IF(BA91&gt;0,BA75/BA91*Transfers!BA24,0)</f>
        <v>0</v>
      </c>
      <c r="BB76" s="35">
        <f>IF(BB91&gt;0,BB75/BB91*Transfers!BB24,0)</f>
        <v>3.129759516476823</v>
      </c>
      <c r="BC76" s="35">
        <f>IF(BC91&gt;0,BC75/BC91*Transfers!BC24,0)</f>
        <v>0</v>
      </c>
      <c r="BD76" s="35">
        <f>IF(BD91&gt;0,BD75/BD91*Transfers!BD24,0)</f>
        <v>0</v>
      </c>
      <c r="BE76" s="35">
        <f>IF(BE91&gt;0,BE75/BE91*Transfers!BE24,0)</f>
        <v>0</v>
      </c>
      <c r="BF76" s="35">
        <f>IF(BF91&gt;0,BF75/BF91*Transfers!BF24,0)</f>
        <v>0</v>
      </c>
      <c r="BG76" s="35">
        <f>IF(BG91&gt;0,BG75/BG91*Transfers!BG24,0)</f>
        <v>0</v>
      </c>
      <c r="BH76" s="35">
        <f>IF(BH91&gt;0,BH75/BH91*Transfers!BH24,0)</f>
        <v>0</v>
      </c>
      <c r="BI76" s="35">
        <f>IF(BI91&gt;0,BI75/BI91*Transfers!BI24,0)</f>
        <v>0</v>
      </c>
      <c r="BJ76" s="35">
        <f>IF(BJ91&gt;0,BJ75/BJ91*Transfers!BJ24,0)</f>
        <v>0</v>
      </c>
      <c r="BK76" s="35">
        <f>IF(BK91&gt;0,BK75/BK91*Transfers!BK24,0)</f>
        <v>0</v>
      </c>
      <c r="BL76" s="35">
        <f>IF(BL91&gt;0,BL75/BL91*Transfers!BL24,0)</f>
        <v>0</v>
      </c>
      <c r="BM76" s="32"/>
      <c r="BN76" s="32"/>
    </row>
    <row r="77" spans="1:66" ht="20" customHeight="1">
      <c r="A77" s="30"/>
      <c r="B77" s="30"/>
      <c r="C77" s="31" t="s">
        <v>240</v>
      </c>
      <c r="D77" s="31"/>
      <c r="E77" s="46">
        <f t="shared" ref="E77:AJ77" si="58">E75-E76</f>
        <v>0</v>
      </c>
      <c r="F77" s="46">
        <f t="shared" si="58"/>
        <v>0</v>
      </c>
      <c r="G77" s="46">
        <f t="shared" si="58"/>
        <v>0</v>
      </c>
      <c r="H77" s="46">
        <f t="shared" si="58"/>
        <v>0</v>
      </c>
      <c r="I77" s="46">
        <f t="shared" si="58"/>
        <v>0</v>
      </c>
      <c r="J77" s="46">
        <f t="shared" si="58"/>
        <v>0</v>
      </c>
      <c r="K77" s="46">
        <f t="shared" si="58"/>
        <v>0</v>
      </c>
      <c r="L77" s="46">
        <f t="shared" si="58"/>
        <v>0</v>
      </c>
      <c r="M77" s="46">
        <f t="shared" si="58"/>
        <v>0</v>
      </c>
      <c r="N77" s="46">
        <f t="shared" si="58"/>
        <v>0</v>
      </c>
      <c r="O77" s="46">
        <f t="shared" si="58"/>
        <v>0</v>
      </c>
      <c r="P77" s="46">
        <f t="shared" si="58"/>
        <v>0</v>
      </c>
      <c r="Q77" s="46">
        <f t="shared" si="58"/>
        <v>0</v>
      </c>
      <c r="R77" s="46">
        <f t="shared" si="58"/>
        <v>0</v>
      </c>
      <c r="S77" s="46">
        <f t="shared" si="58"/>
        <v>0</v>
      </c>
      <c r="T77" s="46">
        <f t="shared" si="58"/>
        <v>0</v>
      </c>
      <c r="U77" s="46">
        <f t="shared" si="58"/>
        <v>0</v>
      </c>
      <c r="V77" s="46">
        <f t="shared" si="58"/>
        <v>0</v>
      </c>
      <c r="W77" s="46">
        <f t="shared" si="58"/>
        <v>0</v>
      </c>
      <c r="X77" s="46">
        <f t="shared" si="58"/>
        <v>0</v>
      </c>
      <c r="Y77" s="46">
        <f t="shared" si="58"/>
        <v>0</v>
      </c>
      <c r="Z77" s="46">
        <f t="shared" si="58"/>
        <v>0</v>
      </c>
      <c r="AA77" s="46">
        <f t="shared" si="58"/>
        <v>0</v>
      </c>
      <c r="AB77" s="46">
        <f t="shared" si="58"/>
        <v>0</v>
      </c>
      <c r="AC77" s="46">
        <f t="shared" si="58"/>
        <v>0</v>
      </c>
      <c r="AD77" s="46">
        <f t="shared" si="58"/>
        <v>0</v>
      </c>
      <c r="AE77" s="46">
        <f t="shared" si="58"/>
        <v>0</v>
      </c>
      <c r="AF77" s="46">
        <f t="shared" si="58"/>
        <v>0</v>
      </c>
      <c r="AG77" s="46">
        <f t="shared" si="58"/>
        <v>0</v>
      </c>
      <c r="AH77" s="46">
        <f t="shared" si="58"/>
        <v>0</v>
      </c>
      <c r="AI77" s="46">
        <f t="shared" si="58"/>
        <v>0</v>
      </c>
      <c r="AJ77" s="46">
        <f t="shared" si="58"/>
        <v>0</v>
      </c>
      <c r="AK77" s="46">
        <f t="shared" ref="AK77:BP77" si="59">AK75-AK76</f>
        <v>0</v>
      </c>
      <c r="AL77" s="46">
        <f t="shared" si="59"/>
        <v>0</v>
      </c>
      <c r="AM77" s="46">
        <f t="shared" si="59"/>
        <v>0</v>
      </c>
      <c r="AN77" s="46">
        <f t="shared" si="59"/>
        <v>0</v>
      </c>
      <c r="AO77" s="46">
        <f t="shared" si="59"/>
        <v>61.173399200950222</v>
      </c>
      <c r="AP77" s="46">
        <f t="shared" si="59"/>
        <v>56.951119668690886</v>
      </c>
      <c r="AQ77" s="46">
        <f t="shared" si="59"/>
        <v>55.969203812334143</v>
      </c>
      <c r="AR77" s="46">
        <f t="shared" si="59"/>
        <v>54.987287955977401</v>
      </c>
      <c r="AS77" s="46">
        <f t="shared" si="59"/>
        <v>54.005372099620658</v>
      </c>
      <c r="AT77" s="46">
        <f t="shared" si="59"/>
        <v>53.023456243263915</v>
      </c>
      <c r="AU77" s="46">
        <f t="shared" si="59"/>
        <v>52.041540386907172</v>
      </c>
      <c r="AV77" s="46">
        <f t="shared" si="59"/>
        <v>51.059624530550437</v>
      </c>
      <c r="AW77" s="46">
        <f t="shared" si="59"/>
        <v>50.077708674193701</v>
      </c>
      <c r="AX77" s="46">
        <f t="shared" si="59"/>
        <v>49.095792817836958</v>
      </c>
      <c r="AY77" s="46">
        <f t="shared" si="59"/>
        <v>48.113876961480216</v>
      </c>
      <c r="AZ77" s="46">
        <f t="shared" si="59"/>
        <v>47.13196110512348</v>
      </c>
      <c r="BA77" s="46">
        <f t="shared" si="59"/>
        <v>46.150045248766745</v>
      </c>
      <c r="BB77" s="46">
        <f t="shared" si="59"/>
        <v>42.038369875933178</v>
      </c>
      <c r="BC77" s="46">
        <f t="shared" si="59"/>
        <v>41.124492269934628</v>
      </c>
      <c r="BD77" s="46">
        <f t="shared" si="59"/>
        <v>40.210614663936077</v>
      </c>
      <c r="BE77" s="46">
        <f t="shared" si="59"/>
        <v>39.296737057937527</v>
      </c>
      <c r="BF77" s="46">
        <f t="shared" si="59"/>
        <v>38.382859451938977</v>
      </c>
      <c r="BG77" s="46">
        <f t="shared" si="59"/>
        <v>37.468981845940426</v>
      </c>
      <c r="BH77" s="46">
        <f t="shared" si="59"/>
        <v>36.555104239941876</v>
      </c>
      <c r="BI77" s="46">
        <f t="shared" si="59"/>
        <v>35.641226633943326</v>
      </c>
      <c r="BJ77" s="46">
        <f t="shared" si="59"/>
        <v>34.727349027944776</v>
      </c>
      <c r="BK77" s="46">
        <f t="shared" si="59"/>
        <v>33.813471421946232</v>
      </c>
      <c r="BL77" s="46">
        <f t="shared" si="59"/>
        <v>32.899593815947682</v>
      </c>
      <c r="BM77" s="32"/>
      <c r="BN77" s="32"/>
    </row>
    <row r="78" spans="1:66" ht="20" customHeight="1">
      <c r="A78" s="30"/>
      <c r="B78" s="30"/>
      <c r="C78" s="31" t="s">
        <v>250</v>
      </c>
      <c r="D78" s="31"/>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row>
    <row r="79" spans="1:66" ht="20" customHeight="1">
      <c r="A79" s="30"/>
      <c r="B79" s="30"/>
      <c r="C79" s="31" t="s">
        <v>235</v>
      </c>
      <c r="D79" s="31"/>
      <c r="E79" s="46">
        <f>0</f>
        <v>0</v>
      </c>
      <c r="F79" s="46">
        <f t="shared" ref="F79:AK79" si="60">E84</f>
        <v>0</v>
      </c>
      <c r="G79" s="46">
        <f t="shared" si="60"/>
        <v>0</v>
      </c>
      <c r="H79" s="46">
        <f t="shared" si="60"/>
        <v>0</v>
      </c>
      <c r="I79" s="46">
        <f t="shared" si="60"/>
        <v>0</v>
      </c>
      <c r="J79" s="46">
        <f t="shared" si="60"/>
        <v>0</v>
      </c>
      <c r="K79" s="46">
        <f t="shared" si="60"/>
        <v>0</v>
      </c>
      <c r="L79" s="46">
        <f t="shared" si="60"/>
        <v>0</v>
      </c>
      <c r="M79" s="46">
        <f t="shared" si="60"/>
        <v>0</v>
      </c>
      <c r="N79" s="46">
        <f t="shared" si="60"/>
        <v>0</v>
      </c>
      <c r="O79" s="46">
        <f t="shared" si="60"/>
        <v>0</v>
      </c>
      <c r="P79" s="46">
        <f t="shared" si="60"/>
        <v>0</v>
      </c>
      <c r="Q79" s="46">
        <f t="shared" si="60"/>
        <v>0</v>
      </c>
      <c r="R79" s="46">
        <f t="shared" si="60"/>
        <v>0</v>
      </c>
      <c r="S79" s="46">
        <f t="shared" si="60"/>
        <v>0</v>
      </c>
      <c r="T79" s="46">
        <f t="shared" si="60"/>
        <v>0</v>
      </c>
      <c r="U79" s="46">
        <f t="shared" si="60"/>
        <v>0</v>
      </c>
      <c r="V79" s="46">
        <f t="shared" si="60"/>
        <v>0</v>
      </c>
      <c r="W79" s="46">
        <f t="shared" si="60"/>
        <v>0</v>
      </c>
      <c r="X79" s="46">
        <f t="shared" si="60"/>
        <v>0</v>
      </c>
      <c r="Y79" s="46">
        <f t="shared" si="60"/>
        <v>0</v>
      </c>
      <c r="Z79" s="46">
        <f t="shared" si="60"/>
        <v>0</v>
      </c>
      <c r="AA79" s="46">
        <f t="shared" si="60"/>
        <v>0</v>
      </c>
      <c r="AB79" s="46">
        <f t="shared" si="60"/>
        <v>0</v>
      </c>
      <c r="AC79" s="46">
        <f t="shared" si="60"/>
        <v>0</v>
      </c>
      <c r="AD79" s="46">
        <f t="shared" si="60"/>
        <v>0</v>
      </c>
      <c r="AE79" s="46">
        <f t="shared" si="60"/>
        <v>0</v>
      </c>
      <c r="AF79" s="46">
        <f t="shared" si="60"/>
        <v>0</v>
      </c>
      <c r="AG79" s="46">
        <f t="shared" si="60"/>
        <v>0</v>
      </c>
      <c r="AH79" s="46">
        <f t="shared" si="60"/>
        <v>0</v>
      </c>
      <c r="AI79" s="46">
        <f t="shared" si="60"/>
        <v>0</v>
      </c>
      <c r="AJ79" s="46">
        <f t="shared" si="60"/>
        <v>0</v>
      </c>
      <c r="AK79" s="46">
        <f t="shared" si="60"/>
        <v>0</v>
      </c>
      <c r="AL79" s="46">
        <f t="shared" ref="AL79:BL79" si="61">AK84</f>
        <v>0</v>
      </c>
      <c r="AM79" s="46">
        <f t="shared" si="61"/>
        <v>0</v>
      </c>
      <c r="AN79" s="46">
        <f t="shared" si="61"/>
        <v>0</v>
      </c>
      <c r="AO79" s="46">
        <f t="shared" si="61"/>
        <v>0</v>
      </c>
      <c r="AP79" s="46">
        <f t="shared" si="61"/>
        <v>0</v>
      </c>
      <c r="AQ79" s="46">
        <f t="shared" si="61"/>
        <v>0</v>
      </c>
      <c r="AR79" s="46">
        <f t="shared" si="61"/>
        <v>0</v>
      </c>
      <c r="AS79" s="46">
        <f t="shared" si="61"/>
        <v>0</v>
      </c>
      <c r="AT79" s="46">
        <f t="shared" si="61"/>
        <v>0</v>
      </c>
      <c r="AU79" s="46">
        <f t="shared" si="61"/>
        <v>0</v>
      </c>
      <c r="AV79" s="46">
        <f t="shared" si="61"/>
        <v>0</v>
      </c>
      <c r="AW79" s="46">
        <f t="shared" si="61"/>
        <v>0</v>
      </c>
      <c r="AX79" s="46">
        <f t="shared" si="61"/>
        <v>0</v>
      </c>
      <c r="AY79" s="46">
        <f t="shared" si="61"/>
        <v>0</v>
      </c>
      <c r="AZ79" s="46">
        <f t="shared" si="61"/>
        <v>0</v>
      </c>
      <c r="BA79" s="46">
        <f t="shared" si="61"/>
        <v>0</v>
      </c>
      <c r="BB79" s="46">
        <f t="shared" si="61"/>
        <v>61.173399200950222</v>
      </c>
      <c r="BC79" s="46">
        <f t="shared" si="61"/>
        <v>55.969619892029463</v>
      </c>
      <c r="BD79" s="46">
        <f t="shared" si="61"/>
        <v>55.004626445615159</v>
      </c>
      <c r="BE79" s="46">
        <f t="shared" si="61"/>
        <v>54.039632999200855</v>
      </c>
      <c r="BF79" s="46">
        <f t="shared" si="61"/>
        <v>53.07463955278655</v>
      </c>
      <c r="BG79" s="46">
        <f t="shared" si="61"/>
        <v>52.109646106372246</v>
      </c>
      <c r="BH79" s="46">
        <f t="shared" si="61"/>
        <v>51.144652659957941</v>
      </c>
      <c r="BI79" s="46">
        <f t="shared" si="61"/>
        <v>50.179659213543644</v>
      </c>
      <c r="BJ79" s="46">
        <f t="shared" si="61"/>
        <v>49.214665767129347</v>
      </c>
      <c r="BK79" s="46">
        <f t="shared" si="61"/>
        <v>48.249672320715042</v>
      </c>
      <c r="BL79" s="46">
        <f t="shared" si="61"/>
        <v>47.284678874300738</v>
      </c>
      <c r="BM79" s="32"/>
      <c r="BN79" s="32"/>
    </row>
    <row r="80" spans="1:66" ht="20" customHeight="1">
      <c r="A80" s="30"/>
      <c r="B80" s="30"/>
      <c r="C80" s="31" t="s">
        <v>236</v>
      </c>
      <c r="D80" s="31"/>
      <c r="E80" s="46">
        <f>0</f>
        <v>0</v>
      </c>
      <c r="F80" s="46">
        <f>0</f>
        <v>0</v>
      </c>
      <c r="G80" s="46">
        <f>0</f>
        <v>0</v>
      </c>
      <c r="H80" s="46">
        <f>0</f>
        <v>0</v>
      </c>
      <c r="I80" s="46">
        <f>0</f>
        <v>0</v>
      </c>
      <c r="J80" s="46">
        <f>0</f>
        <v>0</v>
      </c>
      <c r="K80" s="46">
        <f>0</f>
        <v>0</v>
      </c>
      <c r="L80" s="46">
        <f>0</f>
        <v>0</v>
      </c>
      <c r="M80" s="46">
        <f>0</f>
        <v>0</v>
      </c>
      <c r="N80" s="46">
        <f>0</f>
        <v>0</v>
      </c>
      <c r="O80" s="46">
        <f>0</f>
        <v>0</v>
      </c>
      <c r="P80" s="46">
        <f>0</f>
        <v>0</v>
      </c>
      <c r="Q80" s="46">
        <f>0</f>
        <v>0</v>
      </c>
      <c r="R80" s="46">
        <f>0</f>
        <v>0</v>
      </c>
      <c r="S80" s="46">
        <f>0</f>
        <v>0</v>
      </c>
      <c r="T80" s="46">
        <f>0</f>
        <v>0</v>
      </c>
      <c r="U80" s="46">
        <f>0</f>
        <v>0</v>
      </c>
      <c r="V80" s="46">
        <f>0</f>
        <v>0</v>
      </c>
      <c r="W80" s="46">
        <f>0</f>
        <v>0</v>
      </c>
      <c r="X80" s="46">
        <f>0</f>
        <v>0</v>
      </c>
      <c r="Y80" s="46">
        <f>0</f>
        <v>0</v>
      </c>
      <c r="Z80" s="46">
        <f>0</f>
        <v>0</v>
      </c>
      <c r="AA80" s="46">
        <f>0</f>
        <v>0</v>
      </c>
      <c r="AB80" s="46">
        <f>0</f>
        <v>0</v>
      </c>
      <c r="AC80" s="46">
        <f>0</f>
        <v>0</v>
      </c>
      <c r="AD80" s="46">
        <f>0</f>
        <v>0</v>
      </c>
      <c r="AE80" s="46">
        <f>0</f>
        <v>0</v>
      </c>
      <c r="AF80" s="46">
        <f>0</f>
        <v>0</v>
      </c>
      <c r="AG80" s="46">
        <f>0</f>
        <v>0</v>
      </c>
      <c r="AH80" s="46">
        <f>0</f>
        <v>0</v>
      </c>
      <c r="AI80" s="46">
        <f>0</f>
        <v>0</v>
      </c>
      <c r="AJ80" s="46">
        <f>0</f>
        <v>0</v>
      </c>
      <c r="AK80" s="46">
        <f>0</f>
        <v>0</v>
      </c>
      <c r="AL80" s="46">
        <f>0</f>
        <v>0</v>
      </c>
      <c r="AM80" s="46">
        <f>0</f>
        <v>0</v>
      </c>
      <c r="AN80" s="46">
        <f>0</f>
        <v>0</v>
      </c>
      <c r="AO80" s="46">
        <f>0</f>
        <v>0</v>
      </c>
      <c r="AP80" s="46">
        <f>0</f>
        <v>0</v>
      </c>
      <c r="AQ80" s="46">
        <f>0</f>
        <v>0</v>
      </c>
      <c r="AR80" s="46">
        <f>0</f>
        <v>0</v>
      </c>
      <c r="AS80" s="46">
        <f>0</f>
        <v>0</v>
      </c>
      <c r="AT80" s="46">
        <f>0</f>
        <v>0</v>
      </c>
      <c r="AU80" s="46">
        <f>0</f>
        <v>0</v>
      </c>
      <c r="AV80" s="46">
        <f>0</f>
        <v>0</v>
      </c>
      <c r="AW80" s="46">
        <f>0</f>
        <v>0</v>
      </c>
      <c r="AX80" s="46">
        <f>0</f>
        <v>0</v>
      </c>
      <c r="AY80" s="46">
        <f>0</f>
        <v>0</v>
      </c>
      <c r="AZ80" s="46">
        <f>0</f>
        <v>0</v>
      </c>
      <c r="BA80" s="35">
        <f>Transfers!BA10+Transfers!BA12</f>
        <v>62.210236475542601</v>
      </c>
      <c r="BB80" s="35">
        <f>Transfers!BB10+Transfers!BB12</f>
        <v>0</v>
      </c>
      <c r="BC80" s="35">
        <f>Transfers!BC10+Transfers!BC12</f>
        <v>0</v>
      </c>
      <c r="BD80" s="35">
        <f>Transfers!BD10+Transfers!BD12</f>
        <v>0</v>
      </c>
      <c r="BE80" s="35">
        <f>Transfers!BE10+Transfers!BE12</f>
        <v>0</v>
      </c>
      <c r="BF80" s="35">
        <f>Transfers!BF10+Transfers!BF12</f>
        <v>0</v>
      </c>
      <c r="BG80" s="35">
        <f>Transfers!BG10+Transfers!BG12</f>
        <v>0</v>
      </c>
      <c r="BH80" s="35">
        <f>Transfers!BH10+Transfers!BH12</f>
        <v>0</v>
      </c>
      <c r="BI80" s="35">
        <f>Transfers!BI10+Transfers!BI12</f>
        <v>0</v>
      </c>
      <c r="BJ80" s="35">
        <f>Transfers!BJ10+Transfers!BJ12</f>
        <v>0</v>
      </c>
      <c r="BK80" s="35">
        <f>Transfers!BK10+Transfers!BK12</f>
        <v>0</v>
      </c>
      <c r="BL80" s="35">
        <f>Transfers!BL10+Transfers!BL12</f>
        <v>0</v>
      </c>
      <c r="BM80" s="32"/>
      <c r="BN80" s="32"/>
    </row>
    <row r="81" spans="1:66" ht="20" customHeight="1">
      <c r="A81" s="30"/>
      <c r="B81" s="30"/>
      <c r="C81" s="31" t="s">
        <v>237</v>
      </c>
      <c r="D81" s="31"/>
      <c r="E81" s="35">
        <f>IF(0&lt;48,0,IF((Assumptions!I83*12)-(0-48)&gt;0,MIN(E79+E80,(E79+E80)/MAX(1,(Assumptions!I83*12)-(0-48))),E79+E80))</f>
        <v>0</v>
      </c>
      <c r="F81" s="35">
        <f>IF(1&lt;48,0,IF((Assumptions!I83*12)-(1-48)&gt;0,MIN(F79+F80,(F79+F80)/MAX(1,(Assumptions!I83*12)-(1-48))),F79+F80))</f>
        <v>0</v>
      </c>
      <c r="G81" s="35">
        <f>IF(2&lt;48,0,IF((Assumptions!I83*12)-(2-48)&gt;0,MIN(G79+G80,(G79+G80)/MAX(1,(Assumptions!I83*12)-(2-48))),G79+G80))</f>
        <v>0</v>
      </c>
      <c r="H81" s="35">
        <f>IF(3&lt;48,0,IF((Assumptions!I83*12)-(3-48)&gt;0,MIN(H79+H80,(H79+H80)/MAX(1,(Assumptions!I83*12)-(3-48))),H79+H80))</f>
        <v>0</v>
      </c>
      <c r="I81" s="35">
        <f>IF(4&lt;48,0,IF((Assumptions!I83*12)-(4-48)&gt;0,MIN(I79+I80,(I79+I80)/MAX(1,(Assumptions!I83*12)-(4-48))),I79+I80))</f>
        <v>0</v>
      </c>
      <c r="J81" s="35">
        <f>IF(5&lt;48,0,IF((Assumptions!I83*12)-(5-48)&gt;0,MIN(J79+J80,(J79+J80)/MAX(1,(Assumptions!I83*12)-(5-48))),J79+J80))</f>
        <v>0</v>
      </c>
      <c r="K81" s="35">
        <f>IF(6&lt;48,0,IF((Assumptions!I83*12)-(6-48)&gt;0,MIN(K79+K80,(K79+K80)/MAX(1,(Assumptions!I83*12)-(6-48))),K79+K80))</f>
        <v>0</v>
      </c>
      <c r="L81" s="35">
        <f>IF(7&lt;48,0,IF((Assumptions!I83*12)-(7-48)&gt;0,MIN(L79+L80,(L79+L80)/MAX(1,(Assumptions!I83*12)-(7-48))),L79+L80))</f>
        <v>0</v>
      </c>
      <c r="M81" s="35">
        <f>IF(8&lt;48,0,IF((Assumptions!I83*12)-(8-48)&gt;0,MIN(M79+M80,(M79+M80)/MAX(1,(Assumptions!I83*12)-(8-48))),M79+M80))</f>
        <v>0</v>
      </c>
      <c r="N81" s="35">
        <f>IF(9&lt;48,0,IF((Assumptions!I83*12)-(9-48)&gt;0,MIN(N79+N80,(N79+N80)/MAX(1,(Assumptions!I83*12)-(9-48))),N79+N80))</f>
        <v>0</v>
      </c>
      <c r="O81" s="35">
        <f>IF(10&lt;48,0,IF((Assumptions!I83*12)-(10-48)&gt;0,MIN(O79+O80,(O79+O80)/MAX(1,(Assumptions!I83*12)-(10-48))),O79+O80))</f>
        <v>0</v>
      </c>
      <c r="P81" s="35">
        <f>IF(11&lt;48,0,IF((Assumptions!I83*12)-(11-48)&gt;0,MIN(P79+P80,(P79+P80)/MAX(1,(Assumptions!I83*12)-(11-48))),P79+P80))</f>
        <v>0</v>
      </c>
      <c r="Q81" s="35">
        <f>IF(12&lt;48,0,IF((Assumptions!I83*12)-(12-48)&gt;0,MIN(Q79+Q80,(Q79+Q80)/MAX(1,(Assumptions!I83*12)-(12-48))),Q79+Q80))</f>
        <v>0</v>
      </c>
      <c r="R81" s="35">
        <f>IF(13&lt;48,0,IF((Assumptions!I83*12)-(13-48)&gt;0,MIN(R79+R80,(R79+R80)/MAX(1,(Assumptions!I83*12)-(13-48))),R79+R80))</f>
        <v>0</v>
      </c>
      <c r="S81" s="35">
        <f>IF(14&lt;48,0,IF((Assumptions!I83*12)-(14-48)&gt;0,MIN(S79+S80,(S79+S80)/MAX(1,(Assumptions!I83*12)-(14-48))),S79+S80))</f>
        <v>0</v>
      </c>
      <c r="T81" s="35">
        <f>IF(15&lt;48,0,IF((Assumptions!I83*12)-(15-48)&gt;0,MIN(T79+T80,(T79+T80)/MAX(1,(Assumptions!I83*12)-(15-48))),T79+T80))</f>
        <v>0</v>
      </c>
      <c r="U81" s="35">
        <f>IF(16&lt;48,0,IF((Assumptions!I83*12)-(16-48)&gt;0,MIN(U79+U80,(U79+U80)/MAX(1,(Assumptions!I83*12)-(16-48))),U79+U80))</f>
        <v>0</v>
      </c>
      <c r="V81" s="35">
        <f>IF(17&lt;48,0,IF((Assumptions!I83*12)-(17-48)&gt;0,MIN(V79+V80,(V79+V80)/MAX(1,(Assumptions!I83*12)-(17-48))),V79+V80))</f>
        <v>0</v>
      </c>
      <c r="W81" s="35">
        <f>IF(18&lt;48,0,IF((Assumptions!I83*12)-(18-48)&gt;0,MIN(W79+W80,(W79+W80)/MAX(1,(Assumptions!I83*12)-(18-48))),W79+W80))</f>
        <v>0</v>
      </c>
      <c r="X81" s="35">
        <f>IF(19&lt;48,0,IF((Assumptions!I83*12)-(19-48)&gt;0,MIN(X79+X80,(X79+X80)/MAX(1,(Assumptions!I83*12)-(19-48))),X79+X80))</f>
        <v>0</v>
      </c>
      <c r="Y81" s="35">
        <f>IF(20&lt;48,0,IF((Assumptions!I83*12)-(20-48)&gt;0,MIN(Y79+Y80,(Y79+Y80)/MAX(1,(Assumptions!I83*12)-(20-48))),Y79+Y80))</f>
        <v>0</v>
      </c>
      <c r="Z81" s="35">
        <f>IF(21&lt;48,0,IF((Assumptions!I83*12)-(21-48)&gt;0,MIN(Z79+Z80,(Z79+Z80)/MAX(1,(Assumptions!I83*12)-(21-48))),Z79+Z80))</f>
        <v>0</v>
      </c>
      <c r="AA81" s="35">
        <f>IF(22&lt;48,0,IF((Assumptions!I83*12)-(22-48)&gt;0,MIN(AA79+AA80,(AA79+AA80)/MAX(1,(Assumptions!I83*12)-(22-48))),AA79+AA80))</f>
        <v>0</v>
      </c>
      <c r="AB81" s="35">
        <f>IF(23&lt;48,0,IF((Assumptions!I83*12)-(23-48)&gt;0,MIN(AB79+AB80,(AB79+AB80)/MAX(1,(Assumptions!I83*12)-(23-48))),AB79+AB80))</f>
        <v>0</v>
      </c>
      <c r="AC81" s="35">
        <f>IF(24&lt;48,0,IF((Assumptions!I83*12)-(24-48)&gt;0,MIN(AC79+AC80,(AC79+AC80)/MAX(1,(Assumptions!I83*12)-(24-48))),AC79+AC80))</f>
        <v>0</v>
      </c>
      <c r="AD81" s="35">
        <f>IF(25&lt;48,0,IF((Assumptions!I83*12)-(25-48)&gt;0,MIN(AD79+AD80,(AD79+AD80)/MAX(1,(Assumptions!I83*12)-(25-48))),AD79+AD80))</f>
        <v>0</v>
      </c>
      <c r="AE81" s="35">
        <f>IF(26&lt;48,0,IF((Assumptions!I83*12)-(26-48)&gt;0,MIN(AE79+AE80,(AE79+AE80)/MAX(1,(Assumptions!I83*12)-(26-48))),AE79+AE80))</f>
        <v>0</v>
      </c>
      <c r="AF81" s="35">
        <f>IF(27&lt;48,0,IF((Assumptions!I83*12)-(27-48)&gt;0,MIN(AF79+AF80,(AF79+AF80)/MAX(1,(Assumptions!I83*12)-(27-48))),AF79+AF80))</f>
        <v>0</v>
      </c>
      <c r="AG81" s="35">
        <f>IF(28&lt;48,0,IF((Assumptions!I83*12)-(28-48)&gt;0,MIN(AG79+AG80,(AG79+AG80)/MAX(1,(Assumptions!I83*12)-(28-48))),AG79+AG80))</f>
        <v>0</v>
      </c>
      <c r="AH81" s="35">
        <f>IF(29&lt;48,0,IF((Assumptions!I83*12)-(29-48)&gt;0,MIN(AH79+AH80,(AH79+AH80)/MAX(1,(Assumptions!I83*12)-(29-48))),AH79+AH80))</f>
        <v>0</v>
      </c>
      <c r="AI81" s="35">
        <f>IF(30&lt;48,0,IF((Assumptions!I83*12)-(30-48)&gt;0,MIN(AI79+AI80,(AI79+AI80)/MAX(1,(Assumptions!I83*12)-(30-48))),AI79+AI80))</f>
        <v>0</v>
      </c>
      <c r="AJ81" s="35">
        <f>IF(31&lt;48,0,IF((Assumptions!I83*12)-(31-48)&gt;0,MIN(AJ79+AJ80,(AJ79+AJ80)/MAX(1,(Assumptions!I83*12)-(31-48))),AJ79+AJ80))</f>
        <v>0</v>
      </c>
      <c r="AK81" s="35">
        <f>IF(32&lt;48,0,IF((Assumptions!I83*12)-(32-48)&gt;0,MIN(AK79+AK80,(AK79+AK80)/MAX(1,(Assumptions!I83*12)-(32-48))),AK79+AK80))</f>
        <v>0</v>
      </c>
      <c r="AL81" s="35">
        <f>IF(33&lt;48,0,IF((Assumptions!I83*12)-(33-48)&gt;0,MIN(AL79+AL80,(AL79+AL80)/MAX(1,(Assumptions!I83*12)-(33-48))),AL79+AL80))</f>
        <v>0</v>
      </c>
      <c r="AM81" s="35">
        <f>IF(34&lt;48,0,IF((Assumptions!I83*12)-(34-48)&gt;0,MIN(AM79+AM80,(AM79+AM80)/MAX(1,(Assumptions!I83*12)-(34-48))),AM79+AM80))</f>
        <v>0</v>
      </c>
      <c r="AN81" s="35">
        <f>IF(35&lt;48,0,IF((Assumptions!I83*12)-(35-48)&gt;0,MIN(AN79+AN80,(AN79+AN80)/MAX(1,(Assumptions!I83*12)-(35-48))),AN79+AN80))</f>
        <v>0</v>
      </c>
      <c r="AO81" s="35">
        <f>IF(36&lt;48,0,IF((Assumptions!I83*12)-(36-48)&gt;0,MIN(AO79+AO80,(AO79+AO80)/MAX(1,(Assumptions!I83*12)-(36-48))),AO79+AO80))</f>
        <v>0</v>
      </c>
      <c r="AP81" s="35">
        <f>IF(37&lt;48,0,IF((Assumptions!I83*12)-(37-48)&gt;0,MIN(AP79+AP80,(AP79+AP80)/MAX(1,(Assumptions!I83*12)-(37-48))),AP79+AP80))</f>
        <v>0</v>
      </c>
      <c r="AQ81" s="35">
        <f>IF(38&lt;48,0,IF((Assumptions!I83*12)-(38-48)&gt;0,MIN(AQ79+AQ80,(AQ79+AQ80)/MAX(1,(Assumptions!I83*12)-(38-48))),AQ79+AQ80))</f>
        <v>0</v>
      </c>
      <c r="AR81" s="35">
        <f>IF(39&lt;48,0,IF((Assumptions!I83*12)-(39-48)&gt;0,MIN(AR79+AR80,(AR79+AR80)/MAX(1,(Assumptions!I83*12)-(39-48))),AR79+AR80))</f>
        <v>0</v>
      </c>
      <c r="AS81" s="35">
        <f>IF(40&lt;48,0,IF((Assumptions!I83*12)-(40-48)&gt;0,MIN(AS79+AS80,(AS79+AS80)/MAX(1,(Assumptions!I83*12)-(40-48))),AS79+AS80))</f>
        <v>0</v>
      </c>
      <c r="AT81" s="35">
        <f>IF(41&lt;48,0,IF((Assumptions!I83*12)-(41-48)&gt;0,MIN(AT79+AT80,(AT79+AT80)/MAX(1,(Assumptions!I83*12)-(41-48))),AT79+AT80))</f>
        <v>0</v>
      </c>
      <c r="AU81" s="35">
        <f>IF(42&lt;48,0,IF((Assumptions!I83*12)-(42-48)&gt;0,MIN(AU79+AU80,(AU79+AU80)/MAX(1,(Assumptions!I83*12)-(42-48))),AU79+AU80))</f>
        <v>0</v>
      </c>
      <c r="AV81" s="35">
        <f>IF(43&lt;48,0,IF((Assumptions!I83*12)-(43-48)&gt;0,MIN(AV79+AV80,(AV79+AV80)/MAX(1,(Assumptions!I83*12)-(43-48))),AV79+AV80))</f>
        <v>0</v>
      </c>
      <c r="AW81" s="35">
        <f>IF(44&lt;48,0,IF((Assumptions!I83*12)-(44-48)&gt;0,MIN(AW79+AW80,(AW79+AW80)/MAX(1,(Assumptions!I83*12)-(44-48))),AW79+AW80))</f>
        <v>0</v>
      </c>
      <c r="AX81" s="35">
        <f>IF(45&lt;48,0,IF((Assumptions!I83*12)-(45-48)&gt;0,MIN(AX79+AX80,(AX79+AX80)/MAX(1,(Assumptions!I83*12)-(45-48))),AX79+AX80))</f>
        <v>0</v>
      </c>
      <c r="AY81" s="35">
        <f>IF(46&lt;48,0,IF((Assumptions!I83*12)-(46-48)&gt;0,MIN(AY79+AY80,(AY79+AY80)/MAX(1,(Assumptions!I83*12)-(46-48))),AY79+AY80))</f>
        <v>0</v>
      </c>
      <c r="AZ81" s="35">
        <f>IF(47&lt;48,0,IF((Assumptions!I83*12)-(47-48)&gt;0,MIN(AZ79+AZ80,(AZ79+AZ80)/MAX(1,(Assumptions!I83*12)-(47-48))),AZ79+AZ80))</f>
        <v>0</v>
      </c>
      <c r="BA81" s="35">
        <f>IF(48&lt;48,0,IF((Assumptions!I83*12)-(48-48)&gt;0,MIN(BA79+BA80,(BA79+BA80)/MAX(1,(Assumptions!I83*12)-(48-48))),BA79+BA80))</f>
        <v>1.0368372745923766</v>
      </c>
      <c r="BB81" s="35">
        <f>IF(49&lt;48,0,IF((Assumptions!I83*12)-(49-48)&gt;0,MIN(BB79+BB80,(BB79+BB80)/MAX(1,(Assumptions!I83*12)-(49-48))),BB79+BB80))</f>
        <v>1.0368372745923766</v>
      </c>
      <c r="BC81" s="35">
        <f>IF(50&lt;48,0,IF((Assumptions!I83*12)-(50-48)&gt;0,MIN(BC79+BC80,(BC79+BC80)/MAX(1,(Assumptions!I83*12)-(50-48))),BC79+BC80))</f>
        <v>0.96499344641430107</v>
      </c>
      <c r="BD81" s="35">
        <f>IF(51&lt;48,0,IF((Assumptions!I83*12)-(51-48)&gt;0,MIN(BD79+BD80,(BD79+BD80)/MAX(1,(Assumptions!I83*12)-(51-48))),BD79+BD80))</f>
        <v>0.96499344641430107</v>
      </c>
      <c r="BE81" s="35">
        <f>IF(52&lt;48,0,IF((Assumptions!I83*12)-(52-48)&gt;0,MIN(BE79+BE80,(BE79+BE80)/MAX(1,(Assumptions!I83*12)-(52-48))),BE79+BE80))</f>
        <v>0.96499344641430096</v>
      </c>
      <c r="BF81" s="35">
        <f>IF(53&lt;48,0,IF((Assumptions!I83*12)-(53-48)&gt;0,MIN(BF79+BF80,(BF79+BF80)/MAX(1,(Assumptions!I83*12)-(53-48))),BF79+BF80))</f>
        <v>0.96499344641430096</v>
      </c>
      <c r="BG81" s="35">
        <f>IF(54&lt;48,0,IF((Assumptions!I83*12)-(54-48)&gt;0,MIN(BG79+BG80,(BG79+BG80)/MAX(1,(Assumptions!I83*12)-(54-48))),BG79+BG80))</f>
        <v>0.96499344641430085</v>
      </c>
      <c r="BH81" s="35">
        <f>IF(55&lt;48,0,IF((Assumptions!I83*12)-(55-48)&gt;0,MIN(BH79+BH80,(BH79+BH80)/MAX(1,(Assumptions!I83*12)-(55-48))),BH79+BH80))</f>
        <v>0.96499344641430074</v>
      </c>
      <c r="BI81" s="35">
        <f>IF(56&lt;48,0,IF((Assumptions!I83*12)-(56-48)&gt;0,MIN(BI79+BI80,(BI79+BI80)/MAX(1,(Assumptions!I83*12)-(56-48))),BI79+BI80))</f>
        <v>0.96499344641430085</v>
      </c>
      <c r="BJ81" s="35">
        <f>IF(57&lt;48,0,IF((Assumptions!I83*12)-(57-48)&gt;0,MIN(BJ79+BJ80,(BJ79+BJ80)/MAX(1,(Assumptions!I83*12)-(57-48))),BJ79+BJ80))</f>
        <v>0.96499344641430096</v>
      </c>
      <c r="BK81" s="35">
        <f>IF(58&lt;48,0,IF((Assumptions!I83*12)-(58-48)&gt;0,MIN(BK79+BK80,(BK79+BK80)/MAX(1,(Assumptions!I83*12)-(58-48))),BK79+BK80))</f>
        <v>0.96499344641430085</v>
      </c>
      <c r="BL81" s="35">
        <f>IF(59&lt;48,0,IF((Assumptions!I83*12)-(59-48)&gt;0,MIN(BL79+BL80,(BL79+BL80)/MAX(1,(Assumptions!I83*12)-(59-48))),BL79+BL80))</f>
        <v>0.96499344641430074</v>
      </c>
      <c r="BM81" s="32"/>
      <c r="BN81" s="32"/>
    </row>
    <row r="82" spans="1:66" ht="20" customHeight="1">
      <c r="A82" s="30"/>
      <c r="B82" s="30"/>
      <c r="C82" s="31" t="s">
        <v>238</v>
      </c>
      <c r="D82" s="31"/>
      <c r="E82" s="46">
        <f t="shared" ref="E82:AJ82" si="62">E79+E80-E81</f>
        <v>0</v>
      </c>
      <c r="F82" s="46">
        <f t="shared" si="62"/>
        <v>0</v>
      </c>
      <c r="G82" s="46">
        <f t="shared" si="62"/>
        <v>0</v>
      </c>
      <c r="H82" s="46">
        <f t="shared" si="62"/>
        <v>0</v>
      </c>
      <c r="I82" s="46">
        <f t="shared" si="62"/>
        <v>0</v>
      </c>
      <c r="J82" s="46">
        <f t="shared" si="62"/>
        <v>0</v>
      </c>
      <c r="K82" s="46">
        <f t="shared" si="62"/>
        <v>0</v>
      </c>
      <c r="L82" s="46">
        <f t="shared" si="62"/>
        <v>0</v>
      </c>
      <c r="M82" s="46">
        <f t="shared" si="62"/>
        <v>0</v>
      </c>
      <c r="N82" s="46">
        <f t="shared" si="62"/>
        <v>0</v>
      </c>
      <c r="O82" s="46">
        <f t="shared" si="62"/>
        <v>0</v>
      </c>
      <c r="P82" s="46">
        <f t="shared" si="62"/>
        <v>0</v>
      </c>
      <c r="Q82" s="46">
        <f t="shared" si="62"/>
        <v>0</v>
      </c>
      <c r="R82" s="46">
        <f t="shared" si="62"/>
        <v>0</v>
      </c>
      <c r="S82" s="46">
        <f t="shared" si="62"/>
        <v>0</v>
      </c>
      <c r="T82" s="46">
        <f t="shared" si="62"/>
        <v>0</v>
      </c>
      <c r="U82" s="46">
        <f t="shared" si="62"/>
        <v>0</v>
      </c>
      <c r="V82" s="46">
        <f t="shared" si="62"/>
        <v>0</v>
      </c>
      <c r="W82" s="46">
        <f t="shared" si="62"/>
        <v>0</v>
      </c>
      <c r="X82" s="46">
        <f t="shared" si="62"/>
        <v>0</v>
      </c>
      <c r="Y82" s="46">
        <f t="shared" si="62"/>
        <v>0</v>
      </c>
      <c r="Z82" s="46">
        <f t="shared" si="62"/>
        <v>0</v>
      </c>
      <c r="AA82" s="46">
        <f t="shared" si="62"/>
        <v>0</v>
      </c>
      <c r="AB82" s="46">
        <f t="shared" si="62"/>
        <v>0</v>
      </c>
      <c r="AC82" s="46">
        <f t="shared" si="62"/>
        <v>0</v>
      </c>
      <c r="AD82" s="46">
        <f t="shared" si="62"/>
        <v>0</v>
      </c>
      <c r="AE82" s="46">
        <f t="shared" si="62"/>
        <v>0</v>
      </c>
      <c r="AF82" s="46">
        <f t="shared" si="62"/>
        <v>0</v>
      </c>
      <c r="AG82" s="46">
        <f t="shared" si="62"/>
        <v>0</v>
      </c>
      <c r="AH82" s="46">
        <f t="shared" si="62"/>
        <v>0</v>
      </c>
      <c r="AI82" s="46">
        <f t="shared" si="62"/>
        <v>0</v>
      </c>
      <c r="AJ82" s="46">
        <f t="shared" si="62"/>
        <v>0</v>
      </c>
      <c r="AK82" s="46">
        <f t="shared" ref="AK82:BP82" si="63">AK79+AK80-AK81</f>
        <v>0</v>
      </c>
      <c r="AL82" s="46">
        <f t="shared" si="63"/>
        <v>0</v>
      </c>
      <c r="AM82" s="46">
        <f t="shared" si="63"/>
        <v>0</v>
      </c>
      <c r="AN82" s="46">
        <f t="shared" si="63"/>
        <v>0</v>
      </c>
      <c r="AO82" s="46">
        <f t="shared" si="63"/>
        <v>0</v>
      </c>
      <c r="AP82" s="46">
        <f t="shared" si="63"/>
        <v>0</v>
      </c>
      <c r="AQ82" s="46">
        <f t="shared" si="63"/>
        <v>0</v>
      </c>
      <c r="AR82" s="46">
        <f t="shared" si="63"/>
        <v>0</v>
      </c>
      <c r="AS82" s="46">
        <f t="shared" si="63"/>
        <v>0</v>
      </c>
      <c r="AT82" s="46">
        <f t="shared" si="63"/>
        <v>0</v>
      </c>
      <c r="AU82" s="46">
        <f t="shared" si="63"/>
        <v>0</v>
      </c>
      <c r="AV82" s="46">
        <f t="shared" si="63"/>
        <v>0</v>
      </c>
      <c r="AW82" s="46">
        <f t="shared" si="63"/>
        <v>0</v>
      </c>
      <c r="AX82" s="46">
        <f t="shared" si="63"/>
        <v>0</v>
      </c>
      <c r="AY82" s="46">
        <f t="shared" si="63"/>
        <v>0</v>
      </c>
      <c r="AZ82" s="46">
        <f t="shared" si="63"/>
        <v>0</v>
      </c>
      <c r="BA82" s="46">
        <f t="shared" si="63"/>
        <v>61.173399200950222</v>
      </c>
      <c r="BB82" s="46">
        <f t="shared" si="63"/>
        <v>60.136561926357842</v>
      </c>
      <c r="BC82" s="46">
        <f t="shared" si="63"/>
        <v>55.004626445615159</v>
      </c>
      <c r="BD82" s="46">
        <f t="shared" si="63"/>
        <v>54.039632999200855</v>
      </c>
      <c r="BE82" s="46">
        <f t="shared" si="63"/>
        <v>53.07463955278655</v>
      </c>
      <c r="BF82" s="46">
        <f t="shared" si="63"/>
        <v>52.109646106372246</v>
      </c>
      <c r="BG82" s="46">
        <f t="shared" si="63"/>
        <v>51.144652659957941</v>
      </c>
      <c r="BH82" s="46">
        <f t="shared" si="63"/>
        <v>50.179659213543644</v>
      </c>
      <c r="BI82" s="46">
        <f t="shared" si="63"/>
        <v>49.214665767129347</v>
      </c>
      <c r="BJ82" s="46">
        <f t="shared" si="63"/>
        <v>48.249672320715042</v>
      </c>
      <c r="BK82" s="46">
        <f t="shared" si="63"/>
        <v>47.284678874300738</v>
      </c>
      <c r="BL82" s="46">
        <f t="shared" si="63"/>
        <v>46.319685427886441</v>
      </c>
      <c r="BM82" s="32"/>
      <c r="BN82" s="32"/>
    </row>
    <row r="83" spans="1:66" ht="20" customHeight="1">
      <c r="A83" s="30"/>
      <c r="B83" s="30"/>
      <c r="C83" s="31" t="s">
        <v>239</v>
      </c>
      <c r="D83" s="31"/>
      <c r="E83" s="35">
        <f>IF(E91&gt;0,E82/E91*Transfers!E24,0)</f>
        <v>0</v>
      </c>
      <c r="F83" s="35">
        <f>IF(F91&gt;0,F82/F91*Transfers!F24,0)</f>
        <v>0</v>
      </c>
      <c r="G83" s="35">
        <f>IF(G91&gt;0,G82/G91*Transfers!G24,0)</f>
        <v>0</v>
      </c>
      <c r="H83" s="35">
        <f>IF(H91&gt;0,H82/H91*Transfers!H24,0)</f>
        <v>0</v>
      </c>
      <c r="I83" s="35">
        <f>IF(I91&gt;0,I82/I91*Transfers!I24,0)</f>
        <v>0</v>
      </c>
      <c r="J83" s="35">
        <f>IF(J91&gt;0,J82/J91*Transfers!J24,0)</f>
        <v>0</v>
      </c>
      <c r="K83" s="35">
        <f>IF(K91&gt;0,K82/K91*Transfers!K24,0)</f>
        <v>0</v>
      </c>
      <c r="L83" s="35">
        <f>IF(L91&gt;0,L82/L91*Transfers!L24,0)</f>
        <v>0</v>
      </c>
      <c r="M83" s="35">
        <f>IF(M91&gt;0,M82/M91*Transfers!M24,0)</f>
        <v>0</v>
      </c>
      <c r="N83" s="35">
        <f>IF(N91&gt;0,N82/N91*Transfers!N24,0)</f>
        <v>0</v>
      </c>
      <c r="O83" s="35">
        <f>IF(O91&gt;0,O82/O91*Transfers!O24,0)</f>
        <v>0</v>
      </c>
      <c r="P83" s="35">
        <f>IF(P91&gt;0,P82/P91*Transfers!P24,0)</f>
        <v>0</v>
      </c>
      <c r="Q83" s="35">
        <f>IF(Q91&gt;0,Q82/Q91*Transfers!Q24,0)</f>
        <v>0</v>
      </c>
      <c r="R83" s="35">
        <f>IF(R91&gt;0,R82/R91*Transfers!R24,0)</f>
        <v>0</v>
      </c>
      <c r="S83" s="35">
        <f>IF(S91&gt;0,S82/S91*Transfers!S24,0)</f>
        <v>0</v>
      </c>
      <c r="T83" s="35">
        <f>IF(T91&gt;0,T82/T91*Transfers!T24,0)</f>
        <v>0</v>
      </c>
      <c r="U83" s="35">
        <f>IF(U91&gt;0,U82/U91*Transfers!U24,0)</f>
        <v>0</v>
      </c>
      <c r="V83" s="35">
        <f>IF(V91&gt;0,V82/V91*Transfers!V24,0)</f>
        <v>0</v>
      </c>
      <c r="W83" s="35">
        <f>IF(W91&gt;0,W82/W91*Transfers!W24,0)</f>
        <v>0</v>
      </c>
      <c r="X83" s="35">
        <f>IF(X91&gt;0,X82/X91*Transfers!X24,0)</f>
        <v>0</v>
      </c>
      <c r="Y83" s="35">
        <f>IF(Y91&gt;0,Y82/Y91*Transfers!Y24,0)</f>
        <v>0</v>
      </c>
      <c r="Z83" s="35">
        <f>IF(Z91&gt;0,Z82/Z91*Transfers!Z24,0)</f>
        <v>0</v>
      </c>
      <c r="AA83" s="35">
        <f>IF(AA91&gt;0,AA82/AA91*Transfers!AA24,0)</f>
        <v>0</v>
      </c>
      <c r="AB83" s="35">
        <f>IF(AB91&gt;0,AB82/AB91*Transfers!AB24,0)</f>
        <v>0</v>
      </c>
      <c r="AC83" s="35">
        <f>IF(AC91&gt;0,AC82/AC91*Transfers!AC24,0)</f>
        <v>0</v>
      </c>
      <c r="AD83" s="35">
        <f>IF(AD91&gt;0,AD82/AD91*Transfers!AD24,0)</f>
        <v>0</v>
      </c>
      <c r="AE83" s="35">
        <f>IF(AE91&gt;0,AE82/AE91*Transfers!AE24,0)</f>
        <v>0</v>
      </c>
      <c r="AF83" s="35">
        <f>IF(AF91&gt;0,AF82/AF91*Transfers!AF24,0)</f>
        <v>0</v>
      </c>
      <c r="AG83" s="35">
        <f>IF(AG91&gt;0,AG82/AG91*Transfers!AG24,0)</f>
        <v>0</v>
      </c>
      <c r="AH83" s="35">
        <f>IF(AH91&gt;0,AH82/AH91*Transfers!AH24,0)</f>
        <v>0</v>
      </c>
      <c r="AI83" s="35">
        <f>IF(AI91&gt;0,AI82/AI91*Transfers!AI24,0)</f>
        <v>0</v>
      </c>
      <c r="AJ83" s="35">
        <f>IF(AJ91&gt;0,AJ82/AJ91*Transfers!AJ24,0)</f>
        <v>0</v>
      </c>
      <c r="AK83" s="35">
        <f>IF(AK91&gt;0,AK82/AK91*Transfers!AK24,0)</f>
        <v>0</v>
      </c>
      <c r="AL83" s="35">
        <f>IF(AL91&gt;0,AL82/AL91*Transfers!AL24,0)</f>
        <v>0</v>
      </c>
      <c r="AM83" s="35">
        <f>IF(AM91&gt;0,AM82/AM91*Transfers!AM24,0)</f>
        <v>0</v>
      </c>
      <c r="AN83" s="35">
        <f>IF(AN91&gt;0,AN82/AN91*Transfers!AN24,0)</f>
        <v>0</v>
      </c>
      <c r="AO83" s="35">
        <f>IF(AO91&gt;0,AO82/AO91*Transfers!AO24,0)</f>
        <v>0</v>
      </c>
      <c r="AP83" s="35">
        <f>IF(AP91&gt;0,AP82/AP91*Transfers!AP24,0)</f>
        <v>0</v>
      </c>
      <c r="AQ83" s="35">
        <f>IF(AQ91&gt;0,AQ82/AQ91*Transfers!AQ24,0)</f>
        <v>0</v>
      </c>
      <c r="AR83" s="35">
        <f>IF(AR91&gt;0,AR82/AR91*Transfers!AR24,0)</f>
        <v>0</v>
      </c>
      <c r="AS83" s="35">
        <f>IF(AS91&gt;0,AS82/AS91*Transfers!AS24,0)</f>
        <v>0</v>
      </c>
      <c r="AT83" s="35">
        <f>IF(AT91&gt;0,AT82/AT91*Transfers!AT24,0)</f>
        <v>0</v>
      </c>
      <c r="AU83" s="35">
        <f>IF(AU91&gt;0,AU82/AU91*Transfers!AU24,0)</f>
        <v>0</v>
      </c>
      <c r="AV83" s="35">
        <f>IF(AV91&gt;0,AV82/AV91*Transfers!AV24,0)</f>
        <v>0</v>
      </c>
      <c r="AW83" s="35">
        <f>IF(AW91&gt;0,AW82/AW91*Transfers!AW24,0)</f>
        <v>0</v>
      </c>
      <c r="AX83" s="35">
        <f>IF(AX91&gt;0,AX82/AX91*Transfers!AX24,0)</f>
        <v>0</v>
      </c>
      <c r="AY83" s="35">
        <f>IF(AY91&gt;0,AY82/AY91*Transfers!AY24,0)</f>
        <v>0</v>
      </c>
      <c r="AZ83" s="35">
        <f>IF(AZ91&gt;0,AZ82/AZ91*Transfers!AZ24,0)</f>
        <v>0</v>
      </c>
      <c r="BA83" s="35">
        <f>IF(BA91&gt;0,BA82/BA91*Transfers!BA24,0)</f>
        <v>0</v>
      </c>
      <c r="BB83" s="35">
        <f>IF(BB91&gt;0,BB82/BB91*Transfers!BB24,0)</f>
        <v>4.1669420343283763</v>
      </c>
      <c r="BC83" s="35">
        <f>IF(BC91&gt;0,BC82/BC91*Transfers!BC24,0)</f>
        <v>0</v>
      </c>
      <c r="BD83" s="35">
        <f>IF(BD91&gt;0,BD82/BD91*Transfers!BD24,0)</f>
        <v>0</v>
      </c>
      <c r="BE83" s="35">
        <f>IF(BE91&gt;0,BE82/BE91*Transfers!BE24,0)</f>
        <v>0</v>
      </c>
      <c r="BF83" s="35">
        <f>IF(BF91&gt;0,BF82/BF91*Transfers!BF24,0)</f>
        <v>0</v>
      </c>
      <c r="BG83" s="35">
        <f>IF(BG91&gt;0,BG82/BG91*Transfers!BG24,0)</f>
        <v>0</v>
      </c>
      <c r="BH83" s="35">
        <f>IF(BH91&gt;0,BH82/BH91*Transfers!BH24,0)</f>
        <v>0</v>
      </c>
      <c r="BI83" s="35">
        <f>IF(BI91&gt;0,BI82/BI91*Transfers!BI24,0)</f>
        <v>0</v>
      </c>
      <c r="BJ83" s="35">
        <f>IF(BJ91&gt;0,BJ82/BJ91*Transfers!BJ24,0)</f>
        <v>0</v>
      </c>
      <c r="BK83" s="35">
        <f>IF(BK91&gt;0,BK82/BK91*Transfers!BK24,0)</f>
        <v>0</v>
      </c>
      <c r="BL83" s="35">
        <f>IF(BL91&gt;0,BL82/BL91*Transfers!BL24,0)</f>
        <v>0</v>
      </c>
      <c r="BM83" s="32"/>
      <c r="BN83" s="32"/>
    </row>
    <row r="84" spans="1:66" ht="20" customHeight="1">
      <c r="A84" s="30"/>
      <c r="B84" s="30"/>
      <c r="C84" s="31" t="s">
        <v>240</v>
      </c>
      <c r="D84" s="31"/>
      <c r="E84" s="46">
        <f t="shared" ref="E84:AJ84" si="64">E82-E83</f>
        <v>0</v>
      </c>
      <c r="F84" s="46">
        <f t="shared" si="64"/>
        <v>0</v>
      </c>
      <c r="G84" s="46">
        <f t="shared" si="64"/>
        <v>0</v>
      </c>
      <c r="H84" s="46">
        <f t="shared" si="64"/>
        <v>0</v>
      </c>
      <c r="I84" s="46">
        <f t="shared" si="64"/>
        <v>0</v>
      </c>
      <c r="J84" s="46">
        <f t="shared" si="64"/>
        <v>0</v>
      </c>
      <c r="K84" s="46">
        <f t="shared" si="64"/>
        <v>0</v>
      </c>
      <c r="L84" s="46">
        <f t="shared" si="64"/>
        <v>0</v>
      </c>
      <c r="M84" s="46">
        <f t="shared" si="64"/>
        <v>0</v>
      </c>
      <c r="N84" s="46">
        <f t="shared" si="64"/>
        <v>0</v>
      </c>
      <c r="O84" s="46">
        <f t="shared" si="64"/>
        <v>0</v>
      </c>
      <c r="P84" s="46">
        <f t="shared" si="64"/>
        <v>0</v>
      </c>
      <c r="Q84" s="46">
        <f t="shared" si="64"/>
        <v>0</v>
      </c>
      <c r="R84" s="46">
        <f t="shared" si="64"/>
        <v>0</v>
      </c>
      <c r="S84" s="46">
        <f t="shared" si="64"/>
        <v>0</v>
      </c>
      <c r="T84" s="46">
        <f t="shared" si="64"/>
        <v>0</v>
      </c>
      <c r="U84" s="46">
        <f t="shared" si="64"/>
        <v>0</v>
      </c>
      <c r="V84" s="46">
        <f t="shared" si="64"/>
        <v>0</v>
      </c>
      <c r="W84" s="46">
        <f t="shared" si="64"/>
        <v>0</v>
      </c>
      <c r="X84" s="46">
        <f t="shared" si="64"/>
        <v>0</v>
      </c>
      <c r="Y84" s="46">
        <f t="shared" si="64"/>
        <v>0</v>
      </c>
      <c r="Z84" s="46">
        <f t="shared" si="64"/>
        <v>0</v>
      </c>
      <c r="AA84" s="46">
        <f t="shared" si="64"/>
        <v>0</v>
      </c>
      <c r="AB84" s="46">
        <f t="shared" si="64"/>
        <v>0</v>
      </c>
      <c r="AC84" s="46">
        <f t="shared" si="64"/>
        <v>0</v>
      </c>
      <c r="AD84" s="46">
        <f t="shared" si="64"/>
        <v>0</v>
      </c>
      <c r="AE84" s="46">
        <f t="shared" si="64"/>
        <v>0</v>
      </c>
      <c r="AF84" s="46">
        <f t="shared" si="64"/>
        <v>0</v>
      </c>
      <c r="AG84" s="46">
        <f t="shared" si="64"/>
        <v>0</v>
      </c>
      <c r="AH84" s="46">
        <f t="shared" si="64"/>
        <v>0</v>
      </c>
      <c r="AI84" s="46">
        <f t="shared" si="64"/>
        <v>0</v>
      </c>
      <c r="AJ84" s="46">
        <f t="shared" si="64"/>
        <v>0</v>
      </c>
      <c r="AK84" s="46">
        <f t="shared" ref="AK84:BP84" si="65">AK82-AK83</f>
        <v>0</v>
      </c>
      <c r="AL84" s="46">
        <f t="shared" si="65"/>
        <v>0</v>
      </c>
      <c r="AM84" s="46">
        <f t="shared" si="65"/>
        <v>0</v>
      </c>
      <c r="AN84" s="46">
        <f t="shared" si="65"/>
        <v>0</v>
      </c>
      <c r="AO84" s="46">
        <f t="shared" si="65"/>
        <v>0</v>
      </c>
      <c r="AP84" s="46">
        <f t="shared" si="65"/>
        <v>0</v>
      </c>
      <c r="AQ84" s="46">
        <f t="shared" si="65"/>
        <v>0</v>
      </c>
      <c r="AR84" s="46">
        <f t="shared" si="65"/>
        <v>0</v>
      </c>
      <c r="AS84" s="46">
        <f t="shared" si="65"/>
        <v>0</v>
      </c>
      <c r="AT84" s="46">
        <f t="shared" si="65"/>
        <v>0</v>
      </c>
      <c r="AU84" s="46">
        <f t="shared" si="65"/>
        <v>0</v>
      </c>
      <c r="AV84" s="46">
        <f t="shared" si="65"/>
        <v>0</v>
      </c>
      <c r="AW84" s="46">
        <f t="shared" si="65"/>
        <v>0</v>
      </c>
      <c r="AX84" s="46">
        <f t="shared" si="65"/>
        <v>0</v>
      </c>
      <c r="AY84" s="46">
        <f t="shared" si="65"/>
        <v>0</v>
      </c>
      <c r="AZ84" s="46">
        <f t="shared" si="65"/>
        <v>0</v>
      </c>
      <c r="BA84" s="46">
        <f t="shared" si="65"/>
        <v>61.173399200950222</v>
      </c>
      <c r="BB84" s="46">
        <f t="shared" si="65"/>
        <v>55.969619892029463</v>
      </c>
      <c r="BC84" s="46">
        <f t="shared" si="65"/>
        <v>55.004626445615159</v>
      </c>
      <c r="BD84" s="46">
        <f t="shared" si="65"/>
        <v>54.039632999200855</v>
      </c>
      <c r="BE84" s="46">
        <f t="shared" si="65"/>
        <v>53.07463955278655</v>
      </c>
      <c r="BF84" s="46">
        <f t="shared" si="65"/>
        <v>52.109646106372246</v>
      </c>
      <c r="BG84" s="46">
        <f t="shared" si="65"/>
        <v>51.144652659957941</v>
      </c>
      <c r="BH84" s="46">
        <f t="shared" si="65"/>
        <v>50.179659213543644</v>
      </c>
      <c r="BI84" s="46">
        <f t="shared" si="65"/>
        <v>49.214665767129347</v>
      </c>
      <c r="BJ84" s="46">
        <f t="shared" si="65"/>
        <v>48.249672320715042</v>
      </c>
      <c r="BK84" s="46">
        <f t="shared" si="65"/>
        <v>47.284678874300738</v>
      </c>
      <c r="BL84" s="46">
        <f t="shared" si="65"/>
        <v>46.319685427886441</v>
      </c>
      <c r="BM84" s="32"/>
      <c r="BN84" s="32"/>
    </row>
    <row r="85" spans="1:66" ht="20" customHeight="1">
      <c r="A85" s="30"/>
      <c r="B85" s="30"/>
      <c r="C85" s="31"/>
      <c r="D85" s="31"/>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row>
    <row r="86" spans="1:66" ht="20" customHeight="1">
      <c r="A86" s="30"/>
      <c r="B86" s="30"/>
      <c r="C86" s="31"/>
      <c r="D86" s="31"/>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row>
    <row r="87" spans="1:66" ht="20" customHeight="1">
      <c r="A87" s="30"/>
      <c r="B87" s="30"/>
      <c r="C87" s="31"/>
      <c r="D87" s="31"/>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row>
    <row r="88" spans="1:66" ht="20" customHeight="1">
      <c r="A88" s="30"/>
      <c r="B88" s="30"/>
      <c r="C88" s="31"/>
      <c r="D88" s="31"/>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row>
    <row r="89" spans="1:66" ht="20" customHeight="1">
      <c r="A89" s="30"/>
      <c r="B89" s="30"/>
      <c r="C89" s="31" t="s">
        <v>251</v>
      </c>
      <c r="D89" s="31"/>
      <c r="E89" s="46">
        <f t="shared" ref="E89:AJ89" si="66">E11+E18+E25+E32+E39+E46+E53+E60+E67+E74+E81</f>
        <v>13.008333333333333</v>
      </c>
      <c r="F89" s="46">
        <f t="shared" si="66"/>
        <v>13.008333333333331</v>
      </c>
      <c r="G89" s="46">
        <f t="shared" si="66"/>
        <v>15.760648301825503</v>
      </c>
      <c r="H89" s="46">
        <f t="shared" si="66"/>
        <v>15.741937336271931</v>
      </c>
      <c r="I89" s="46">
        <f t="shared" si="66"/>
        <v>15.741937336271931</v>
      </c>
      <c r="J89" s="46">
        <f t="shared" si="66"/>
        <v>15.741937336271931</v>
      </c>
      <c r="K89" s="46">
        <f t="shared" si="66"/>
        <v>15.825270669605265</v>
      </c>
      <c r="L89" s="46">
        <f t="shared" si="66"/>
        <v>15.825270669605263</v>
      </c>
      <c r="M89" s="46">
        <f t="shared" si="66"/>
        <v>15.825270669605263</v>
      </c>
      <c r="N89" s="46">
        <f t="shared" si="66"/>
        <v>15.825270669605263</v>
      </c>
      <c r="O89" s="46">
        <f t="shared" si="66"/>
        <v>15.825270669605263</v>
      </c>
      <c r="P89" s="46">
        <f t="shared" si="66"/>
        <v>15.825270669605263</v>
      </c>
      <c r="Q89" s="46">
        <f t="shared" si="66"/>
        <v>14.326374298991997</v>
      </c>
      <c r="R89" s="46">
        <f t="shared" si="66"/>
        <v>14.326374298991997</v>
      </c>
      <c r="S89" s="46">
        <f t="shared" si="66"/>
        <v>13.892105701245391</v>
      </c>
      <c r="T89" s="46">
        <f t="shared" si="66"/>
        <v>13.892105701245391</v>
      </c>
      <c r="U89" s="46">
        <f t="shared" si="66"/>
        <v>13.892105701245391</v>
      </c>
      <c r="V89" s="46">
        <f t="shared" si="66"/>
        <v>13.892105701245391</v>
      </c>
      <c r="W89" s="46">
        <f t="shared" si="66"/>
        <v>13.89210570124539</v>
      </c>
      <c r="X89" s="46">
        <f t="shared" si="66"/>
        <v>13.89210570124539</v>
      </c>
      <c r="Y89" s="46">
        <f t="shared" si="66"/>
        <v>13.89210570124539</v>
      </c>
      <c r="Z89" s="46">
        <f t="shared" si="66"/>
        <v>13.89210570124539</v>
      </c>
      <c r="AA89" s="46">
        <f t="shared" si="66"/>
        <v>13.89210570124539</v>
      </c>
      <c r="AB89" s="46">
        <f t="shared" si="66"/>
        <v>13.89210570124539</v>
      </c>
      <c r="AC89" s="46">
        <f t="shared" si="66"/>
        <v>12.161726887937739</v>
      </c>
      <c r="AD89" s="46">
        <f t="shared" si="66"/>
        <v>12.161726887937739</v>
      </c>
      <c r="AE89" s="46">
        <f t="shared" si="66"/>
        <v>11.675744738938771</v>
      </c>
      <c r="AF89" s="46">
        <f t="shared" si="66"/>
        <v>11.675744738938771</v>
      </c>
      <c r="AG89" s="46">
        <f t="shared" si="66"/>
        <v>11.675744738938771</v>
      </c>
      <c r="AH89" s="46">
        <f t="shared" si="66"/>
        <v>11.675744738938771</v>
      </c>
      <c r="AI89" s="46">
        <f t="shared" si="66"/>
        <v>11.675744738938771</v>
      </c>
      <c r="AJ89" s="46">
        <f t="shared" si="66"/>
        <v>11.675744738938773</v>
      </c>
      <c r="AK89" s="46">
        <f t="shared" ref="AK89:BL89" si="67">AK11+AK18+AK25+AK32+AK39+AK46+AK53+AK60+AK67+AK74+AK81</f>
        <v>11.675744738938773</v>
      </c>
      <c r="AL89" s="46">
        <f t="shared" si="67"/>
        <v>11.675744738938773</v>
      </c>
      <c r="AM89" s="46">
        <f t="shared" si="67"/>
        <v>11.675744738938773</v>
      </c>
      <c r="AN89" s="46">
        <f t="shared" si="67"/>
        <v>11.675744738938773</v>
      </c>
      <c r="AO89" s="46">
        <f t="shared" si="67"/>
        <v>10.055943776419401</v>
      </c>
      <c r="AP89" s="46">
        <f t="shared" si="67"/>
        <v>10.055943776419401</v>
      </c>
      <c r="AQ89" s="46">
        <f t="shared" si="67"/>
        <v>9.5232790011142203</v>
      </c>
      <c r="AR89" s="46">
        <f t="shared" si="67"/>
        <v>9.5232790011142203</v>
      </c>
      <c r="AS89" s="46">
        <f t="shared" si="67"/>
        <v>9.5232790011142203</v>
      </c>
      <c r="AT89" s="46">
        <f t="shared" si="67"/>
        <v>9.5232790011142203</v>
      </c>
      <c r="AU89" s="46">
        <f t="shared" si="67"/>
        <v>9.5232790011142203</v>
      </c>
      <c r="AV89" s="46">
        <f t="shared" si="67"/>
        <v>9.5232790011142185</v>
      </c>
      <c r="AW89" s="46">
        <f t="shared" si="67"/>
        <v>9.5232790011142185</v>
      </c>
      <c r="AX89" s="46">
        <f t="shared" si="67"/>
        <v>9.5232790011142185</v>
      </c>
      <c r="AY89" s="46">
        <f t="shared" si="67"/>
        <v>9.5232790011142168</v>
      </c>
      <c r="AZ89" s="46">
        <f t="shared" si="67"/>
        <v>9.5232790011142168</v>
      </c>
      <c r="BA89" s="46">
        <f t="shared" si="67"/>
        <v>8.489301979182116</v>
      </c>
      <c r="BB89" s="46">
        <f t="shared" si="67"/>
        <v>8.489301979182116</v>
      </c>
      <c r="BC89" s="46">
        <f t="shared" si="67"/>
        <v>7.9010669998948071</v>
      </c>
      <c r="BD89" s="46">
        <f t="shared" si="67"/>
        <v>7.9010669998948071</v>
      </c>
      <c r="BE89" s="46">
        <f t="shared" si="67"/>
        <v>7.9010669998948071</v>
      </c>
      <c r="BF89" s="46">
        <f t="shared" si="67"/>
        <v>7.9010669998948071</v>
      </c>
      <c r="BG89" s="46">
        <f t="shared" si="67"/>
        <v>7.9010669998948071</v>
      </c>
      <c r="BH89" s="46">
        <f t="shared" si="67"/>
        <v>7.9010669998948071</v>
      </c>
      <c r="BI89" s="46">
        <f t="shared" si="67"/>
        <v>7.9010669998948071</v>
      </c>
      <c r="BJ89" s="46">
        <f t="shared" si="67"/>
        <v>7.9010669998948071</v>
      </c>
      <c r="BK89" s="46">
        <f t="shared" si="67"/>
        <v>7.9010669998948071</v>
      </c>
      <c r="BL89" s="46">
        <f t="shared" si="67"/>
        <v>7.9010669998948062</v>
      </c>
      <c r="BM89" s="32"/>
      <c r="BN89" s="32"/>
    </row>
    <row r="90" spans="1:66" ht="20" customHeight="1">
      <c r="A90" s="30"/>
      <c r="B90" s="30"/>
      <c r="C90" s="31" t="s">
        <v>252</v>
      </c>
      <c r="D90" s="31"/>
      <c r="E90" s="46">
        <f t="shared" ref="E90:AJ90" si="68">E10+E17+E24+E31+E38+E45+E52+E59+E66+E73+E80</f>
        <v>0</v>
      </c>
      <c r="F90" s="46">
        <f t="shared" si="68"/>
        <v>0</v>
      </c>
      <c r="G90" s="46">
        <f t="shared" si="68"/>
        <v>181.07586462636453</v>
      </c>
      <c r="H90" s="46">
        <f t="shared" si="68"/>
        <v>0</v>
      </c>
      <c r="I90" s="46">
        <f t="shared" si="68"/>
        <v>0</v>
      </c>
      <c r="J90" s="46">
        <f t="shared" si="68"/>
        <v>0</v>
      </c>
      <c r="K90" s="46">
        <f t="shared" si="68"/>
        <v>5</v>
      </c>
      <c r="L90" s="46">
        <f t="shared" si="68"/>
        <v>0</v>
      </c>
      <c r="M90" s="46">
        <f t="shared" si="68"/>
        <v>0</v>
      </c>
      <c r="N90" s="46">
        <f t="shared" si="68"/>
        <v>0</v>
      </c>
      <c r="O90" s="46">
        <f t="shared" si="68"/>
        <v>0</v>
      </c>
      <c r="P90" s="46">
        <f t="shared" si="68"/>
        <v>0</v>
      </c>
      <c r="Q90" s="46">
        <f t="shared" si="68"/>
        <v>62.210236475542601</v>
      </c>
      <c r="R90" s="46">
        <f t="shared" si="68"/>
        <v>0</v>
      </c>
      <c r="S90" s="46">
        <f t="shared" si="68"/>
        <v>0</v>
      </c>
      <c r="T90" s="46">
        <f t="shared" si="68"/>
        <v>0</v>
      </c>
      <c r="U90" s="46">
        <f t="shared" si="68"/>
        <v>0</v>
      </c>
      <c r="V90" s="46">
        <f t="shared" si="68"/>
        <v>0</v>
      </c>
      <c r="W90" s="46">
        <f t="shared" si="68"/>
        <v>0</v>
      </c>
      <c r="X90" s="46">
        <f t="shared" si="68"/>
        <v>0</v>
      </c>
      <c r="Y90" s="46">
        <f t="shared" si="68"/>
        <v>0</v>
      </c>
      <c r="Z90" s="46">
        <f t="shared" si="68"/>
        <v>0</v>
      </c>
      <c r="AA90" s="46">
        <f t="shared" si="68"/>
        <v>0</v>
      </c>
      <c r="AB90" s="46">
        <f t="shared" si="68"/>
        <v>0</v>
      </c>
      <c r="AC90" s="46">
        <f t="shared" si="68"/>
        <v>62.210236475542601</v>
      </c>
      <c r="AD90" s="46">
        <f t="shared" si="68"/>
        <v>0</v>
      </c>
      <c r="AE90" s="46">
        <f t="shared" si="68"/>
        <v>0</v>
      </c>
      <c r="AF90" s="46">
        <f t="shared" si="68"/>
        <v>0</v>
      </c>
      <c r="AG90" s="46">
        <f t="shared" si="68"/>
        <v>0</v>
      </c>
      <c r="AH90" s="46">
        <f t="shared" si="68"/>
        <v>0</v>
      </c>
      <c r="AI90" s="46">
        <f t="shared" si="68"/>
        <v>0</v>
      </c>
      <c r="AJ90" s="46">
        <f t="shared" si="68"/>
        <v>0</v>
      </c>
      <c r="AK90" s="46">
        <f t="shared" ref="AK90:BL90" si="69">AK10+AK17+AK24+AK31+AK38+AK45+AK52+AK59+AK66+AK73+AK80</f>
        <v>0</v>
      </c>
      <c r="AL90" s="46">
        <f t="shared" si="69"/>
        <v>0</v>
      </c>
      <c r="AM90" s="46">
        <f t="shared" si="69"/>
        <v>0</v>
      </c>
      <c r="AN90" s="46">
        <f t="shared" si="69"/>
        <v>0</v>
      </c>
      <c r="AO90" s="46">
        <f t="shared" si="69"/>
        <v>62.210236475542601</v>
      </c>
      <c r="AP90" s="46">
        <f t="shared" si="69"/>
        <v>0</v>
      </c>
      <c r="AQ90" s="46">
        <f t="shared" si="69"/>
        <v>0</v>
      </c>
      <c r="AR90" s="46">
        <f t="shared" si="69"/>
        <v>0</v>
      </c>
      <c r="AS90" s="46">
        <f t="shared" si="69"/>
        <v>0</v>
      </c>
      <c r="AT90" s="46">
        <f t="shared" si="69"/>
        <v>0</v>
      </c>
      <c r="AU90" s="46">
        <f t="shared" si="69"/>
        <v>0</v>
      </c>
      <c r="AV90" s="46">
        <f t="shared" si="69"/>
        <v>0</v>
      </c>
      <c r="AW90" s="46">
        <f t="shared" si="69"/>
        <v>0</v>
      </c>
      <c r="AX90" s="46">
        <f t="shared" si="69"/>
        <v>0</v>
      </c>
      <c r="AY90" s="46">
        <f t="shared" si="69"/>
        <v>0</v>
      </c>
      <c r="AZ90" s="46">
        <f t="shared" si="69"/>
        <v>0</v>
      </c>
      <c r="BA90" s="46">
        <f t="shared" si="69"/>
        <v>62.210236475542601</v>
      </c>
      <c r="BB90" s="46">
        <f t="shared" si="69"/>
        <v>0</v>
      </c>
      <c r="BC90" s="46">
        <f t="shared" si="69"/>
        <v>0</v>
      </c>
      <c r="BD90" s="46">
        <f t="shared" si="69"/>
        <v>0</v>
      </c>
      <c r="BE90" s="46">
        <f t="shared" si="69"/>
        <v>0</v>
      </c>
      <c r="BF90" s="46">
        <f t="shared" si="69"/>
        <v>0</v>
      </c>
      <c r="BG90" s="46">
        <f t="shared" si="69"/>
        <v>0</v>
      </c>
      <c r="BH90" s="46">
        <f t="shared" si="69"/>
        <v>0</v>
      </c>
      <c r="BI90" s="46">
        <f t="shared" si="69"/>
        <v>0</v>
      </c>
      <c r="BJ90" s="46">
        <f t="shared" si="69"/>
        <v>0</v>
      </c>
      <c r="BK90" s="46">
        <f t="shared" si="69"/>
        <v>0</v>
      </c>
      <c r="BL90" s="46">
        <f t="shared" si="69"/>
        <v>0</v>
      </c>
      <c r="BM90" s="32"/>
      <c r="BN90" s="32"/>
    </row>
    <row r="91" spans="1:66" ht="20" customHeight="1">
      <c r="A91" s="30"/>
      <c r="B91" s="30"/>
      <c r="C91" s="31" t="s">
        <v>253</v>
      </c>
      <c r="D91" s="31"/>
      <c r="E91" s="46">
        <f t="shared" ref="E91:AJ91" si="70">E12+E19+E26+E33+E40+E47+E54+E61+E68+E75+E82</f>
        <v>439.28366666666665</v>
      </c>
      <c r="F91" s="46">
        <f t="shared" si="70"/>
        <v>426.27533333333332</v>
      </c>
      <c r="G91" s="46">
        <f t="shared" si="70"/>
        <v>582.8864680252193</v>
      </c>
      <c r="H91" s="46">
        <f t="shared" si="70"/>
        <v>566.45253068894738</v>
      </c>
      <c r="I91" s="46">
        <f t="shared" si="70"/>
        <v>550.71059335267546</v>
      </c>
      <c r="J91" s="46">
        <f t="shared" si="70"/>
        <v>534.96865601640343</v>
      </c>
      <c r="K91" s="46">
        <f t="shared" si="70"/>
        <v>524.14338534679825</v>
      </c>
      <c r="L91" s="46">
        <f t="shared" si="70"/>
        <v>508.31811467719291</v>
      </c>
      <c r="M91" s="46">
        <f t="shared" si="70"/>
        <v>492.49284400758768</v>
      </c>
      <c r="N91" s="46">
        <f t="shared" si="70"/>
        <v>476.66757333798245</v>
      </c>
      <c r="O91" s="46">
        <f t="shared" si="70"/>
        <v>460.8423026683771</v>
      </c>
      <c r="P91" s="46">
        <f t="shared" si="70"/>
        <v>445.01703199877187</v>
      </c>
      <c r="Q91" s="46">
        <f t="shared" si="70"/>
        <v>492.90089417532249</v>
      </c>
      <c r="R91" s="46">
        <f t="shared" si="70"/>
        <v>478.5745198763305</v>
      </c>
      <c r="S91" s="46">
        <f t="shared" si="70"/>
        <v>450.17561145399668</v>
      </c>
      <c r="T91" s="46">
        <f t="shared" si="70"/>
        <v>436.28350575275124</v>
      </c>
      <c r="U91" s="46">
        <f t="shared" si="70"/>
        <v>422.39140005150591</v>
      </c>
      <c r="V91" s="46">
        <f t="shared" si="70"/>
        <v>408.49929435026047</v>
      </c>
      <c r="W91" s="46">
        <f t="shared" si="70"/>
        <v>394.60718864901503</v>
      </c>
      <c r="X91" s="46">
        <f t="shared" si="70"/>
        <v>380.7150829477697</v>
      </c>
      <c r="Y91" s="46">
        <f t="shared" si="70"/>
        <v>366.82297724652426</v>
      </c>
      <c r="Z91" s="46">
        <f t="shared" si="70"/>
        <v>352.93087154527882</v>
      </c>
      <c r="AA91" s="46">
        <f t="shared" si="70"/>
        <v>339.03876584403349</v>
      </c>
      <c r="AB91" s="46">
        <f t="shared" si="70"/>
        <v>325.14666014278805</v>
      </c>
      <c r="AC91" s="46">
        <f t="shared" si="70"/>
        <v>375.19516973039288</v>
      </c>
      <c r="AD91" s="46">
        <f t="shared" si="70"/>
        <v>363.0334428424552</v>
      </c>
      <c r="AE91" s="46">
        <f t="shared" si="70"/>
        <v>336.85089538242795</v>
      </c>
      <c r="AF91" s="46">
        <f t="shared" si="70"/>
        <v>325.17515064348919</v>
      </c>
      <c r="AG91" s="46">
        <f t="shared" si="70"/>
        <v>313.49940590455043</v>
      </c>
      <c r="AH91" s="46">
        <f t="shared" si="70"/>
        <v>301.82366116561167</v>
      </c>
      <c r="AI91" s="46">
        <f t="shared" si="70"/>
        <v>290.14791642667285</v>
      </c>
      <c r="AJ91" s="46">
        <f t="shared" si="70"/>
        <v>278.47217168773409</v>
      </c>
      <c r="AK91" s="46">
        <f t="shared" ref="AK91:BL91" si="71">AK12+AK19+AK26+AK33+AK40+AK47+AK54+AK61+AK68+AK75+AK82</f>
        <v>266.79642694879533</v>
      </c>
      <c r="AL91" s="46">
        <f t="shared" si="71"/>
        <v>255.12068220985651</v>
      </c>
      <c r="AM91" s="46">
        <f t="shared" si="71"/>
        <v>243.44493747091775</v>
      </c>
      <c r="AN91" s="46">
        <f t="shared" si="71"/>
        <v>231.76919273197899</v>
      </c>
      <c r="AO91" s="46">
        <f t="shared" si="71"/>
        <v>283.92348543110216</v>
      </c>
      <c r="AP91" s="46">
        <f t="shared" si="71"/>
        <v>273.86754165468278</v>
      </c>
      <c r="AQ91" s="46">
        <f t="shared" si="71"/>
        <v>249.83745993248013</v>
      </c>
      <c r="AR91" s="46">
        <f t="shared" si="71"/>
        <v>240.31418093136588</v>
      </c>
      <c r="AS91" s="46">
        <f t="shared" si="71"/>
        <v>230.79090193025166</v>
      </c>
      <c r="AT91" s="46">
        <f t="shared" si="71"/>
        <v>221.26762292913745</v>
      </c>
      <c r="AU91" s="46">
        <f t="shared" si="71"/>
        <v>211.74434392802323</v>
      </c>
      <c r="AV91" s="46">
        <f t="shared" si="71"/>
        <v>202.22106492690898</v>
      </c>
      <c r="AW91" s="46">
        <f t="shared" si="71"/>
        <v>192.69778592579476</v>
      </c>
      <c r="AX91" s="46">
        <f t="shared" si="71"/>
        <v>183.17450692468051</v>
      </c>
      <c r="AY91" s="46">
        <f t="shared" si="71"/>
        <v>173.6512279235663</v>
      </c>
      <c r="AZ91" s="46">
        <f t="shared" si="71"/>
        <v>164.12794892245211</v>
      </c>
      <c r="BA91" s="46">
        <f t="shared" si="71"/>
        <v>217.84888341881256</v>
      </c>
      <c r="BB91" s="46">
        <f t="shared" si="71"/>
        <v>209.35958143963046</v>
      </c>
      <c r="BC91" s="46">
        <f t="shared" si="71"/>
        <v>186.95171171864718</v>
      </c>
      <c r="BD91" s="46">
        <f t="shared" si="71"/>
        <v>179.05064471875241</v>
      </c>
      <c r="BE91" s="46">
        <f t="shared" si="71"/>
        <v>171.14957771885759</v>
      </c>
      <c r="BF91" s="46">
        <f t="shared" si="71"/>
        <v>163.24851071896279</v>
      </c>
      <c r="BG91" s="46">
        <f t="shared" si="71"/>
        <v>155.34744371906794</v>
      </c>
      <c r="BH91" s="46">
        <f t="shared" si="71"/>
        <v>147.44637671917314</v>
      </c>
      <c r="BI91" s="46">
        <f t="shared" si="71"/>
        <v>139.54530971927835</v>
      </c>
      <c r="BJ91" s="46">
        <f t="shared" si="71"/>
        <v>131.64424271938353</v>
      </c>
      <c r="BK91" s="46">
        <f t="shared" si="71"/>
        <v>123.74317571948873</v>
      </c>
      <c r="BL91" s="46">
        <f t="shared" si="71"/>
        <v>115.84210871959392</v>
      </c>
      <c r="BM91" s="32"/>
      <c r="BN91" s="32"/>
    </row>
    <row r="92" spans="1:66" ht="20" customHeight="1">
      <c r="A92" s="30"/>
      <c r="B92" s="30"/>
      <c r="C92" s="31" t="s">
        <v>254</v>
      </c>
      <c r="D92" s="31"/>
      <c r="E92" s="46">
        <f t="shared" ref="E92:AJ92" si="72">E14+E21+E28+E35+E42+E49+E56+E63+E70+E77+E84</f>
        <v>439.28366666666665</v>
      </c>
      <c r="F92" s="46">
        <f t="shared" si="72"/>
        <v>417.57125170068025</v>
      </c>
      <c r="G92" s="46">
        <f t="shared" si="72"/>
        <v>582.19446802521929</v>
      </c>
      <c r="H92" s="46">
        <f t="shared" si="72"/>
        <v>566.45253068894738</v>
      </c>
      <c r="I92" s="46">
        <f t="shared" si="72"/>
        <v>550.71059335267546</v>
      </c>
      <c r="J92" s="46">
        <f t="shared" si="72"/>
        <v>534.96865601640343</v>
      </c>
      <c r="K92" s="46">
        <f t="shared" si="72"/>
        <v>524.14338534679825</v>
      </c>
      <c r="L92" s="46">
        <f t="shared" si="72"/>
        <v>508.31811467719291</v>
      </c>
      <c r="M92" s="46">
        <f t="shared" si="72"/>
        <v>492.49284400758768</v>
      </c>
      <c r="N92" s="46">
        <f t="shared" si="72"/>
        <v>476.66757333798245</v>
      </c>
      <c r="O92" s="46">
        <f t="shared" si="72"/>
        <v>460.8423026683771</v>
      </c>
      <c r="P92" s="46">
        <f t="shared" si="72"/>
        <v>445.01703199877187</v>
      </c>
      <c r="Q92" s="46">
        <f t="shared" si="72"/>
        <v>492.90089417532249</v>
      </c>
      <c r="R92" s="46">
        <f t="shared" si="72"/>
        <v>464.06771715524212</v>
      </c>
      <c r="S92" s="46">
        <f t="shared" si="72"/>
        <v>450.17561145399668</v>
      </c>
      <c r="T92" s="46">
        <f t="shared" si="72"/>
        <v>436.28350575275124</v>
      </c>
      <c r="U92" s="46">
        <f t="shared" si="72"/>
        <v>422.39140005150591</v>
      </c>
      <c r="V92" s="46">
        <f t="shared" si="72"/>
        <v>408.49929435026047</v>
      </c>
      <c r="W92" s="46">
        <f t="shared" si="72"/>
        <v>394.60718864901503</v>
      </c>
      <c r="X92" s="46">
        <f t="shared" si="72"/>
        <v>380.7150829477697</v>
      </c>
      <c r="Y92" s="46">
        <f t="shared" si="72"/>
        <v>366.82297724652426</v>
      </c>
      <c r="Z92" s="46">
        <f t="shared" si="72"/>
        <v>352.93087154527882</v>
      </c>
      <c r="AA92" s="46">
        <f t="shared" si="72"/>
        <v>339.03876584403349</v>
      </c>
      <c r="AB92" s="46">
        <f t="shared" si="72"/>
        <v>325.14666014278805</v>
      </c>
      <c r="AC92" s="46">
        <f t="shared" si="72"/>
        <v>375.19516973039288</v>
      </c>
      <c r="AD92" s="46">
        <f t="shared" si="72"/>
        <v>348.52664012136671</v>
      </c>
      <c r="AE92" s="46">
        <f t="shared" si="72"/>
        <v>336.85089538242795</v>
      </c>
      <c r="AF92" s="46">
        <f t="shared" si="72"/>
        <v>325.17515064348919</v>
      </c>
      <c r="AG92" s="46">
        <f t="shared" si="72"/>
        <v>313.49940590455043</v>
      </c>
      <c r="AH92" s="46">
        <f t="shared" si="72"/>
        <v>301.82366116561167</v>
      </c>
      <c r="AI92" s="46">
        <f t="shared" si="72"/>
        <v>290.14791642667285</v>
      </c>
      <c r="AJ92" s="46">
        <f t="shared" si="72"/>
        <v>278.47217168773409</v>
      </c>
      <c r="AK92" s="46">
        <f t="shared" ref="AK92:BL92" si="73">AK14+AK21+AK28+AK35+AK42+AK49+AK56+AK63+AK70+AK77+AK84</f>
        <v>266.79642694879533</v>
      </c>
      <c r="AL92" s="46">
        <f t="shared" si="73"/>
        <v>255.12068220985651</v>
      </c>
      <c r="AM92" s="46">
        <f t="shared" si="73"/>
        <v>243.44493747091775</v>
      </c>
      <c r="AN92" s="46">
        <f t="shared" si="73"/>
        <v>231.76919273197899</v>
      </c>
      <c r="AO92" s="46">
        <f t="shared" si="73"/>
        <v>283.92348543110216</v>
      </c>
      <c r="AP92" s="46">
        <f t="shared" si="73"/>
        <v>259.36073893359435</v>
      </c>
      <c r="AQ92" s="46">
        <f t="shared" si="73"/>
        <v>249.83745993248013</v>
      </c>
      <c r="AR92" s="46">
        <f t="shared" si="73"/>
        <v>240.31418093136588</v>
      </c>
      <c r="AS92" s="46">
        <f t="shared" si="73"/>
        <v>230.79090193025166</v>
      </c>
      <c r="AT92" s="46">
        <f t="shared" si="73"/>
        <v>221.26762292913745</v>
      </c>
      <c r="AU92" s="46">
        <f t="shared" si="73"/>
        <v>211.74434392802323</v>
      </c>
      <c r="AV92" s="46">
        <f t="shared" si="73"/>
        <v>202.22106492690898</v>
      </c>
      <c r="AW92" s="46">
        <f t="shared" si="73"/>
        <v>192.69778592579476</v>
      </c>
      <c r="AX92" s="46">
        <f t="shared" si="73"/>
        <v>183.17450692468051</v>
      </c>
      <c r="AY92" s="46">
        <f t="shared" si="73"/>
        <v>173.6512279235663</v>
      </c>
      <c r="AZ92" s="46">
        <f t="shared" si="73"/>
        <v>164.12794892245211</v>
      </c>
      <c r="BA92" s="46">
        <f t="shared" si="73"/>
        <v>217.84888341881256</v>
      </c>
      <c r="BB92" s="46">
        <f t="shared" si="73"/>
        <v>194.85277871854203</v>
      </c>
      <c r="BC92" s="46">
        <f t="shared" si="73"/>
        <v>186.95171171864718</v>
      </c>
      <c r="BD92" s="46">
        <f t="shared" si="73"/>
        <v>179.05064471875241</v>
      </c>
      <c r="BE92" s="46">
        <f t="shared" si="73"/>
        <v>171.14957771885759</v>
      </c>
      <c r="BF92" s="46">
        <f t="shared" si="73"/>
        <v>163.24851071896279</v>
      </c>
      <c r="BG92" s="46">
        <f t="shared" si="73"/>
        <v>155.34744371906794</v>
      </c>
      <c r="BH92" s="46">
        <f t="shared" si="73"/>
        <v>147.44637671917314</v>
      </c>
      <c r="BI92" s="46">
        <f t="shared" si="73"/>
        <v>139.54530971927835</v>
      </c>
      <c r="BJ92" s="46">
        <f t="shared" si="73"/>
        <v>131.64424271938353</v>
      </c>
      <c r="BK92" s="46">
        <f t="shared" si="73"/>
        <v>123.74317571948873</v>
      </c>
      <c r="BL92" s="46">
        <f t="shared" si="73"/>
        <v>115.84210871959392</v>
      </c>
      <c r="BM92" s="32"/>
      <c r="BN92" s="32"/>
    </row>
    <row r="93" spans="1:66" ht="20" customHeight="1">
      <c r="A93" s="30"/>
      <c r="B93" s="30"/>
      <c r="C93" s="31"/>
      <c r="D93" s="31"/>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row>
    <row r="94" spans="1:66" ht="20" customHeight="1">
      <c r="A94" s="30"/>
      <c r="B94" s="30"/>
      <c r="C94" s="31"/>
      <c r="D94" s="31"/>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row>
    <row r="95" spans="1:66" ht="20" customHeight="1">
      <c r="A95" s="30"/>
      <c r="B95" s="30"/>
      <c r="C95" s="31"/>
      <c r="D95" s="31"/>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row>
    <row r="96" spans="1:66" ht="20" customHeight="1">
      <c r="A96" s="30"/>
      <c r="B96" s="30"/>
      <c r="C96" s="31"/>
      <c r="D96" s="31"/>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row>
    <row r="97" spans="1:66" ht="20" customHeight="1">
      <c r="A97" s="30"/>
      <c r="B97" s="30"/>
      <c r="C97" s="31"/>
      <c r="D97" s="31"/>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row>
    <row r="98" spans="1:66" ht="20" customHeight="1">
      <c r="A98" s="30"/>
      <c r="B98" s="30"/>
      <c r="C98" s="31"/>
      <c r="D98" s="31"/>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row>
    <row r="99" spans="1:66" ht="20" customHeight="1">
      <c r="A99" s="30"/>
      <c r="B99" s="30"/>
      <c r="C99" s="31"/>
      <c r="D99" s="31"/>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row>
    <row r="100" spans="1:66" ht="20" customHeight="1">
      <c r="A100" s="30"/>
      <c r="B100" s="30"/>
      <c r="C100" s="31"/>
      <c r="D100" s="31"/>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row>
    <row r="101" spans="1:66" ht="20" customHeight="1">
      <c r="A101" s="30"/>
      <c r="B101" s="30"/>
      <c r="C101" s="31"/>
      <c r="D101" s="31"/>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row>
    <row r="102" spans="1:66" ht="20" customHeight="1">
      <c r="A102" s="30"/>
      <c r="B102" s="30"/>
      <c r="C102" s="31"/>
      <c r="D102" s="31"/>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row>
    <row r="103" spans="1:66" ht="20" customHeight="1">
      <c r="A103" s="30"/>
      <c r="B103" s="30"/>
      <c r="C103" s="31"/>
      <c r="D103" s="31"/>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row>
    <row r="104" spans="1:66" ht="20" customHeight="1">
      <c r="A104" s="30"/>
      <c r="B104" s="30"/>
      <c r="C104" s="31"/>
      <c r="D104" s="31"/>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row>
    <row r="105" spans="1:66" ht="20" customHeight="1">
      <c r="A105" s="30"/>
      <c r="B105" s="30"/>
      <c r="C105" s="31"/>
      <c r="D105" s="31"/>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row>
    <row r="106" spans="1:66" ht="20" customHeight="1">
      <c r="A106" s="30"/>
      <c r="B106" s="30"/>
      <c r="C106" s="31"/>
      <c r="D106" s="31"/>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row>
    <row r="107" spans="1:66" ht="20" customHeight="1">
      <c r="A107" s="30"/>
      <c r="B107" s="30"/>
      <c r="C107" s="31"/>
      <c r="D107" s="31"/>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row>
    <row r="108" spans="1:66" ht="20" customHeight="1">
      <c r="A108" s="30"/>
      <c r="B108" s="30"/>
      <c r="C108" s="31"/>
      <c r="D108" s="31"/>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row>
    <row r="109" spans="1:66" ht="20" customHeight="1">
      <c r="A109" s="30"/>
      <c r="B109" s="30"/>
      <c r="C109" s="31"/>
      <c r="D109" s="31"/>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row>
    <row r="110" spans="1:66" ht="20" customHeight="1">
      <c r="A110" s="30"/>
      <c r="B110" s="30"/>
      <c r="C110" s="31"/>
      <c r="D110" s="31"/>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row>
    <row r="111" spans="1:66" ht="20" customHeight="1">
      <c r="A111" s="30"/>
      <c r="B111" s="30"/>
      <c r="C111" s="31"/>
      <c r="D111" s="31"/>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row>
    <row r="112" spans="1:66" ht="20" customHeight="1">
      <c r="A112" s="30"/>
      <c r="B112" s="30"/>
      <c r="C112" s="31"/>
      <c r="D112" s="31"/>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row>
    <row r="113" spans="1:66" ht="20" customHeight="1">
      <c r="A113" s="30"/>
      <c r="B113" s="30"/>
      <c r="C113" s="31"/>
      <c r="D113" s="31"/>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row>
    <row r="114" spans="1:66" ht="20" customHeight="1">
      <c r="A114" s="30"/>
      <c r="B114" s="30"/>
      <c r="C114" s="31"/>
      <c r="D114" s="31"/>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row>
    <row r="115" spans="1:66" ht="20" customHeight="1">
      <c r="A115" s="30"/>
      <c r="B115" s="30"/>
      <c r="C115" s="31"/>
      <c r="D115" s="31"/>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row>
    <row r="116" spans="1:66" ht="20" customHeight="1">
      <c r="A116" s="30"/>
      <c r="B116" s="30"/>
      <c r="C116" s="31"/>
      <c r="D116" s="31"/>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row>
    <row r="117" spans="1:66" ht="20" customHeight="1">
      <c r="A117" s="30"/>
      <c r="B117" s="30"/>
      <c r="C117" s="31"/>
      <c r="D117" s="31"/>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row>
    <row r="118" spans="1:66" ht="20" customHeight="1">
      <c r="A118" s="30"/>
      <c r="B118" s="30"/>
      <c r="C118" s="31"/>
      <c r="D118" s="31"/>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row>
    <row r="119" spans="1:66" ht="20" customHeight="1">
      <c r="A119" s="30"/>
      <c r="B119" s="30"/>
      <c r="C119" s="31"/>
      <c r="D119" s="31"/>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row>
    <row r="120" spans="1:66" ht="20" customHeight="1">
      <c r="A120" s="30"/>
      <c r="B120" s="30"/>
      <c r="C120" s="31"/>
      <c r="D120" s="31"/>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row>
    <row r="121" spans="1:66" ht="20" customHeight="1">
      <c r="A121" s="30"/>
      <c r="B121" s="30"/>
      <c r="C121" s="31"/>
      <c r="D121" s="31"/>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row>
    <row r="122" spans="1:66" ht="20" customHeight="1">
      <c r="A122" s="30"/>
      <c r="B122" s="30"/>
      <c r="C122" s="31"/>
      <c r="D122" s="31"/>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row>
    <row r="123" spans="1:66" ht="20" customHeight="1">
      <c r="A123" s="30"/>
      <c r="B123" s="30"/>
      <c r="C123" s="31"/>
      <c r="D123" s="31"/>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row>
    <row r="124" spans="1:66" ht="20" customHeight="1">
      <c r="A124" s="30"/>
      <c r="B124" s="30"/>
      <c r="C124" s="31"/>
      <c r="D124" s="31"/>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row>
    <row r="125" spans="1:66" ht="20" customHeight="1">
      <c r="A125" s="30"/>
      <c r="B125" s="30"/>
      <c r="C125" s="31"/>
      <c r="D125" s="31"/>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row>
    <row r="126" spans="1:66" ht="20" customHeight="1">
      <c r="A126" s="30"/>
      <c r="B126" s="30"/>
      <c r="C126" s="31"/>
      <c r="D126" s="31"/>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row>
    <row r="127" spans="1:66" ht="20" customHeight="1">
      <c r="A127" s="30"/>
      <c r="B127" s="30"/>
      <c r="C127" s="31"/>
      <c r="D127" s="31"/>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row>
    <row r="128" spans="1:66" ht="20" customHeight="1">
      <c r="A128" s="30"/>
      <c r="B128" s="30"/>
      <c r="C128" s="31"/>
      <c r="D128" s="31"/>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row>
    <row r="129" spans="1:66" ht="20" customHeight="1">
      <c r="A129" s="30"/>
      <c r="B129" s="30"/>
      <c r="C129" s="31"/>
      <c r="D129" s="31"/>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row>
    <row r="130" spans="1:66" ht="20" customHeight="1">
      <c r="A130" s="30"/>
      <c r="B130" s="30"/>
      <c r="C130" s="31"/>
      <c r="D130" s="31"/>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row>
    <row r="131" spans="1:66" ht="20" customHeight="1">
      <c r="A131" s="30"/>
      <c r="B131" s="30"/>
      <c r="C131" s="31"/>
      <c r="D131" s="31"/>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row>
    <row r="132" spans="1:66" ht="20" customHeight="1">
      <c r="A132" s="30"/>
      <c r="B132" s="30"/>
      <c r="C132" s="31"/>
      <c r="D132" s="31"/>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row>
    <row r="133" spans="1:66" ht="20" customHeight="1">
      <c r="A133" s="30"/>
      <c r="B133" s="30"/>
      <c r="C133" s="31"/>
      <c r="D133" s="31"/>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row>
    <row r="134" spans="1:66" ht="20" customHeight="1">
      <c r="A134" s="30"/>
      <c r="B134" s="30"/>
      <c r="C134" s="31"/>
      <c r="D134" s="31"/>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row>
    <row r="135" spans="1:66" ht="20" customHeight="1">
      <c r="A135" s="30"/>
      <c r="B135" s="30"/>
      <c r="C135" s="31"/>
      <c r="D135" s="31"/>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row>
    <row r="136" spans="1:66" ht="20" customHeight="1">
      <c r="A136" s="30"/>
      <c r="B136" s="30"/>
      <c r="C136" s="31"/>
      <c r="D136" s="31"/>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row>
    <row r="137" spans="1:66" ht="20" customHeight="1">
      <c r="A137" s="30"/>
      <c r="B137" s="30"/>
      <c r="C137" s="31"/>
      <c r="D137" s="31"/>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row>
    <row r="138" spans="1:66" ht="20" customHeight="1">
      <c r="A138" s="30"/>
      <c r="B138" s="30"/>
      <c r="C138" s="31"/>
      <c r="D138" s="31"/>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row>
    <row r="139" spans="1:66" ht="20" customHeight="1">
      <c r="A139" s="30"/>
      <c r="B139" s="30"/>
      <c r="C139" s="31"/>
      <c r="D139" s="31"/>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row>
    <row r="140" spans="1:66" ht="20" customHeight="1">
      <c r="A140" s="30"/>
      <c r="B140" s="30"/>
      <c r="C140" s="31"/>
      <c r="D140" s="31"/>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row>
    <row r="141" spans="1:66" ht="20" customHeight="1">
      <c r="A141" s="30"/>
      <c r="B141" s="30"/>
      <c r="C141" s="31"/>
      <c r="D141" s="31"/>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row>
    <row r="142" spans="1:66" ht="20" customHeight="1">
      <c r="A142" s="30"/>
      <c r="B142" s="30"/>
      <c r="C142" s="31"/>
      <c r="D142" s="31"/>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row>
    <row r="143" spans="1:66" ht="20" customHeight="1">
      <c r="A143" s="30"/>
      <c r="B143" s="30"/>
      <c r="C143" s="31"/>
      <c r="D143" s="31"/>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row>
    <row r="144" spans="1:66" ht="20" customHeight="1">
      <c r="A144" s="30"/>
      <c r="B144" s="30"/>
      <c r="C144" s="31"/>
      <c r="D144" s="31"/>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row>
    <row r="145" spans="1:66" ht="20" customHeight="1">
      <c r="A145" s="30"/>
      <c r="B145" s="30"/>
      <c r="C145" s="31"/>
      <c r="D145" s="31"/>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row>
    <row r="146" spans="1:66" ht="20" customHeight="1">
      <c r="A146" s="30"/>
      <c r="B146" s="30"/>
      <c r="C146" s="31"/>
      <c r="D146" s="31"/>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row>
    <row r="147" spans="1:66" ht="20" customHeight="1">
      <c r="A147" s="30"/>
      <c r="B147" s="30"/>
      <c r="C147" s="31"/>
      <c r="D147" s="31"/>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row>
    <row r="148" spans="1:66" ht="20" customHeight="1">
      <c r="A148" s="30"/>
      <c r="B148" s="30"/>
      <c r="C148" s="31"/>
      <c r="D148" s="31"/>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row>
    <row r="149" spans="1:66" ht="20" customHeight="1">
      <c r="A149" s="30"/>
      <c r="B149" s="30"/>
      <c r="C149" s="31"/>
      <c r="D149" s="31"/>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row>
    <row r="150" spans="1:66" ht="20" customHeight="1">
      <c r="A150" s="30"/>
      <c r="B150" s="30"/>
      <c r="C150" s="31"/>
      <c r="D150" s="31"/>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row>
    <row r="151" spans="1:66" ht="20" customHeight="1">
      <c r="A151" s="30"/>
      <c r="B151" s="30"/>
      <c r="C151" s="31"/>
      <c r="D151" s="31"/>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row>
    <row r="152" spans="1:66" ht="20" customHeight="1">
      <c r="A152" s="30"/>
      <c r="B152" s="30"/>
      <c r="C152" s="31"/>
      <c r="D152" s="31"/>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row>
    <row r="153" spans="1:66" ht="20" customHeight="1">
      <c r="A153" s="30"/>
      <c r="B153" s="30"/>
      <c r="C153" s="31"/>
      <c r="D153" s="31"/>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row>
    <row r="154" spans="1:66" ht="20" customHeight="1">
      <c r="A154" s="30"/>
      <c r="B154" s="30"/>
      <c r="C154" s="31"/>
      <c r="D154" s="31"/>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row>
    <row r="155" spans="1:66" ht="20" customHeight="1">
      <c r="A155" s="30"/>
      <c r="B155" s="30"/>
      <c r="C155" s="31"/>
      <c r="D155" s="31"/>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row>
    <row r="156" spans="1:66" ht="20" customHeight="1">
      <c r="A156" s="30"/>
      <c r="B156" s="30"/>
      <c r="C156" s="31"/>
      <c r="D156" s="31"/>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row>
    <row r="157" spans="1:66" ht="20" customHeight="1">
      <c r="A157" s="30"/>
      <c r="B157" s="30"/>
      <c r="C157" s="31"/>
      <c r="D157" s="31"/>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row>
    <row r="158" spans="1:66" ht="20" customHeight="1">
      <c r="A158" s="30"/>
      <c r="B158" s="30"/>
      <c r="C158" s="31"/>
      <c r="D158" s="31"/>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row>
    <row r="159" spans="1:66" ht="20" customHeight="1">
      <c r="A159" s="30"/>
      <c r="B159" s="30"/>
      <c r="C159" s="31"/>
      <c r="D159" s="31"/>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row>
    <row r="160" spans="1:66" ht="20" customHeight="1">
      <c r="A160" s="30"/>
      <c r="B160" s="30"/>
      <c r="C160" s="31"/>
      <c r="D160" s="31"/>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row>
    <row r="161" spans="1:66" ht="20" customHeight="1">
      <c r="A161" s="30"/>
      <c r="B161" s="30"/>
      <c r="C161" s="31"/>
      <c r="D161" s="31"/>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row>
    <row r="162" spans="1:66" ht="20" customHeight="1">
      <c r="A162" s="30"/>
      <c r="B162" s="30"/>
      <c r="C162" s="31"/>
      <c r="D162" s="31"/>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row>
    <row r="163" spans="1:66" ht="20" customHeight="1">
      <c r="A163" s="30"/>
      <c r="B163" s="30"/>
      <c r="C163" s="31"/>
      <c r="D163" s="31"/>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row>
    <row r="164" spans="1:66" ht="20" customHeight="1">
      <c r="A164" s="30"/>
      <c r="B164" s="30"/>
      <c r="C164" s="31"/>
      <c r="D164" s="31"/>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row>
    <row r="165" spans="1:66" ht="20" customHeight="1">
      <c r="A165" s="30"/>
      <c r="B165" s="30"/>
      <c r="C165" s="31"/>
      <c r="D165" s="31"/>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row>
    <row r="166" spans="1:66" ht="20" customHeight="1">
      <c r="A166" s="30"/>
      <c r="B166" s="30"/>
      <c r="C166" s="31"/>
      <c r="D166" s="31"/>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row>
    <row r="167" spans="1:66" ht="20" customHeight="1">
      <c r="A167" s="30"/>
      <c r="B167" s="30"/>
      <c r="C167" s="31"/>
      <c r="D167" s="31"/>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row>
    <row r="168" spans="1:66" ht="20" customHeight="1">
      <c r="A168" s="30"/>
      <c r="B168" s="30"/>
      <c r="C168" s="31"/>
      <c r="D168" s="31"/>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row>
    <row r="169" spans="1:66" ht="20" customHeight="1">
      <c r="A169" s="30"/>
      <c r="B169" s="30"/>
      <c r="C169" s="31"/>
      <c r="D169" s="31"/>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row>
    <row r="170" spans="1:66" ht="20" customHeight="1">
      <c r="A170" s="30"/>
      <c r="B170" s="30"/>
      <c r="C170" s="31"/>
      <c r="D170" s="31"/>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row>
    <row r="171" spans="1:66" ht="20" customHeight="1">
      <c r="A171" s="30"/>
      <c r="B171" s="30"/>
      <c r="C171" s="31"/>
      <c r="D171" s="31"/>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row>
    <row r="172" spans="1:66" ht="20" customHeight="1">
      <c r="A172" s="30"/>
      <c r="B172" s="30"/>
      <c r="C172" s="31"/>
      <c r="D172" s="31"/>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row>
    <row r="173" spans="1:66" ht="20" customHeight="1">
      <c r="A173" s="30"/>
      <c r="B173" s="30"/>
      <c r="C173" s="31"/>
      <c r="D173" s="31"/>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row>
    <row r="174" spans="1:66" ht="20" customHeight="1">
      <c r="A174" s="30"/>
      <c r="B174" s="30"/>
      <c r="C174" s="31"/>
      <c r="D174" s="31"/>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row>
    <row r="175" spans="1:66" ht="20" customHeight="1">
      <c r="A175" s="30"/>
      <c r="B175" s="30"/>
      <c r="C175" s="31"/>
      <c r="D175" s="31"/>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row>
    <row r="176" spans="1:66" ht="20" customHeight="1">
      <c r="A176" s="30"/>
      <c r="B176" s="30"/>
      <c r="C176" s="31"/>
      <c r="D176" s="31"/>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row>
    <row r="177" spans="1:66" ht="20" customHeight="1">
      <c r="A177" s="30"/>
      <c r="B177" s="30"/>
      <c r="C177" s="31"/>
      <c r="D177" s="31"/>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row>
    <row r="178" spans="1:66" ht="20" customHeight="1">
      <c r="A178" s="30"/>
      <c r="B178" s="30"/>
      <c r="C178" s="31"/>
      <c r="D178" s="31"/>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row>
    <row r="179" spans="1:66" ht="20" customHeight="1">
      <c r="A179" s="30"/>
      <c r="B179" s="30"/>
      <c r="C179" s="31"/>
      <c r="D179" s="31"/>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row>
    <row r="180" spans="1:66" ht="20" customHeight="1">
      <c r="A180" s="30"/>
      <c r="B180" s="30"/>
      <c r="C180" s="31"/>
      <c r="D180" s="31"/>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row>
    <row r="181" spans="1:66" ht="20" customHeight="1">
      <c r="A181" s="30"/>
      <c r="B181" s="30"/>
      <c r="C181" s="31"/>
      <c r="D181" s="31"/>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row>
    <row r="182" spans="1:66" ht="20" customHeight="1">
      <c r="A182" s="30"/>
      <c r="B182" s="30"/>
      <c r="C182" s="31"/>
      <c r="D182" s="31"/>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row>
    <row r="183" spans="1:66" ht="20" customHeight="1">
      <c r="A183" s="30"/>
      <c r="B183" s="30"/>
      <c r="C183" s="31"/>
      <c r="D183" s="31"/>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row>
    <row r="184" spans="1:66" ht="20" customHeight="1">
      <c r="A184" s="30"/>
      <c r="B184" s="30"/>
      <c r="C184" s="31"/>
      <c r="D184" s="31"/>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row>
    <row r="185" spans="1:66" ht="20" customHeight="1">
      <c r="A185" s="30"/>
      <c r="B185" s="30"/>
      <c r="C185" s="31"/>
      <c r="D185" s="31"/>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row>
    <row r="186" spans="1:66" ht="20" customHeight="1">
      <c r="A186" s="30"/>
      <c r="B186" s="30"/>
      <c r="C186" s="31"/>
      <c r="D186" s="31"/>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row>
    <row r="187" spans="1:66" ht="20" customHeight="1">
      <c r="A187" s="30"/>
      <c r="B187" s="30"/>
      <c r="C187" s="31"/>
      <c r="D187" s="31"/>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row>
    <row r="188" spans="1:66" ht="20" customHeight="1">
      <c r="A188" s="30"/>
      <c r="B188" s="30"/>
      <c r="C188" s="31"/>
      <c r="D188" s="31"/>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row>
    <row r="189" spans="1:66" ht="20" customHeight="1">
      <c r="A189" s="30"/>
      <c r="B189" s="30"/>
      <c r="C189" s="31"/>
      <c r="D189" s="31"/>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row>
    <row r="190" spans="1:66" ht="20" customHeight="1">
      <c r="A190" s="30"/>
      <c r="B190" s="30"/>
      <c r="C190" s="31"/>
      <c r="D190" s="31"/>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row>
    <row r="191" spans="1:66" ht="20" customHeight="1">
      <c r="A191" s="30"/>
      <c r="B191" s="30"/>
      <c r="C191" s="31"/>
      <c r="D191" s="31"/>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row>
    <row r="192" spans="1:66" ht="20" customHeight="1">
      <c r="A192" s="30"/>
      <c r="B192" s="30"/>
      <c r="C192" s="31"/>
      <c r="D192" s="31"/>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row>
    <row r="193" spans="1:66" ht="20" customHeight="1">
      <c r="A193" s="30"/>
      <c r="B193" s="30"/>
      <c r="C193" s="31"/>
      <c r="D193" s="31"/>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row>
    <row r="194" spans="1:66" ht="20" customHeight="1">
      <c r="A194" s="30"/>
      <c r="B194" s="30"/>
      <c r="C194" s="31"/>
      <c r="D194" s="31"/>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row>
    <row r="195" spans="1:66" ht="20" customHeight="1">
      <c r="A195" s="30"/>
      <c r="B195" s="30"/>
      <c r="C195" s="31"/>
      <c r="D195" s="31"/>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row>
    <row r="196" spans="1:66" ht="20" customHeight="1">
      <c r="A196" s="30"/>
      <c r="B196" s="30"/>
      <c r="C196" s="31"/>
      <c r="D196" s="31"/>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row>
    <row r="197" spans="1:66" ht="20" customHeight="1">
      <c r="A197" s="30"/>
      <c r="B197" s="30"/>
      <c r="C197" s="31"/>
      <c r="D197" s="31"/>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row>
    <row r="198" spans="1:66" ht="20" customHeight="1">
      <c r="A198" s="30"/>
      <c r="B198" s="30"/>
      <c r="C198" s="31"/>
      <c r="D198" s="31"/>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row>
    <row r="199" spans="1:66" ht="20" customHeight="1">
      <c r="A199" s="30"/>
      <c r="B199" s="30"/>
      <c r="C199" s="31"/>
      <c r="D199" s="31"/>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row>
    <row r="200" spans="1:66" ht="20" customHeight="1">
      <c r="A200" s="30"/>
      <c r="B200" s="30"/>
      <c r="C200" s="31"/>
      <c r="D200" s="31"/>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07483"/>
  </sheetPr>
  <dimension ref="A1:BN200"/>
  <sheetViews>
    <sheetView showGridLines="0" workbookViewId="0">
      <pane xSplit="4" ySplit="7" topLeftCell="E8" activePane="bottomRight" state="frozen"/>
      <selection pane="topRight"/>
      <selection pane="bottomLeft"/>
      <selection pane="bottomRight" activeCell="E8" sqref="E8"/>
    </sheetView>
  </sheetViews>
  <sheetFormatPr baseColWidth="10" defaultColWidth="8.83203125" defaultRowHeight="14"/>
  <cols>
    <col min="1" max="2" width="2" customWidth="1"/>
    <col min="3" max="3" width="48" customWidth="1"/>
    <col min="4" max="4" width="3" customWidth="1"/>
    <col min="5" max="66" width="14" customWidth="1"/>
  </cols>
  <sheetData>
    <row r="1" spans="1:66" ht="20" customHeight="1">
      <c r="A1" s="30"/>
      <c r="B1" s="30"/>
      <c r="C1" s="31"/>
      <c r="D1" s="31"/>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row>
    <row r="2" spans="1:66" ht="20" customHeight="1">
      <c r="A2" s="30"/>
      <c r="B2" s="30"/>
      <c r="C2" s="33" t="s">
        <v>255</v>
      </c>
      <c r="D2" s="31"/>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row>
    <row r="3" spans="1:66" ht="20" customHeight="1">
      <c r="A3" s="30"/>
      <c r="B3" s="30"/>
      <c r="C3" s="34" t="s">
        <v>49</v>
      </c>
      <c r="D3" s="31"/>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row>
    <row r="4" spans="1:66" ht="20" customHeight="1">
      <c r="A4" s="30"/>
      <c r="B4" s="30"/>
      <c r="C4" s="31" t="s">
        <v>2</v>
      </c>
      <c r="D4" s="31"/>
      <c r="E4" s="35" t="str">
        <f>CHOOSE(Assumptions!$E$5,"Base","Downside","Upside")</f>
        <v>Base</v>
      </c>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row>
    <row r="5" spans="1:66" ht="20" customHeight="1">
      <c r="A5" s="30"/>
      <c r="B5" s="30"/>
      <c r="C5" s="31"/>
      <c r="D5" s="31"/>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row>
    <row r="6" spans="1:66" ht="20" customHeight="1">
      <c r="A6" s="30"/>
      <c r="B6" s="30"/>
      <c r="C6" s="31"/>
      <c r="D6" s="31"/>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row>
    <row r="7" spans="1:66" ht="24" customHeight="1">
      <c r="A7" s="30"/>
      <c r="B7" s="30"/>
      <c r="C7" s="36" t="s">
        <v>214</v>
      </c>
      <c r="D7" s="36"/>
      <c r="E7" s="45">
        <v>46204</v>
      </c>
      <c r="F7" s="45">
        <v>46235</v>
      </c>
      <c r="G7" s="45">
        <v>46266</v>
      </c>
      <c r="H7" s="45">
        <v>46296</v>
      </c>
      <c r="I7" s="45">
        <v>46327</v>
      </c>
      <c r="J7" s="45">
        <v>46357</v>
      </c>
      <c r="K7" s="45">
        <v>46388</v>
      </c>
      <c r="L7" s="45">
        <v>46419</v>
      </c>
      <c r="M7" s="45">
        <v>46447</v>
      </c>
      <c r="N7" s="45">
        <v>46478</v>
      </c>
      <c r="O7" s="45">
        <v>46508</v>
      </c>
      <c r="P7" s="45">
        <v>46539</v>
      </c>
      <c r="Q7" s="45">
        <v>46569</v>
      </c>
      <c r="R7" s="45">
        <v>46600</v>
      </c>
      <c r="S7" s="45">
        <v>46631</v>
      </c>
      <c r="T7" s="45">
        <v>46661</v>
      </c>
      <c r="U7" s="45">
        <v>46692</v>
      </c>
      <c r="V7" s="45">
        <v>46722</v>
      </c>
      <c r="W7" s="45">
        <v>46753</v>
      </c>
      <c r="X7" s="45">
        <v>46784</v>
      </c>
      <c r="Y7" s="45">
        <v>46813</v>
      </c>
      <c r="Z7" s="45">
        <v>46844</v>
      </c>
      <c r="AA7" s="45">
        <v>46874</v>
      </c>
      <c r="AB7" s="45">
        <v>46905</v>
      </c>
      <c r="AC7" s="45">
        <v>46935</v>
      </c>
      <c r="AD7" s="45">
        <v>46966</v>
      </c>
      <c r="AE7" s="45">
        <v>46997</v>
      </c>
      <c r="AF7" s="45">
        <v>47027</v>
      </c>
      <c r="AG7" s="45">
        <v>47058</v>
      </c>
      <c r="AH7" s="45">
        <v>47088</v>
      </c>
      <c r="AI7" s="45">
        <v>47119</v>
      </c>
      <c r="AJ7" s="45">
        <v>47150</v>
      </c>
      <c r="AK7" s="45">
        <v>47178</v>
      </c>
      <c r="AL7" s="45">
        <v>47209</v>
      </c>
      <c r="AM7" s="45">
        <v>47239</v>
      </c>
      <c r="AN7" s="45">
        <v>47270</v>
      </c>
      <c r="AO7" s="45">
        <v>47300</v>
      </c>
      <c r="AP7" s="45">
        <v>47331</v>
      </c>
      <c r="AQ7" s="45">
        <v>47362</v>
      </c>
      <c r="AR7" s="45">
        <v>47392</v>
      </c>
      <c r="AS7" s="45">
        <v>47423</v>
      </c>
      <c r="AT7" s="45">
        <v>47453</v>
      </c>
      <c r="AU7" s="45">
        <v>47484</v>
      </c>
      <c r="AV7" s="45">
        <v>47515</v>
      </c>
      <c r="AW7" s="45">
        <v>47543</v>
      </c>
      <c r="AX7" s="45">
        <v>47574</v>
      </c>
      <c r="AY7" s="45">
        <v>47604</v>
      </c>
      <c r="AZ7" s="45">
        <v>47635</v>
      </c>
      <c r="BA7" s="45">
        <v>47665</v>
      </c>
      <c r="BB7" s="45">
        <v>47696</v>
      </c>
      <c r="BC7" s="45">
        <v>47727</v>
      </c>
      <c r="BD7" s="45">
        <v>47757</v>
      </c>
      <c r="BE7" s="45">
        <v>47788</v>
      </c>
      <c r="BF7" s="45">
        <v>47818</v>
      </c>
      <c r="BG7" s="45">
        <v>47849</v>
      </c>
      <c r="BH7" s="45">
        <v>47880</v>
      </c>
      <c r="BI7" s="45">
        <v>47908</v>
      </c>
      <c r="BJ7" s="45">
        <v>47939</v>
      </c>
      <c r="BK7" s="45">
        <v>47969</v>
      </c>
      <c r="BL7" s="45">
        <v>48000</v>
      </c>
      <c r="BM7" s="32"/>
      <c r="BN7" s="32"/>
    </row>
    <row r="8" spans="1:66" ht="20" customHeight="1">
      <c r="A8" s="30"/>
      <c r="B8" s="30"/>
      <c r="C8" s="31" t="s">
        <v>256</v>
      </c>
      <c r="D8" s="31"/>
      <c r="E8" s="46">
        <f>0</f>
        <v>0</v>
      </c>
      <c r="F8" s="46">
        <f>0</f>
        <v>0</v>
      </c>
      <c r="G8" s="46">
        <f>0</f>
        <v>0</v>
      </c>
      <c r="H8" s="46">
        <f>0</f>
        <v>0</v>
      </c>
      <c r="I8" s="46">
        <f>0</f>
        <v>0</v>
      </c>
      <c r="J8" s="46">
        <f>0</f>
        <v>0</v>
      </c>
      <c r="K8" s="35">
        <f>Capacity!$E$6</f>
        <v>0</v>
      </c>
      <c r="L8" s="46">
        <f>0</f>
        <v>0</v>
      </c>
      <c r="M8" s="46">
        <f>0</f>
        <v>0</v>
      </c>
      <c r="N8" s="46">
        <f>0</f>
        <v>0</v>
      </c>
      <c r="O8" s="46">
        <f>0</f>
        <v>0</v>
      </c>
      <c r="P8" s="46">
        <f>0</f>
        <v>0</v>
      </c>
      <c r="Q8" s="35">
        <f>Assumptions!F63</f>
        <v>60</v>
      </c>
      <c r="R8" s="46">
        <f>0</f>
        <v>0</v>
      </c>
      <c r="S8" s="46">
        <f>0</f>
        <v>0</v>
      </c>
      <c r="T8" s="46">
        <f>0</f>
        <v>0</v>
      </c>
      <c r="U8" s="46">
        <f>0</f>
        <v>0</v>
      </c>
      <c r="V8" s="46">
        <f>0</f>
        <v>0</v>
      </c>
      <c r="W8" s="46">
        <f>0</f>
        <v>0</v>
      </c>
      <c r="X8" s="46">
        <f>0</f>
        <v>0</v>
      </c>
      <c r="Y8" s="46">
        <f>0</f>
        <v>0</v>
      </c>
      <c r="Z8" s="46">
        <f>0</f>
        <v>0</v>
      </c>
      <c r="AA8" s="46">
        <f>0</f>
        <v>0</v>
      </c>
      <c r="AB8" s="46">
        <f>0</f>
        <v>0</v>
      </c>
      <c r="AC8" s="35">
        <f>Assumptions!G63</f>
        <v>60</v>
      </c>
      <c r="AD8" s="46">
        <f>0</f>
        <v>0</v>
      </c>
      <c r="AE8" s="46">
        <f>0</f>
        <v>0</v>
      </c>
      <c r="AF8" s="46">
        <f>0</f>
        <v>0</v>
      </c>
      <c r="AG8" s="46">
        <f>0</f>
        <v>0</v>
      </c>
      <c r="AH8" s="46">
        <f>0</f>
        <v>0</v>
      </c>
      <c r="AI8" s="46">
        <f>0</f>
        <v>0</v>
      </c>
      <c r="AJ8" s="46">
        <f>0</f>
        <v>0</v>
      </c>
      <c r="AK8" s="46">
        <f>0</f>
        <v>0</v>
      </c>
      <c r="AL8" s="46">
        <f>0</f>
        <v>0</v>
      </c>
      <c r="AM8" s="46">
        <f>0</f>
        <v>0</v>
      </c>
      <c r="AN8" s="46">
        <f>0</f>
        <v>0</v>
      </c>
      <c r="AO8" s="35">
        <f>Assumptions!H63</f>
        <v>60</v>
      </c>
      <c r="AP8" s="46">
        <f>0</f>
        <v>0</v>
      </c>
      <c r="AQ8" s="46">
        <f>0</f>
        <v>0</v>
      </c>
      <c r="AR8" s="46">
        <f>0</f>
        <v>0</v>
      </c>
      <c r="AS8" s="46">
        <f>0</f>
        <v>0</v>
      </c>
      <c r="AT8" s="46">
        <f>0</f>
        <v>0</v>
      </c>
      <c r="AU8" s="46">
        <f>0</f>
        <v>0</v>
      </c>
      <c r="AV8" s="46">
        <f>0</f>
        <v>0</v>
      </c>
      <c r="AW8" s="46">
        <f>0</f>
        <v>0</v>
      </c>
      <c r="AX8" s="46">
        <f>0</f>
        <v>0</v>
      </c>
      <c r="AY8" s="46">
        <f>0</f>
        <v>0</v>
      </c>
      <c r="AZ8" s="46">
        <f>0</f>
        <v>0</v>
      </c>
      <c r="BA8" s="35">
        <f>Assumptions!I63</f>
        <v>60</v>
      </c>
      <c r="BB8" s="46">
        <f>0</f>
        <v>0</v>
      </c>
      <c r="BC8" s="46">
        <f>0</f>
        <v>0</v>
      </c>
      <c r="BD8" s="46">
        <f>0</f>
        <v>0</v>
      </c>
      <c r="BE8" s="46">
        <f>0</f>
        <v>0</v>
      </c>
      <c r="BF8" s="46">
        <f>0</f>
        <v>0</v>
      </c>
      <c r="BG8" s="46">
        <f>0</f>
        <v>0</v>
      </c>
      <c r="BH8" s="46">
        <f>0</f>
        <v>0</v>
      </c>
      <c r="BI8" s="46">
        <f>0</f>
        <v>0</v>
      </c>
      <c r="BJ8" s="46">
        <f>0</f>
        <v>0</v>
      </c>
      <c r="BK8" s="46">
        <f>0</f>
        <v>0</v>
      </c>
      <c r="BL8" s="46">
        <f>0</f>
        <v>0</v>
      </c>
      <c r="BM8" s="32"/>
      <c r="BN8" s="32"/>
    </row>
    <row r="9" spans="1:66" ht="20" customHeight="1">
      <c r="A9" s="30"/>
      <c r="B9" s="30"/>
      <c r="C9" s="31" t="s">
        <v>257</v>
      </c>
      <c r="D9" s="31"/>
      <c r="E9" s="47">
        <f>Assumptions!E98+Assumptions!E103/(1+Assumptions!E93)+Assumptions!E108/(1+Assumptions!E93)^2+Assumptions!E113/(1+Assumptions!E93)^3</f>
        <v>0.95350394125904336</v>
      </c>
      <c r="F9" s="47">
        <f>Assumptions!E98+Assumptions!E103/(1+Assumptions!E93)+Assumptions!E108/(1+Assumptions!E93)^2+Assumptions!E113/(1+Assumptions!E93)^3</f>
        <v>0.95350394125904336</v>
      </c>
      <c r="G9" s="47">
        <f>Assumptions!E98+Assumptions!E103/(1+Assumptions!E93)+Assumptions!E108/(1+Assumptions!E93)^2+Assumptions!E113/(1+Assumptions!E93)^3</f>
        <v>0.95350394125904336</v>
      </c>
      <c r="H9" s="47">
        <f>Assumptions!E98+Assumptions!E103/(1+Assumptions!E93)+Assumptions!E108/(1+Assumptions!E93)^2+Assumptions!E113/(1+Assumptions!E93)^3</f>
        <v>0.95350394125904336</v>
      </c>
      <c r="I9" s="47">
        <f>Assumptions!E98+Assumptions!E103/(1+Assumptions!E93)+Assumptions!E108/(1+Assumptions!E93)^2+Assumptions!E113/(1+Assumptions!E93)^3</f>
        <v>0.95350394125904336</v>
      </c>
      <c r="J9" s="47">
        <f>Assumptions!E98+Assumptions!E103/(1+Assumptions!E93)+Assumptions!E108/(1+Assumptions!E93)^2+Assumptions!E113/(1+Assumptions!E93)^3</f>
        <v>0.95350394125904336</v>
      </c>
      <c r="K9" s="47">
        <f>Assumptions!E98+Assumptions!E103/(1+Assumptions!E93)+Assumptions!E108/(1+Assumptions!E93)^2+Assumptions!E113/(1+Assumptions!E93)^3</f>
        <v>0.95350394125904336</v>
      </c>
      <c r="L9" s="47">
        <f>Assumptions!E98+Assumptions!E103/(1+Assumptions!E93)+Assumptions!E108/(1+Assumptions!E93)^2+Assumptions!E113/(1+Assumptions!E93)^3</f>
        <v>0.95350394125904336</v>
      </c>
      <c r="M9" s="47">
        <f>Assumptions!E98+Assumptions!E103/(1+Assumptions!E93)+Assumptions!E108/(1+Assumptions!E93)^2+Assumptions!E113/(1+Assumptions!E93)^3</f>
        <v>0.95350394125904336</v>
      </c>
      <c r="N9" s="47">
        <f>Assumptions!E98+Assumptions!E103/(1+Assumptions!E93)+Assumptions!E108/(1+Assumptions!E93)^2+Assumptions!E113/(1+Assumptions!E93)^3</f>
        <v>0.95350394125904336</v>
      </c>
      <c r="O9" s="47">
        <f>Assumptions!E98+Assumptions!E103/(1+Assumptions!E93)+Assumptions!E108/(1+Assumptions!E93)^2+Assumptions!E113/(1+Assumptions!E93)^3</f>
        <v>0.95350394125904336</v>
      </c>
      <c r="P9" s="47">
        <f>Assumptions!E98+Assumptions!E103/(1+Assumptions!E93)+Assumptions!E108/(1+Assumptions!E93)^2+Assumptions!E113/(1+Assumptions!E93)^3</f>
        <v>0.95350394125904336</v>
      </c>
      <c r="Q9" s="47">
        <f>Assumptions!F98+Assumptions!F103/(1+Assumptions!F93)+Assumptions!F108/(1+Assumptions!F93)^2+Assumptions!F113/(1+Assumptions!F93)^3</f>
        <v>0.95350394125904336</v>
      </c>
      <c r="R9" s="47">
        <f>Assumptions!F98+Assumptions!F103/(1+Assumptions!F93)+Assumptions!F108/(1+Assumptions!F93)^2+Assumptions!F113/(1+Assumptions!F93)^3</f>
        <v>0.95350394125904336</v>
      </c>
      <c r="S9" s="47">
        <f>Assumptions!F98+Assumptions!F103/(1+Assumptions!F93)+Assumptions!F108/(1+Assumptions!F93)^2+Assumptions!F113/(1+Assumptions!F93)^3</f>
        <v>0.95350394125904336</v>
      </c>
      <c r="T9" s="47">
        <f>Assumptions!F98+Assumptions!F103/(1+Assumptions!F93)+Assumptions!F108/(1+Assumptions!F93)^2+Assumptions!F113/(1+Assumptions!F93)^3</f>
        <v>0.95350394125904336</v>
      </c>
      <c r="U9" s="47">
        <f>Assumptions!F98+Assumptions!F103/(1+Assumptions!F93)+Assumptions!F108/(1+Assumptions!F93)^2+Assumptions!F113/(1+Assumptions!F93)^3</f>
        <v>0.95350394125904336</v>
      </c>
      <c r="V9" s="47">
        <f>Assumptions!F98+Assumptions!F103/(1+Assumptions!F93)+Assumptions!F108/(1+Assumptions!F93)^2+Assumptions!F113/(1+Assumptions!F93)^3</f>
        <v>0.95350394125904336</v>
      </c>
      <c r="W9" s="47">
        <f>Assumptions!F98+Assumptions!F103/(1+Assumptions!F93)+Assumptions!F108/(1+Assumptions!F93)^2+Assumptions!F113/(1+Assumptions!F93)^3</f>
        <v>0.95350394125904336</v>
      </c>
      <c r="X9" s="47">
        <f>Assumptions!F98+Assumptions!F103/(1+Assumptions!F93)+Assumptions!F108/(1+Assumptions!F93)^2+Assumptions!F113/(1+Assumptions!F93)^3</f>
        <v>0.95350394125904336</v>
      </c>
      <c r="Y9" s="47">
        <f>Assumptions!F98+Assumptions!F103/(1+Assumptions!F93)+Assumptions!F108/(1+Assumptions!F93)^2+Assumptions!F113/(1+Assumptions!F93)^3</f>
        <v>0.95350394125904336</v>
      </c>
      <c r="Z9" s="47">
        <f>Assumptions!F98+Assumptions!F103/(1+Assumptions!F93)+Assumptions!F108/(1+Assumptions!F93)^2+Assumptions!F113/(1+Assumptions!F93)^3</f>
        <v>0.95350394125904336</v>
      </c>
      <c r="AA9" s="47">
        <f>Assumptions!F98+Assumptions!F103/(1+Assumptions!F93)+Assumptions!F108/(1+Assumptions!F93)^2+Assumptions!F113/(1+Assumptions!F93)^3</f>
        <v>0.95350394125904336</v>
      </c>
      <c r="AB9" s="47">
        <f>Assumptions!F98+Assumptions!F103/(1+Assumptions!F93)+Assumptions!F108/(1+Assumptions!F93)^2+Assumptions!F113/(1+Assumptions!F93)^3</f>
        <v>0.95350394125904336</v>
      </c>
      <c r="AC9" s="47">
        <f>Assumptions!G98+Assumptions!G103/(1+Assumptions!G93)+Assumptions!G108/(1+Assumptions!G93)^2+Assumptions!G113/(1+Assumptions!G93)^3</f>
        <v>0.95350394125904336</v>
      </c>
      <c r="AD9" s="47">
        <f>Assumptions!G98+Assumptions!G103/(1+Assumptions!G93)+Assumptions!G108/(1+Assumptions!G93)^2+Assumptions!G113/(1+Assumptions!G93)^3</f>
        <v>0.95350394125904336</v>
      </c>
      <c r="AE9" s="47">
        <f>Assumptions!G98+Assumptions!G103/(1+Assumptions!G93)+Assumptions!G108/(1+Assumptions!G93)^2+Assumptions!G113/(1+Assumptions!G93)^3</f>
        <v>0.95350394125904336</v>
      </c>
      <c r="AF9" s="47">
        <f>Assumptions!G98+Assumptions!G103/(1+Assumptions!G93)+Assumptions!G108/(1+Assumptions!G93)^2+Assumptions!G113/(1+Assumptions!G93)^3</f>
        <v>0.95350394125904336</v>
      </c>
      <c r="AG9" s="47">
        <f>Assumptions!G98+Assumptions!G103/(1+Assumptions!G93)+Assumptions!G108/(1+Assumptions!G93)^2+Assumptions!G113/(1+Assumptions!G93)^3</f>
        <v>0.95350394125904336</v>
      </c>
      <c r="AH9" s="47">
        <f>Assumptions!G98+Assumptions!G103/(1+Assumptions!G93)+Assumptions!G108/(1+Assumptions!G93)^2+Assumptions!G113/(1+Assumptions!G93)^3</f>
        <v>0.95350394125904336</v>
      </c>
      <c r="AI9" s="47">
        <f>Assumptions!G98+Assumptions!G103/(1+Assumptions!G93)+Assumptions!G108/(1+Assumptions!G93)^2+Assumptions!G113/(1+Assumptions!G93)^3</f>
        <v>0.95350394125904336</v>
      </c>
      <c r="AJ9" s="47">
        <f>Assumptions!G98+Assumptions!G103/(1+Assumptions!G93)+Assumptions!G108/(1+Assumptions!G93)^2+Assumptions!G113/(1+Assumptions!G93)^3</f>
        <v>0.95350394125904336</v>
      </c>
      <c r="AK9" s="47">
        <f>Assumptions!G98+Assumptions!G103/(1+Assumptions!G93)+Assumptions!G108/(1+Assumptions!G93)^2+Assumptions!G113/(1+Assumptions!G93)^3</f>
        <v>0.95350394125904336</v>
      </c>
      <c r="AL9" s="47">
        <f>Assumptions!G98+Assumptions!G103/(1+Assumptions!G93)+Assumptions!G108/(1+Assumptions!G93)^2+Assumptions!G113/(1+Assumptions!G93)^3</f>
        <v>0.95350394125904336</v>
      </c>
      <c r="AM9" s="47">
        <f>Assumptions!G98+Assumptions!G103/(1+Assumptions!G93)+Assumptions!G108/(1+Assumptions!G93)^2+Assumptions!G113/(1+Assumptions!G93)^3</f>
        <v>0.95350394125904336</v>
      </c>
      <c r="AN9" s="47">
        <f>Assumptions!G98+Assumptions!G103/(1+Assumptions!G93)+Assumptions!G108/(1+Assumptions!G93)^2+Assumptions!G113/(1+Assumptions!G93)^3</f>
        <v>0.95350394125904336</v>
      </c>
      <c r="AO9" s="47">
        <f>Assumptions!H98+Assumptions!H103/(1+Assumptions!H93)+Assumptions!H108/(1+Assumptions!H93)^2+Assumptions!H113/(1+Assumptions!H93)^3</f>
        <v>0.95350394125904336</v>
      </c>
      <c r="AP9" s="47">
        <f>Assumptions!H98+Assumptions!H103/(1+Assumptions!H93)+Assumptions!H108/(1+Assumptions!H93)^2+Assumptions!H113/(1+Assumptions!H93)^3</f>
        <v>0.95350394125904336</v>
      </c>
      <c r="AQ9" s="47">
        <f>Assumptions!H98+Assumptions!H103/(1+Assumptions!H93)+Assumptions!H108/(1+Assumptions!H93)^2+Assumptions!H113/(1+Assumptions!H93)^3</f>
        <v>0.95350394125904336</v>
      </c>
      <c r="AR9" s="47">
        <f>Assumptions!H98+Assumptions!H103/(1+Assumptions!H93)+Assumptions!H108/(1+Assumptions!H93)^2+Assumptions!H113/(1+Assumptions!H93)^3</f>
        <v>0.95350394125904336</v>
      </c>
      <c r="AS9" s="47">
        <f>Assumptions!H98+Assumptions!H103/(1+Assumptions!H93)+Assumptions!H108/(1+Assumptions!H93)^2+Assumptions!H113/(1+Assumptions!H93)^3</f>
        <v>0.95350394125904336</v>
      </c>
      <c r="AT9" s="47">
        <f>Assumptions!H98+Assumptions!H103/(1+Assumptions!H93)+Assumptions!H108/(1+Assumptions!H93)^2+Assumptions!H113/(1+Assumptions!H93)^3</f>
        <v>0.95350394125904336</v>
      </c>
      <c r="AU9" s="47">
        <f>Assumptions!H98+Assumptions!H103/(1+Assumptions!H93)+Assumptions!H108/(1+Assumptions!H93)^2+Assumptions!H113/(1+Assumptions!H93)^3</f>
        <v>0.95350394125904336</v>
      </c>
      <c r="AV9" s="47">
        <f>Assumptions!H98+Assumptions!H103/(1+Assumptions!H93)+Assumptions!H108/(1+Assumptions!H93)^2+Assumptions!H113/(1+Assumptions!H93)^3</f>
        <v>0.95350394125904336</v>
      </c>
      <c r="AW9" s="47">
        <f>Assumptions!H98+Assumptions!H103/(1+Assumptions!H93)+Assumptions!H108/(1+Assumptions!H93)^2+Assumptions!H113/(1+Assumptions!H93)^3</f>
        <v>0.95350394125904336</v>
      </c>
      <c r="AX9" s="47">
        <f>Assumptions!H98+Assumptions!H103/(1+Assumptions!H93)+Assumptions!H108/(1+Assumptions!H93)^2+Assumptions!H113/(1+Assumptions!H93)^3</f>
        <v>0.95350394125904336</v>
      </c>
      <c r="AY9" s="47">
        <f>Assumptions!H98+Assumptions!H103/(1+Assumptions!H93)+Assumptions!H108/(1+Assumptions!H93)^2+Assumptions!H113/(1+Assumptions!H93)^3</f>
        <v>0.95350394125904336</v>
      </c>
      <c r="AZ9" s="47">
        <f>Assumptions!H98+Assumptions!H103/(1+Assumptions!H93)+Assumptions!H108/(1+Assumptions!H93)^2+Assumptions!H113/(1+Assumptions!H93)^3</f>
        <v>0.95350394125904336</v>
      </c>
      <c r="BA9" s="47">
        <f>Assumptions!I98+Assumptions!I103/(1+Assumptions!I93)+Assumptions!I108/(1+Assumptions!I93)^2+Assumptions!I113/(1+Assumptions!I93)^3</f>
        <v>0.95350394125904336</v>
      </c>
      <c r="BB9" s="47">
        <f>Assumptions!I98+Assumptions!I103/(1+Assumptions!I93)+Assumptions!I108/(1+Assumptions!I93)^2+Assumptions!I113/(1+Assumptions!I93)^3</f>
        <v>0.95350394125904336</v>
      </c>
      <c r="BC9" s="47">
        <f>Assumptions!I98+Assumptions!I103/(1+Assumptions!I93)+Assumptions!I108/(1+Assumptions!I93)^2+Assumptions!I113/(1+Assumptions!I93)^3</f>
        <v>0.95350394125904336</v>
      </c>
      <c r="BD9" s="47">
        <f>Assumptions!I98+Assumptions!I103/(1+Assumptions!I93)+Assumptions!I108/(1+Assumptions!I93)^2+Assumptions!I113/(1+Assumptions!I93)^3</f>
        <v>0.95350394125904336</v>
      </c>
      <c r="BE9" s="47">
        <f>Assumptions!I98+Assumptions!I103/(1+Assumptions!I93)+Assumptions!I108/(1+Assumptions!I93)^2+Assumptions!I113/(1+Assumptions!I93)^3</f>
        <v>0.95350394125904336</v>
      </c>
      <c r="BF9" s="47">
        <f>Assumptions!I98+Assumptions!I103/(1+Assumptions!I93)+Assumptions!I108/(1+Assumptions!I93)^2+Assumptions!I113/(1+Assumptions!I93)^3</f>
        <v>0.95350394125904336</v>
      </c>
      <c r="BG9" s="47">
        <f>Assumptions!I98+Assumptions!I103/(1+Assumptions!I93)+Assumptions!I108/(1+Assumptions!I93)^2+Assumptions!I113/(1+Assumptions!I93)^3</f>
        <v>0.95350394125904336</v>
      </c>
      <c r="BH9" s="47">
        <f>Assumptions!I98+Assumptions!I103/(1+Assumptions!I93)+Assumptions!I108/(1+Assumptions!I93)^2+Assumptions!I113/(1+Assumptions!I93)^3</f>
        <v>0.95350394125904336</v>
      </c>
      <c r="BI9" s="47">
        <f>Assumptions!I98+Assumptions!I103/(1+Assumptions!I93)+Assumptions!I108/(1+Assumptions!I93)^2+Assumptions!I113/(1+Assumptions!I93)^3</f>
        <v>0.95350394125904336</v>
      </c>
      <c r="BJ9" s="47">
        <f>Assumptions!I98+Assumptions!I103/(1+Assumptions!I93)+Assumptions!I108/(1+Assumptions!I93)^2+Assumptions!I113/(1+Assumptions!I93)^3</f>
        <v>0.95350394125904336</v>
      </c>
      <c r="BK9" s="47">
        <f>Assumptions!I98+Assumptions!I103/(1+Assumptions!I93)+Assumptions!I108/(1+Assumptions!I93)^2+Assumptions!I113/(1+Assumptions!I93)^3</f>
        <v>0.95350394125904336</v>
      </c>
      <c r="BL9" s="47">
        <f>Assumptions!I98+Assumptions!I103/(1+Assumptions!I93)+Assumptions!I108/(1+Assumptions!I93)^2+Assumptions!I113/(1+Assumptions!I93)^3</f>
        <v>0.95350394125904336</v>
      </c>
      <c r="BM9" s="32"/>
      <c r="BN9" s="32"/>
    </row>
    <row r="10" spans="1:66" ht="20" customHeight="1">
      <c r="A10" s="30"/>
      <c r="B10" s="30"/>
      <c r="C10" s="31" t="s">
        <v>258</v>
      </c>
      <c r="D10" s="31"/>
      <c r="E10" s="46">
        <f t="shared" ref="E10:AJ10" si="0">E8*E9</f>
        <v>0</v>
      </c>
      <c r="F10" s="46">
        <f t="shared" si="0"/>
        <v>0</v>
      </c>
      <c r="G10" s="46">
        <f t="shared" si="0"/>
        <v>0</v>
      </c>
      <c r="H10" s="46">
        <f t="shared" si="0"/>
        <v>0</v>
      </c>
      <c r="I10" s="46">
        <f t="shared" si="0"/>
        <v>0</v>
      </c>
      <c r="J10" s="46">
        <f t="shared" si="0"/>
        <v>0</v>
      </c>
      <c r="K10" s="46">
        <f t="shared" si="0"/>
        <v>0</v>
      </c>
      <c r="L10" s="46">
        <f t="shared" si="0"/>
        <v>0</v>
      </c>
      <c r="M10" s="46">
        <f t="shared" si="0"/>
        <v>0</v>
      </c>
      <c r="N10" s="46">
        <f t="shared" si="0"/>
        <v>0</v>
      </c>
      <c r="O10" s="46">
        <f t="shared" si="0"/>
        <v>0</v>
      </c>
      <c r="P10" s="46">
        <f t="shared" si="0"/>
        <v>0</v>
      </c>
      <c r="Q10" s="46">
        <f t="shared" si="0"/>
        <v>57.210236475542601</v>
      </c>
      <c r="R10" s="46">
        <f t="shared" si="0"/>
        <v>0</v>
      </c>
      <c r="S10" s="46">
        <f t="shared" si="0"/>
        <v>0</v>
      </c>
      <c r="T10" s="46">
        <f t="shared" si="0"/>
        <v>0</v>
      </c>
      <c r="U10" s="46">
        <f t="shared" si="0"/>
        <v>0</v>
      </c>
      <c r="V10" s="46">
        <f t="shared" si="0"/>
        <v>0</v>
      </c>
      <c r="W10" s="46">
        <f t="shared" si="0"/>
        <v>0</v>
      </c>
      <c r="X10" s="46">
        <f t="shared" si="0"/>
        <v>0</v>
      </c>
      <c r="Y10" s="46">
        <f t="shared" si="0"/>
        <v>0</v>
      </c>
      <c r="Z10" s="46">
        <f t="shared" si="0"/>
        <v>0</v>
      </c>
      <c r="AA10" s="46">
        <f t="shared" si="0"/>
        <v>0</v>
      </c>
      <c r="AB10" s="46">
        <f t="shared" si="0"/>
        <v>0</v>
      </c>
      <c r="AC10" s="46">
        <f t="shared" si="0"/>
        <v>57.210236475542601</v>
      </c>
      <c r="AD10" s="46">
        <f t="shared" si="0"/>
        <v>0</v>
      </c>
      <c r="AE10" s="46">
        <f t="shared" si="0"/>
        <v>0</v>
      </c>
      <c r="AF10" s="46">
        <f t="shared" si="0"/>
        <v>0</v>
      </c>
      <c r="AG10" s="46">
        <f t="shared" si="0"/>
        <v>0</v>
      </c>
      <c r="AH10" s="46">
        <f t="shared" si="0"/>
        <v>0</v>
      </c>
      <c r="AI10" s="46">
        <f t="shared" si="0"/>
        <v>0</v>
      </c>
      <c r="AJ10" s="46">
        <f t="shared" si="0"/>
        <v>0</v>
      </c>
      <c r="AK10" s="46">
        <f t="shared" ref="AK10:BP10" si="1">AK8*AK9</f>
        <v>0</v>
      </c>
      <c r="AL10" s="46">
        <f t="shared" si="1"/>
        <v>0</v>
      </c>
      <c r="AM10" s="46">
        <f t="shared" si="1"/>
        <v>0</v>
      </c>
      <c r="AN10" s="46">
        <f t="shared" si="1"/>
        <v>0</v>
      </c>
      <c r="AO10" s="46">
        <f t="shared" si="1"/>
        <v>57.210236475542601</v>
      </c>
      <c r="AP10" s="46">
        <f t="shared" si="1"/>
        <v>0</v>
      </c>
      <c r="AQ10" s="46">
        <f t="shared" si="1"/>
        <v>0</v>
      </c>
      <c r="AR10" s="46">
        <f t="shared" si="1"/>
        <v>0</v>
      </c>
      <c r="AS10" s="46">
        <f t="shared" si="1"/>
        <v>0</v>
      </c>
      <c r="AT10" s="46">
        <f t="shared" si="1"/>
        <v>0</v>
      </c>
      <c r="AU10" s="46">
        <f t="shared" si="1"/>
        <v>0</v>
      </c>
      <c r="AV10" s="46">
        <f t="shared" si="1"/>
        <v>0</v>
      </c>
      <c r="AW10" s="46">
        <f t="shared" si="1"/>
        <v>0</v>
      </c>
      <c r="AX10" s="46">
        <f t="shared" si="1"/>
        <v>0</v>
      </c>
      <c r="AY10" s="46">
        <f t="shared" si="1"/>
        <v>0</v>
      </c>
      <c r="AZ10" s="46">
        <f t="shared" si="1"/>
        <v>0</v>
      </c>
      <c r="BA10" s="46">
        <f t="shared" si="1"/>
        <v>57.210236475542601</v>
      </c>
      <c r="BB10" s="46">
        <f t="shared" si="1"/>
        <v>0</v>
      </c>
      <c r="BC10" s="46">
        <f t="shared" si="1"/>
        <v>0</v>
      </c>
      <c r="BD10" s="46">
        <f t="shared" si="1"/>
        <v>0</v>
      </c>
      <c r="BE10" s="46">
        <f t="shared" si="1"/>
        <v>0</v>
      </c>
      <c r="BF10" s="46">
        <f t="shared" si="1"/>
        <v>0</v>
      </c>
      <c r="BG10" s="46">
        <f t="shared" si="1"/>
        <v>0</v>
      </c>
      <c r="BH10" s="46">
        <f t="shared" si="1"/>
        <v>0</v>
      </c>
      <c r="BI10" s="46">
        <f t="shared" si="1"/>
        <v>0</v>
      </c>
      <c r="BJ10" s="46">
        <f t="shared" si="1"/>
        <v>0</v>
      </c>
      <c r="BK10" s="46">
        <f t="shared" si="1"/>
        <v>0</v>
      </c>
      <c r="BL10" s="46">
        <f t="shared" si="1"/>
        <v>0</v>
      </c>
      <c r="BM10" s="32"/>
      <c r="BN10" s="32"/>
    </row>
    <row r="11" spans="1:66" ht="20" customHeight="1">
      <c r="A11" s="30"/>
      <c r="B11" s="30"/>
      <c r="C11" s="31" t="s">
        <v>259</v>
      </c>
      <c r="D11" s="31"/>
      <c r="E11" s="46">
        <f>0</f>
        <v>0</v>
      </c>
      <c r="F11" s="46">
        <f>0</f>
        <v>0</v>
      </c>
      <c r="G11" s="35">
        <f>191.731*(Assumptions!E118/(1+Assumptions!E93)^0+Assumptions!E123/(1+Assumptions!E93)^1+Assumptions!E128/(1+Assumptions!E93)^2+Assumptions!E133/(1+Assumptions!E93)^3+Assumptions!E138/(1+Assumptions!E93)^4)+1.16</f>
        <v>181.07586462636453</v>
      </c>
      <c r="H11" s="46">
        <f>0</f>
        <v>0</v>
      </c>
      <c r="I11" s="46">
        <f>0</f>
        <v>0</v>
      </c>
      <c r="J11" s="46">
        <f>0</f>
        <v>0</v>
      </c>
      <c r="K11" s="46">
        <f>0</f>
        <v>0</v>
      </c>
      <c r="L11" s="46">
        <f>0</f>
        <v>0</v>
      </c>
      <c r="M11" s="46">
        <f>0</f>
        <v>0</v>
      </c>
      <c r="N11" s="46">
        <f>0</f>
        <v>0</v>
      </c>
      <c r="O11" s="46">
        <f>0</f>
        <v>0</v>
      </c>
      <c r="P11" s="46">
        <f>0</f>
        <v>0</v>
      </c>
      <c r="Q11" s="46">
        <f>0</f>
        <v>0</v>
      </c>
      <c r="R11" s="46">
        <f>0</f>
        <v>0</v>
      </c>
      <c r="S11" s="46">
        <f>0</f>
        <v>0</v>
      </c>
      <c r="T11" s="46">
        <f>0</f>
        <v>0</v>
      </c>
      <c r="U11" s="46">
        <f>0</f>
        <v>0</v>
      </c>
      <c r="V11" s="46">
        <f>0</f>
        <v>0</v>
      </c>
      <c r="W11" s="46">
        <f>0</f>
        <v>0</v>
      </c>
      <c r="X11" s="46">
        <f>0</f>
        <v>0</v>
      </c>
      <c r="Y11" s="46">
        <f>0</f>
        <v>0</v>
      </c>
      <c r="Z11" s="46">
        <f>0</f>
        <v>0</v>
      </c>
      <c r="AA11" s="46">
        <f>0</f>
        <v>0</v>
      </c>
      <c r="AB11" s="46">
        <f>0</f>
        <v>0</v>
      </c>
      <c r="AC11" s="46">
        <f>0</f>
        <v>0</v>
      </c>
      <c r="AD11" s="46">
        <f>0</f>
        <v>0</v>
      </c>
      <c r="AE11" s="46">
        <f>0</f>
        <v>0</v>
      </c>
      <c r="AF11" s="46">
        <f>0</f>
        <v>0</v>
      </c>
      <c r="AG11" s="46">
        <f>0</f>
        <v>0</v>
      </c>
      <c r="AH11" s="46">
        <f>0</f>
        <v>0</v>
      </c>
      <c r="AI11" s="46">
        <f>0</f>
        <v>0</v>
      </c>
      <c r="AJ11" s="46">
        <f>0</f>
        <v>0</v>
      </c>
      <c r="AK11" s="46">
        <f>0</f>
        <v>0</v>
      </c>
      <c r="AL11" s="46">
        <f>0</f>
        <v>0</v>
      </c>
      <c r="AM11" s="46">
        <f>0</f>
        <v>0</v>
      </c>
      <c r="AN11" s="46">
        <f>0</f>
        <v>0</v>
      </c>
      <c r="AO11" s="46">
        <f>0</f>
        <v>0</v>
      </c>
      <c r="AP11" s="46">
        <f>0</f>
        <v>0</v>
      </c>
      <c r="AQ11" s="46">
        <f>0</f>
        <v>0</v>
      </c>
      <c r="AR11" s="46">
        <f>0</f>
        <v>0</v>
      </c>
      <c r="AS11" s="46">
        <f>0</f>
        <v>0</v>
      </c>
      <c r="AT11" s="46">
        <f>0</f>
        <v>0</v>
      </c>
      <c r="AU11" s="46">
        <f>0</f>
        <v>0</v>
      </c>
      <c r="AV11" s="46">
        <f>0</f>
        <v>0</v>
      </c>
      <c r="AW11" s="46">
        <f>0</f>
        <v>0</v>
      </c>
      <c r="AX11" s="46">
        <f>0</f>
        <v>0</v>
      </c>
      <c r="AY11" s="46">
        <f>0</f>
        <v>0</v>
      </c>
      <c r="AZ11" s="46">
        <f>0</f>
        <v>0</v>
      </c>
      <c r="BA11" s="46">
        <f>0</f>
        <v>0</v>
      </c>
      <c r="BB11" s="46">
        <f>0</f>
        <v>0</v>
      </c>
      <c r="BC11" s="46">
        <f>0</f>
        <v>0</v>
      </c>
      <c r="BD11" s="46">
        <f>0</f>
        <v>0</v>
      </c>
      <c r="BE11" s="46">
        <f>0</f>
        <v>0</v>
      </c>
      <c r="BF11" s="46">
        <f>0</f>
        <v>0</v>
      </c>
      <c r="BG11" s="46">
        <f>0</f>
        <v>0</v>
      </c>
      <c r="BH11" s="46">
        <f>0</f>
        <v>0</v>
      </c>
      <c r="BI11" s="46">
        <f>0</f>
        <v>0</v>
      </c>
      <c r="BJ11" s="46">
        <f>0</f>
        <v>0</v>
      </c>
      <c r="BK11" s="46">
        <f>0</f>
        <v>0</v>
      </c>
      <c r="BL11" s="46">
        <f>0</f>
        <v>0</v>
      </c>
      <c r="BM11" s="32"/>
      <c r="BN11" s="32"/>
    </row>
    <row r="12" spans="1:66" ht="20" customHeight="1">
      <c r="A12" s="30"/>
      <c r="B12" s="30"/>
      <c r="C12" s="31" t="s">
        <v>260</v>
      </c>
      <c r="D12" s="31"/>
      <c r="E12" s="46">
        <f>0</f>
        <v>0</v>
      </c>
      <c r="F12" s="46">
        <f>0</f>
        <v>0</v>
      </c>
      <c r="G12" s="46">
        <f>0</f>
        <v>0</v>
      </c>
      <c r="H12" s="46">
        <f>0</f>
        <v>0</v>
      </c>
      <c r="I12" s="46">
        <f>0</f>
        <v>0</v>
      </c>
      <c r="J12" s="46">
        <f>0</f>
        <v>0</v>
      </c>
      <c r="K12" s="35">
        <f>Assumptions!E198</f>
        <v>5</v>
      </c>
      <c r="L12" s="46">
        <f>0</f>
        <v>0</v>
      </c>
      <c r="M12" s="46">
        <f>0</f>
        <v>0</v>
      </c>
      <c r="N12" s="46">
        <f>0</f>
        <v>0</v>
      </c>
      <c r="O12" s="46">
        <f>0</f>
        <v>0</v>
      </c>
      <c r="P12" s="46">
        <f>0</f>
        <v>0</v>
      </c>
      <c r="Q12" s="35">
        <f>Assumptions!F198</f>
        <v>5</v>
      </c>
      <c r="R12" s="46">
        <f>0</f>
        <v>0</v>
      </c>
      <c r="S12" s="46">
        <f>0</f>
        <v>0</v>
      </c>
      <c r="T12" s="46">
        <f>0</f>
        <v>0</v>
      </c>
      <c r="U12" s="46">
        <f>0</f>
        <v>0</v>
      </c>
      <c r="V12" s="46">
        <f>0</f>
        <v>0</v>
      </c>
      <c r="W12" s="46">
        <f>0</f>
        <v>0</v>
      </c>
      <c r="X12" s="46">
        <f>0</f>
        <v>0</v>
      </c>
      <c r="Y12" s="46">
        <f>0</f>
        <v>0</v>
      </c>
      <c r="Z12" s="46">
        <f>0</f>
        <v>0</v>
      </c>
      <c r="AA12" s="46">
        <f>0</f>
        <v>0</v>
      </c>
      <c r="AB12" s="46">
        <f>0</f>
        <v>0</v>
      </c>
      <c r="AC12" s="35">
        <f>Assumptions!G198</f>
        <v>5</v>
      </c>
      <c r="AD12" s="46">
        <f>0</f>
        <v>0</v>
      </c>
      <c r="AE12" s="46">
        <f>0</f>
        <v>0</v>
      </c>
      <c r="AF12" s="46">
        <f>0</f>
        <v>0</v>
      </c>
      <c r="AG12" s="46">
        <f>0</f>
        <v>0</v>
      </c>
      <c r="AH12" s="46">
        <f>0</f>
        <v>0</v>
      </c>
      <c r="AI12" s="46">
        <f>0</f>
        <v>0</v>
      </c>
      <c r="AJ12" s="46">
        <f>0</f>
        <v>0</v>
      </c>
      <c r="AK12" s="46">
        <f>0</f>
        <v>0</v>
      </c>
      <c r="AL12" s="46">
        <f>0</f>
        <v>0</v>
      </c>
      <c r="AM12" s="46">
        <f>0</f>
        <v>0</v>
      </c>
      <c r="AN12" s="46">
        <f>0</f>
        <v>0</v>
      </c>
      <c r="AO12" s="35">
        <f>Assumptions!H198</f>
        <v>5</v>
      </c>
      <c r="AP12" s="46">
        <f>0</f>
        <v>0</v>
      </c>
      <c r="AQ12" s="46">
        <f>0</f>
        <v>0</v>
      </c>
      <c r="AR12" s="46">
        <f>0</f>
        <v>0</v>
      </c>
      <c r="AS12" s="46">
        <f>0</f>
        <v>0</v>
      </c>
      <c r="AT12" s="46">
        <f>0</f>
        <v>0</v>
      </c>
      <c r="AU12" s="46">
        <f>0</f>
        <v>0</v>
      </c>
      <c r="AV12" s="46">
        <f>0</f>
        <v>0</v>
      </c>
      <c r="AW12" s="46">
        <f>0</f>
        <v>0</v>
      </c>
      <c r="AX12" s="46">
        <f>0</f>
        <v>0</v>
      </c>
      <c r="AY12" s="46">
        <f>0</f>
        <v>0</v>
      </c>
      <c r="AZ12" s="46">
        <f>0</f>
        <v>0</v>
      </c>
      <c r="BA12" s="35">
        <f>Assumptions!I198</f>
        <v>5</v>
      </c>
      <c r="BB12" s="46">
        <f>0</f>
        <v>0</v>
      </c>
      <c r="BC12" s="46">
        <f>0</f>
        <v>0</v>
      </c>
      <c r="BD12" s="46">
        <f>0</f>
        <v>0</v>
      </c>
      <c r="BE12" s="46">
        <f>0</f>
        <v>0</v>
      </c>
      <c r="BF12" s="46">
        <f>0</f>
        <v>0</v>
      </c>
      <c r="BG12" s="46">
        <f>0</f>
        <v>0</v>
      </c>
      <c r="BH12" s="46">
        <f>0</f>
        <v>0</v>
      </c>
      <c r="BI12" s="46">
        <f>0</f>
        <v>0</v>
      </c>
      <c r="BJ12" s="46">
        <f>0</f>
        <v>0</v>
      </c>
      <c r="BK12" s="46">
        <f>0</f>
        <v>0</v>
      </c>
      <c r="BL12" s="46">
        <f>0</f>
        <v>0</v>
      </c>
      <c r="BM12" s="32"/>
      <c r="BN12" s="32"/>
    </row>
    <row r="13" spans="1:66" ht="20" customHeight="1">
      <c r="A13" s="30"/>
      <c r="B13" s="30"/>
      <c r="C13" s="31" t="s">
        <v>252</v>
      </c>
      <c r="D13" s="31"/>
      <c r="E13" s="46">
        <f t="shared" ref="E13:AJ13" si="2">SUM(E10:E12)</f>
        <v>0</v>
      </c>
      <c r="F13" s="46">
        <f t="shared" si="2"/>
        <v>0</v>
      </c>
      <c r="G13" s="46">
        <f t="shared" si="2"/>
        <v>181.07586462636453</v>
      </c>
      <c r="H13" s="46">
        <f t="shared" si="2"/>
        <v>0</v>
      </c>
      <c r="I13" s="46">
        <f t="shared" si="2"/>
        <v>0</v>
      </c>
      <c r="J13" s="46">
        <f t="shared" si="2"/>
        <v>0</v>
      </c>
      <c r="K13" s="46">
        <f t="shared" si="2"/>
        <v>5</v>
      </c>
      <c r="L13" s="46">
        <f t="shared" si="2"/>
        <v>0</v>
      </c>
      <c r="M13" s="46">
        <f t="shared" si="2"/>
        <v>0</v>
      </c>
      <c r="N13" s="46">
        <f t="shared" si="2"/>
        <v>0</v>
      </c>
      <c r="O13" s="46">
        <f t="shared" si="2"/>
        <v>0</v>
      </c>
      <c r="P13" s="46">
        <f t="shared" si="2"/>
        <v>0</v>
      </c>
      <c r="Q13" s="46">
        <f t="shared" si="2"/>
        <v>62.210236475542601</v>
      </c>
      <c r="R13" s="46">
        <f t="shared" si="2"/>
        <v>0</v>
      </c>
      <c r="S13" s="46">
        <f t="shared" si="2"/>
        <v>0</v>
      </c>
      <c r="T13" s="46">
        <f t="shared" si="2"/>
        <v>0</v>
      </c>
      <c r="U13" s="46">
        <f t="shared" si="2"/>
        <v>0</v>
      </c>
      <c r="V13" s="46">
        <f t="shared" si="2"/>
        <v>0</v>
      </c>
      <c r="W13" s="46">
        <f t="shared" si="2"/>
        <v>0</v>
      </c>
      <c r="X13" s="46">
        <f t="shared" si="2"/>
        <v>0</v>
      </c>
      <c r="Y13" s="46">
        <f t="shared" si="2"/>
        <v>0</v>
      </c>
      <c r="Z13" s="46">
        <f t="shared" si="2"/>
        <v>0</v>
      </c>
      <c r="AA13" s="46">
        <f t="shared" si="2"/>
        <v>0</v>
      </c>
      <c r="AB13" s="46">
        <f t="shared" si="2"/>
        <v>0</v>
      </c>
      <c r="AC13" s="46">
        <f t="shared" si="2"/>
        <v>62.210236475542601</v>
      </c>
      <c r="AD13" s="46">
        <f t="shared" si="2"/>
        <v>0</v>
      </c>
      <c r="AE13" s="46">
        <f t="shared" si="2"/>
        <v>0</v>
      </c>
      <c r="AF13" s="46">
        <f t="shared" si="2"/>
        <v>0</v>
      </c>
      <c r="AG13" s="46">
        <f t="shared" si="2"/>
        <v>0</v>
      </c>
      <c r="AH13" s="46">
        <f t="shared" si="2"/>
        <v>0</v>
      </c>
      <c r="AI13" s="46">
        <f t="shared" si="2"/>
        <v>0</v>
      </c>
      <c r="AJ13" s="46">
        <f t="shared" si="2"/>
        <v>0</v>
      </c>
      <c r="AK13" s="46">
        <f t="shared" ref="AK13:BP13" si="3">SUM(AK10:AK12)</f>
        <v>0</v>
      </c>
      <c r="AL13" s="46">
        <f t="shared" si="3"/>
        <v>0</v>
      </c>
      <c r="AM13" s="46">
        <f t="shared" si="3"/>
        <v>0</v>
      </c>
      <c r="AN13" s="46">
        <f t="shared" si="3"/>
        <v>0</v>
      </c>
      <c r="AO13" s="46">
        <f t="shared" si="3"/>
        <v>62.210236475542601</v>
      </c>
      <c r="AP13" s="46">
        <f t="shared" si="3"/>
        <v>0</v>
      </c>
      <c r="AQ13" s="46">
        <f t="shared" si="3"/>
        <v>0</v>
      </c>
      <c r="AR13" s="46">
        <f t="shared" si="3"/>
        <v>0</v>
      </c>
      <c r="AS13" s="46">
        <f t="shared" si="3"/>
        <v>0</v>
      </c>
      <c r="AT13" s="46">
        <f t="shared" si="3"/>
        <v>0</v>
      </c>
      <c r="AU13" s="46">
        <f t="shared" si="3"/>
        <v>0</v>
      </c>
      <c r="AV13" s="46">
        <f t="shared" si="3"/>
        <v>0</v>
      </c>
      <c r="AW13" s="46">
        <f t="shared" si="3"/>
        <v>0</v>
      </c>
      <c r="AX13" s="46">
        <f t="shared" si="3"/>
        <v>0</v>
      </c>
      <c r="AY13" s="46">
        <f t="shared" si="3"/>
        <v>0</v>
      </c>
      <c r="AZ13" s="46">
        <f t="shared" si="3"/>
        <v>0</v>
      </c>
      <c r="BA13" s="46">
        <f t="shared" si="3"/>
        <v>62.210236475542601</v>
      </c>
      <c r="BB13" s="46">
        <f t="shared" si="3"/>
        <v>0</v>
      </c>
      <c r="BC13" s="46">
        <f t="shared" si="3"/>
        <v>0</v>
      </c>
      <c r="BD13" s="46">
        <f t="shared" si="3"/>
        <v>0</v>
      </c>
      <c r="BE13" s="46">
        <f t="shared" si="3"/>
        <v>0</v>
      </c>
      <c r="BF13" s="46">
        <f t="shared" si="3"/>
        <v>0</v>
      </c>
      <c r="BG13" s="46">
        <f t="shared" si="3"/>
        <v>0</v>
      </c>
      <c r="BH13" s="46">
        <f t="shared" si="3"/>
        <v>0</v>
      </c>
      <c r="BI13" s="46">
        <f t="shared" si="3"/>
        <v>0</v>
      </c>
      <c r="BJ13" s="46">
        <f t="shared" si="3"/>
        <v>0</v>
      </c>
      <c r="BK13" s="46">
        <f t="shared" si="3"/>
        <v>0</v>
      </c>
      <c r="BL13" s="46">
        <f t="shared" si="3"/>
        <v>0</v>
      </c>
      <c r="BM13" s="32"/>
      <c r="BN13" s="32"/>
    </row>
    <row r="14" spans="1:66" ht="20" customHeight="1">
      <c r="A14" s="30"/>
      <c r="B14" s="30"/>
      <c r="C14" s="31" t="s">
        <v>261</v>
      </c>
      <c r="D14" s="31"/>
      <c r="E14" s="35">
        <f>E8*Assumptions!E98+E12</f>
        <v>0</v>
      </c>
      <c r="F14" s="35">
        <f>F8*Assumptions!E98+F12</f>
        <v>0</v>
      </c>
      <c r="G14" s="35">
        <f>G8*Assumptions!E98+191.731*Assumptions!E118+1.16+G12</f>
        <v>77.852400000000003</v>
      </c>
      <c r="H14" s="35">
        <f>H8*Assumptions!E98+H12</f>
        <v>0</v>
      </c>
      <c r="I14" s="35">
        <f>I8*Assumptions!E98+I12</f>
        <v>0</v>
      </c>
      <c r="J14" s="35">
        <f>J8*Assumptions!E98+J12</f>
        <v>0</v>
      </c>
      <c r="K14" s="35">
        <f>K8*Assumptions!E98+K12</f>
        <v>5</v>
      </c>
      <c r="L14" s="35">
        <f>L8*Assumptions!E98+L12</f>
        <v>0</v>
      </c>
      <c r="M14" s="35">
        <f>M8*Assumptions!E98+M12</f>
        <v>0</v>
      </c>
      <c r="N14" s="35">
        <f>N8*Assumptions!E98+N12</f>
        <v>0</v>
      </c>
      <c r="O14" s="35">
        <f>O8*Assumptions!E98+O12</f>
        <v>0</v>
      </c>
      <c r="P14" s="35">
        <f>P8*Assumptions!E98+P12</f>
        <v>0</v>
      </c>
      <c r="Q14" s="35">
        <f>Q8*Assumptions!F98+E8*Assumptions!E103+Q12</f>
        <v>29</v>
      </c>
      <c r="R14" s="35">
        <f>R8*Assumptions!F98+F8*Assumptions!E103+R12</f>
        <v>0</v>
      </c>
      <c r="S14" s="35">
        <f>S8*Assumptions!F98+G8*Assumptions!E103+191.731*Assumptions!E123+S12</f>
        <v>38.346200000000003</v>
      </c>
      <c r="T14" s="35">
        <f>T8*Assumptions!F98+H8*Assumptions!E103+T12</f>
        <v>0</v>
      </c>
      <c r="U14" s="35">
        <f>U8*Assumptions!F98+I8*Assumptions!E103+U12</f>
        <v>0</v>
      </c>
      <c r="V14" s="35">
        <f>V8*Assumptions!F98+J8*Assumptions!E103+V12</f>
        <v>0</v>
      </c>
      <c r="W14" s="35">
        <f>W8*Assumptions!F98+K8*Assumptions!E103+W12</f>
        <v>0</v>
      </c>
      <c r="X14" s="35">
        <f>X8*Assumptions!F98+L8*Assumptions!E103+X12</f>
        <v>0</v>
      </c>
      <c r="Y14" s="35">
        <f>Y8*Assumptions!F98+M8*Assumptions!E103+Y12</f>
        <v>0</v>
      </c>
      <c r="Z14" s="35">
        <f>Z8*Assumptions!F98+N8*Assumptions!E103+Z12</f>
        <v>0</v>
      </c>
      <c r="AA14" s="35">
        <f>AA8*Assumptions!F98+O8*Assumptions!E103+AA12</f>
        <v>0</v>
      </c>
      <c r="AB14" s="35">
        <f>AB8*Assumptions!F98+P8*Assumptions!E103+AB12</f>
        <v>0</v>
      </c>
      <c r="AC14" s="35">
        <f>AC8*Assumptions!G98+Q8*Assumptions!F103+E8*Assumptions!E108+AC12</f>
        <v>47</v>
      </c>
      <c r="AD14" s="35">
        <f>AD8*Assumptions!G98+R8*Assumptions!F103+F8*Assumptions!E108+AD12</f>
        <v>0</v>
      </c>
      <c r="AE14" s="35">
        <f>AE8*Assumptions!G98+S8*Assumptions!F103+G8*Assumptions!E108+191.731*Assumptions!E128+AE12</f>
        <v>28.759649999999997</v>
      </c>
      <c r="AF14" s="35">
        <f>AF8*Assumptions!G98+T8*Assumptions!F103+H8*Assumptions!E108+AF12</f>
        <v>0</v>
      </c>
      <c r="AG14" s="35">
        <f>AG8*Assumptions!G98+U8*Assumptions!F103+I8*Assumptions!E108+AG12</f>
        <v>0</v>
      </c>
      <c r="AH14" s="35">
        <f>AH8*Assumptions!G98+V8*Assumptions!F103+J8*Assumptions!E108+AH12</f>
        <v>0</v>
      </c>
      <c r="AI14" s="35">
        <f>AI8*Assumptions!G98+W8*Assumptions!F103+K8*Assumptions!E108+AI12</f>
        <v>0</v>
      </c>
      <c r="AJ14" s="35">
        <f>AJ8*Assumptions!G98+X8*Assumptions!F103+L8*Assumptions!E108+AJ12</f>
        <v>0</v>
      </c>
      <c r="AK14" s="35">
        <f>AK8*Assumptions!G98+Y8*Assumptions!F103+M8*Assumptions!E108+AK12</f>
        <v>0</v>
      </c>
      <c r="AL14" s="35">
        <f>AL8*Assumptions!G98+Z8*Assumptions!F103+N8*Assumptions!E108+AL12</f>
        <v>0</v>
      </c>
      <c r="AM14" s="35">
        <f>AM8*Assumptions!G98+AA8*Assumptions!F103+O8*Assumptions!E108+AM12</f>
        <v>0</v>
      </c>
      <c r="AN14" s="35">
        <f>AN8*Assumptions!G98+AB8*Assumptions!F103+P8*Assumptions!E108+AN12</f>
        <v>0</v>
      </c>
      <c r="AO14" s="35">
        <f>AO8*Assumptions!H98+AC8*Assumptions!G103+Q8*Assumptions!F108+E8*Assumptions!E113+AO12</f>
        <v>59</v>
      </c>
      <c r="AP14" s="35">
        <f>AP8*Assumptions!H98+AD8*Assumptions!G103+R8*Assumptions!F108+F8*Assumptions!E113+AP12</f>
        <v>0</v>
      </c>
      <c r="AQ14" s="35">
        <f>AQ8*Assumptions!H98+AE8*Assumptions!G103+S8*Assumptions!F108+G8*Assumptions!E113+191.731*Assumptions!E133+AQ12</f>
        <v>28.759649999999997</v>
      </c>
      <c r="AR14" s="35">
        <f>AR8*Assumptions!H98+AF8*Assumptions!G103+T8*Assumptions!F108+H8*Assumptions!E113+AR12</f>
        <v>0</v>
      </c>
      <c r="AS14" s="35">
        <f>AS8*Assumptions!H98+AG8*Assumptions!G103+U8*Assumptions!F108+I8*Assumptions!E113+AS12</f>
        <v>0</v>
      </c>
      <c r="AT14" s="35">
        <f>AT8*Assumptions!H98+AH8*Assumptions!G103+V8*Assumptions!F108+J8*Assumptions!E113+AT12</f>
        <v>0</v>
      </c>
      <c r="AU14" s="35">
        <f>AU8*Assumptions!H98+AI8*Assumptions!G103+W8*Assumptions!F108+K8*Assumptions!E113+AU12</f>
        <v>0</v>
      </c>
      <c r="AV14" s="35">
        <f>AV8*Assumptions!H98+AJ8*Assumptions!G103+X8*Assumptions!F108+L8*Assumptions!E113+AV12</f>
        <v>0</v>
      </c>
      <c r="AW14" s="35">
        <f>AW8*Assumptions!H98+AK8*Assumptions!G103+Y8*Assumptions!F108+M8*Assumptions!E113+AW12</f>
        <v>0</v>
      </c>
      <c r="AX14" s="35">
        <f>AX8*Assumptions!H98+AL8*Assumptions!G103+Z8*Assumptions!F108+N8*Assumptions!E113+AX12</f>
        <v>0</v>
      </c>
      <c r="AY14" s="35">
        <f>AY8*Assumptions!H98+AM8*Assumptions!G103+AA8*Assumptions!F108+O8*Assumptions!E113+AY12</f>
        <v>0</v>
      </c>
      <c r="AZ14" s="35">
        <f>AZ8*Assumptions!H98+AN8*Assumptions!G103+AB8*Assumptions!F108+P8*Assumptions!E113+AZ12</f>
        <v>0</v>
      </c>
      <c r="BA14" s="35">
        <f>BA8*Assumptions!I98+AO8*Assumptions!H103+AC8*Assumptions!G108+Q8*Assumptions!F113+BA12</f>
        <v>65</v>
      </c>
      <c r="BB14" s="35">
        <f>BB8*Assumptions!I98+AP8*Assumptions!H103+AD8*Assumptions!G108+R8*Assumptions!F113+BB12</f>
        <v>0</v>
      </c>
      <c r="BC14" s="35">
        <f>BC8*Assumptions!I98+AQ8*Assumptions!H103+AE8*Assumptions!G108+S8*Assumptions!F113+191.731*Assumptions!E138+BC12</f>
        <v>19.173100000000002</v>
      </c>
      <c r="BD14" s="35">
        <f>BD8*Assumptions!I98+AR8*Assumptions!H103+AF8*Assumptions!G108+T8*Assumptions!F113+BD12</f>
        <v>0</v>
      </c>
      <c r="BE14" s="35">
        <f>BE8*Assumptions!I98+AS8*Assumptions!H103+AG8*Assumptions!G108+U8*Assumptions!F113+BE12</f>
        <v>0</v>
      </c>
      <c r="BF14" s="35">
        <f>BF8*Assumptions!I98+AT8*Assumptions!H103+AH8*Assumptions!G108+V8*Assumptions!F113+BF12</f>
        <v>0</v>
      </c>
      <c r="BG14" s="35">
        <f>BG8*Assumptions!I98+AU8*Assumptions!H103+AI8*Assumptions!G108+W8*Assumptions!F113+BG12</f>
        <v>0</v>
      </c>
      <c r="BH14" s="35">
        <f>BH8*Assumptions!I98+AV8*Assumptions!H103+AJ8*Assumptions!G108+X8*Assumptions!F113+BH12</f>
        <v>0</v>
      </c>
      <c r="BI14" s="35">
        <f>BI8*Assumptions!I98+AW8*Assumptions!H103+AK8*Assumptions!G108+Y8*Assumptions!F113+BI12</f>
        <v>0</v>
      </c>
      <c r="BJ14" s="35">
        <f>BJ8*Assumptions!I98+AX8*Assumptions!H103+AL8*Assumptions!G108+Z8*Assumptions!F113+BJ12</f>
        <v>0</v>
      </c>
      <c r="BK14" s="35">
        <f>BK8*Assumptions!I98+AY8*Assumptions!H103+AM8*Assumptions!G108+AA8*Assumptions!F113+BK12</f>
        <v>0</v>
      </c>
      <c r="BL14" s="35">
        <f>BL8*Assumptions!I98+AZ8*Assumptions!H103+AN8*Assumptions!G108+AB8*Assumptions!F113+BL12</f>
        <v>0</v>
      </c>
      <c r="BM14" s="32"/>
      <c r="BN14" s="32"/>
    </row>
    <row r="15" spans="1:66" ht="20" customHeight="1">
      <c r="A15" s="30"/>
      <c r="B15" s="30"/>
      <c r="C15" s="31" t="s">
        <v>262</v>
      </c>
      <c r="D15" s="31"/>
      <c r="E15" s="35">
        <f>IF(1=Assumptions!E168+0,218.369*(1+Assumptions!E93)^((Assumptions!E168+0)/12),0)+IF(1=Assumptions!E168+12,104.784*(1+Assumptions!E93)^((Assumptions!E168+12)/12),0)+IF(1=Assumptions!E168+24,17.2933333333333*(1+Assumptions!E93)^((Assumptions!E168+24)/12),0)+IF(1=Assumptions!E168+36,17.2933333333333*(1+Assumptions!E93)^((Assumptions!E168+36)/12),0)+IF(1=Assumptions!E168+48,17.2933333333333*(1+Assumptions!E93)^((Assumptions!E168+48)/12),0)</f>
        <v>0</v>
      </c>
      <c r="F15" s="35">
        <f>IF(2=Assumptions!E168+0,218.369*(1+Assumptions!E93)^((Assumptions!E168+0)/12),0)+IF(2=Assumptions!E168+12,104.784*(1+Assumptions!E93)^((Assumptions!E168+12)/12),0)+IF(2=Assumptions!E168+24,17.2933333333333*(1+Assumptions!E93)^((Assumptions!E168+24)/12),0)+IF(2=Assumptions!E168+36,17.2933333333333*(1+Assumptions!E93)^((Assumptions!E168+36)/12),0)+IF(2=Assumptions!E168+48,17.2933333333333*(1+Assumptions!E93)^((Assumptions!E168+48)/12),0)</f>
        <v>0</v>
      </c>
      <c r="G15" s="35">
        <f>IF(3=Assumptions!E168+0,218.369*(1+Assumptions!E93)^((Assumptions!E168+0)/12),0)+IF(3=Assumptions!E168+12,104.784*(1+Assumptions!E93)^((Assumptions!E168+12)/12),0)+IF(3=Assumptions!E168+24,17.2933333333333*(1+Assumptions!E93)^((Assumptions!E168+24)/12),0)+IF(3=Assumptions!E168+36,17.2933333333333*(1+Assumptions!E93)^((Assumptions!E168+36)/12),0)+IF(3=Assumptions!E168+48,17.2933333333333*(1+Assumptions!E93)^((Assumptions!E168+48)/12),0)</f>
        <v>0</v>
      </c>
      <c r="H15" s="35">
        <f>IF(4=Assumptions!E168+0,218.369*(1+Assumptions!E93)^((Assumptions!E168+0)/12),0)+IF(4=Assumptions!E168+12,104.784*(1+Assumptions!E93)^((Assumptions!E168+12)/12),0)+IF(4=Assumptions!E168+24,17.2933333333333*(1+Assumptions!E93)^((Assumptions!E168+24)/12),0)+IF(4=Assumptions!E168+36,17.2933333333333*(1+Assumptions!E93)^((Assumptions!E168+36)/12),0)+IF(4=Assumptions!E168+48,17.2933333333333*(1+Assumptions!E93)^((Assumptions!E168+48)/12),0)</f>
        <v>0</v>
      </c>
      <c r="I15" s="35">
        <f>IF(5=Assumptions!E168+0,218.369*(1+Assumptions!E93)^((Assumptions!E168+0)/12),0)+IF(5=Assumptions!E168+12,104.784*(1+Assumptions!E93)^((Assumptions!E168+12)/12),0)+IF(5=Assumptions!E168+24,17.2933333333333*(1+Assumptions!E93)^((Assumptions!E168+24)/12),0)+IF(5=Assumptions!E168+36,17.2933333333333*(1+Assumptions!E93)^((Assumptions!E168+36)/12),0)+IF(5=Assumptions!E168+48,17.2933333333333*(1+Assumptions!E93)^((Assumptions!E168+48)/12),0)</f>
        <v>0</v>
      </c>
      <c r="J15" s="35">
        <f>IF(6=Assumptions!E168+0,218.369*(1+Assumptions!E93)^((Assumptions!E168+0)/12),0)+IF(6=Assumptions!E168+12,104.784*(1+Assumptions!E93)^((Assumptions!E168+12)/12),0)+IF(6=Assumptions!E168+24,17.2933333333333*(1+Assumptions!E93)^((Assumptions!E168+24)/12),0)+IF(6=Assumptions!E168+36,17.2933333333333*(1+Assumptions!E93)^((Assumptions!E168+36)/12),0)+IF(6=Assumptions!E168+48,17.2933333333333*(1+Assumptions!E93)^((Assumptions!E168+48)/12),0)</f>
        <v>223.76163918118317</v>
      </c>
      <c r="K15" s="35">
        <f>IF(7=Assumptions!E168+0,218.369*(1+Assumptions!E93)^((Assumptions!E168+0)/12),0)+IF(7=Assumptions!E168+12,104.784*(1+Assumptions!E93)^((Assumptions!E168+12)/12),0)+IF(7=Assumptions!E168+24,17.2933333333333*(1+Assumptions!E93)^((Assumptions!E168+24)/12),0)+IF(7=Assumptions!E168+36,17.2933333333333*(1+Assumptions!E93)^((Assumptions!E168+36)/12),0)+IF(7=Assumptions!E168+48,17.2933333333333*(1+Assumptions!E93)^((Assumptions!E168+48)/12),0)</f>
        <v>0</v>
      </c>
      <c r="L15" s="35">
        <f>IF(8=Assumptions!E168+0,218.369*(1+Assumptions!E93)^((Assumptions!E168+0)/12),0)+IF(8=Assumptions!E168+12,104.784*(1+Assumptions!E93)^((Assumptions!E168+12)/12),0)+IF(8=Assumptions!E168+24,17.2933333333333*(1+Assumptions!E93)^((Assumptions!E168+24)/12),0)+IF(8=Assumptions!E168+36,17.2933333333333*(1+Assumptions!E93)^((Assumptions!E168+36)/12),0)+IF(8=Assumptions!E168+48,17.2933333333333*(1+Assumptions!E93)^((Assumptions!E168+48)/12),0)</f>
        <v>0</v>
      </c>
      <c r="M15" s="35">
        <f>IF(9=Assumptions!E168+0,218.369*(1+Assumptions!E93)^((Assumptions!E168+0)/12),0)+IF(9=Assumptions!E168+12,104.784*(1+Assumptions!E93)^((Assumptions!E168+12)/12),0)+IF(9=Assumptions!E168+24,17.2933333333333*(1+Assumptions!E93)^((Assumptions!E168+24)/12),0)+IF(9=Assumptions!E168+36,17.2933333333333*(1+Assumptions!E93)^((Assumptions!E168+36)/12),0)+IF(9=Assumptions!E168+48,17.2933333333333*(1+Assumptions!E93)^((Assumptions!E168+48)/12),0)</f>
        <v>0</v>
      </c>
      <c r="N15" s="35">
        <f>IF(10=Assumptions!E168+0,218.369*(1+Assumptions!E93)^((Assumptions!E168+0)/12),0)+IF(10=Assumptions!E168+12,104.784*(1+Assumptions!E93)^((Assumptions!E168+12)/12),0)+IF(10=Assumptions!E168+24,17.2933333333333*(1+Assumptions!E93)^((Assumptions!E168+24)/12),0)+IF(10=Assumptions!E168+36,17.2933333333333*(1+Assumptions!E93)^((Assumptions!E168+36)/12),0)+IF(10=Assumptions!E168+48,17.2933333333333*(1+Assumptions!E93)^((Assumptions!E168+48)/12),0)</f>
        <v>0</v>
      </c>
      <c r="O15" s="35">
        <f>IF(11=Assumptions!E168+0,218.369*(1+Assumptions!E93)^((Assumptions!E168+0)/12),0)+IF(11=Assumptions!E168+12,104.784*(1+Assumptions!E93)^((Assumptions!E168+12)/12),0)+IF(11=Assumptions!E168+24,17.2933333333333*(1+Assumptions!E93)^((Assumptions!E168+24)/12),0)+IF(11=Assumptions!E168+36,17.2933333333333*(1+Assumptions!E93)^((Assumptions!E168+36)/12),0)+IF(11=Assumptions!E168+48,17.2933333333333*(1+Assumptions!E93)^((Assumptions!E168+48)/12),0)</f>
        <v>0</v>
      </c>
      <c r="P15" s="35">
        <f>IF(12=Assumptions!E168+0,218.369*(1+Assumptions!E93)^((Assumptions!E168+0)/12),0)+IF(12=Assumptions!E168+12,104.784*(1+Assumptions!E93)^((Assumptions!E168+12)/12),0)+IF(12=Assumptions!E168+24,17.2933333333333*(1+Assumptions!E93)^((Assumptions!E168+24)/12),0)+IF(12=Assumptions!E168+36,17.2933333333333*(1+Assumptions!E93)^((Assumptions!E168+36)/12),0)+IF(12=Assumptions!E168+48,17.2933333333333*(1+Assumptions!E93)^((Assumptions!E168+48)/12),0)</f>
        <v>0</v>
      </c>
      <c r="Q15" s="35">
        <f>IF(13=Assumptions!E168+0,218.369*(1+Assumptions!E93)^((Assumptions!E168+0)/12),0)+IF(13=Assumptions!E168+12,104.784*(1+Assumptions!E93)^((Assumptions!E168+12)/12),0)+IF(13=Assumptions!E168+24,17.2933333333333*(1+Assumptions!E93)^((Assumptions!E168+24)/12),0)+IF(13=Assumptions!E168+36,17.2933333333333*(1+Assumptions!E93)^((Assumptions!E168+36)/12),0)+IF(13=Assumptions!E168+48,17.2933333333333*(1+Assumptions!E93)^((Assumptions!E168+48)/12),0)</f>
        <v>0</v>
      </c>
      <c r="R15" s="35">
        <f>IF(14=Assumptions!E168+0,218.369*(1+Assumptions!E93)^((Assumptions!E168+0)/12),0)+IF(14=Assumptions!E168+12,104.784*(1+Assumptions!E93)^((Assumptions!E168+12)/12),0)+IF(14=Assumptions!E168+24,17.2933333333333*(1+Assumptions!E93)^((Assumptions!E168+24)/12),0)+IF(14=Assumptions!E168+36,17.2933333333333*(1+Assumptions!E93)^((Assumptions!E168+36)/12),0)+IF(14=Assumptions!E168+48,17.2933333333333*(1+Assumptions!E93)^((Assumptions!E168+48)/12),0)</f>
        <v>0</v>
      </c>
      <c r="S15" s="35">
        <f>IF(15=Assumptions!E168+0,218.369*(1+Assumptions!E93)^((Assumptions!E168+0)/12),0)+IF(15=Assumptions!E168+12,104.784*(1+Assumptions!E93)^((Assumptions!E168+12)/12),0)+IF(15=Assumptions!E168+24,17.2933333333333*(1+Assumptions!E93)^((Assumptions!E168+24)/12),0)+IF(15=Assumptions!E168+36,17.2933333333333*(1+Assumptions!E93)^((Assumptions!E168+36)/12),0)+IF(15=Assumptions!E168+48,17.2933333333333*(1+Assumptions!E93)^((Assumptions!E168+48)/12),0)</f>
        <v>0</v>
      </c>
      <c r="T15" s="35">
        <f>IF(16=Assumptions!E168+0,218.369*(1+Assumptions!E93)^((Assumptions!E168+0)/12),0)+IF(16=Assumptions!E168+12,104.784*(1+Assumptions!E93)^((Assumptions!E168+12)/12),0)+IF(16=Assumptions!E168+24,17.2933333333333*(1+Assumptions!E93)^((Assumptions!E168+24)/12),0)+IF(16=Assumptions!E168+36,17.2933333333333*(1+Assumptions!E93)^((Assumptions!E168+36)/12),0)+IF(16=Assumptions!E168+48,17.2933333333333*(1+Assumptions!E93)^((Assumptions!E168+48)/12),0)</f>
        <v>0</v>
      </c>
      <c r="U15" s="35">
        <f>IF(17=Assumptions!E168+0,218.369*(1+Assumptions!E93)^((Assumptions!E168+0)/12),0)+IF(17=Assumptions!E168+12,104.784*(1+Assumptions!E93)^((Assumptions!E168+12)/12),0)+IF(17=Assumptions!E168+24,17.2933333333333*(1+Assumptions!E93)^((Assumptions!E168+24)/12),0)+IF(17=Assumptions!E168+36,17.2933333333333*(1+Assumptions!E93)^((Assumptions!E168+36)/12),0)+IF(17=Assumptions!E168+48,17.2933333333333*(1+Assumptions!E93)^((Assumptions!E168+48)/12),0)</f>
        <v>0</v>
      </c>
      <c r="V15" s="35">
        <f>IF(18=Assumptions!E168+0,218.369*(1+Assumptions!E93)^((Assumptions!E168+0)/12),0)+IF(18=Assumptions!E168+12,104.784*(1+Assumptions!E93)^((Assumptions!E168+12)/12),0)+IF(18=Assumptions!E168+24,17.2933333333333*(1+Assumptions!E93)^((Assumptions!E168+24)/12),0)+IF(18=Assumptions!E168+36,17.2933333333333*(1+Assumptions!E93)^((Assumptions!E168+36)/12),0)+IF(18=Assumptions!E168+48,17.2933333333333*(1+Assumptions!E93)^((Assumptions!E168+48)/12),0)</f>
        <v>112.74023135133261</v>
      </c>
      <c r="W15" s="35">
        <f>IF(19=Assumptions!E168+0,218.369*(1+Assumptions!E93)^((Assumptions!E168+0)/12),0)+IF(19=Assumptions!E168+12,104.784*(1+Assumptions!E93)^((Assumptions!E168+12)/12),0)+IF(19=Assumptions!E168+24,17.2933333333333*(1+Assumptions!E93)^((Assumptions!E168+24)/12),0)+IF(19=Assumptions!E168+36,17.2933333333333*(1+Assumptions!E93)^((Assumptions!E168+36)/12),0)+IF(19=Assumptions!E168+48,17.2933333333333*(1+Assumptions!E93)^((Assumptions!E168+48)/12),0)</f>
        <v>0</v>
      </c>
      <c r="X15" s="35">
        <f>IF(20=Assumptions!E168+0,218.369*(1+Assumptions!E93)^((Assumptions!E168+0)/12),0)+IF(20=Assumptions!E168+12,104.784*(1+Assumptions!E93)^((Assumptions!E168+12)/12),0)+IF(20=Assumptions!E168+24,17.2933333333333*(1+Assumptions!E93)^((Assumptions!E168+24)/12),0)+IF(20=Assumptions!E168+36,17.2933333333333*(1+Assumptions!E93)^((Assumptions!E168+36)/12),0)+IF(20=Assumptions!E168+48,17.2933333333333*(1+Assumptions!E93)^((Assumptions!E168+48)/12),0)</f>
        <v>0</v>
      </c>
      <c r="Y15" s="35">
        <f>IF(21=Assumptions!E168+0,218.369*(1+Assumptions!E93)^((Assumptions!E168+0)/12),0)+IF(21=Assumptions!E168+12,104.784*(1+Assumptions!E93)^((Assumptions!E168+12)/12),0)+IF(21=Assumptions!E168+24,17.2933333333333*(1+Assumptions!E93)^((Assumptions!E168+24)/12),0)+IF(21=Assumptions!E168+36,17.2933333333333*(1+Assumptions!E93)^((Assumptions!E168+36)/12),0)+IF(21=Assumptions!E168+48,17.2933333333333*(1+Assumptions!E93)^((Assumptions!E168+48)/12),0)</f>
        <v>0</v>
      </c>
      <c r="Z15" s="35">
        <f>IF(22=Assumptions!E168+0,218.369*(1+Assumptions!E93)^((Assumptions!E168+0)/12),0)+IF(22=Assumptions!E168+12,104.784*(1+Assumptions!E93)^((Assumptions!E168+12)/12),0)+IF(22=Assumptions!E168+24,17.2933333333333*(1+Assumptions!E93)^((Assumptions!E168+24)/12),0)+IF(22=Assumptions!E168+36,17.2933333333333*(1+Assumptions!E93)^((Assumptions!E168+36)/12),0)+IF(22=Assumptions!E168+48,17.2933333333333*(1+Assumptions!E93)^((Assumptions!E168+48)/12),0)</f>
        <v>0</v>
      </c>
      <c r="AA15" s="35">
        <f>IF(23=Assumptions!E168+0,218.369*(1+Assumptions!E93)^((Assumptions!E168+0)/12),0)+IF(23=Assumptions!E168+12,104.784*(1+Assumptions!E93)^((Assumptions!E168+12)/12),0)+IF(23=Assumptions!E168+24,17.2933333333333*(1+Assumptions!E93)^((Assumptions!E168+24)/12),0)+IF(23=Assumptions!E168+36,17.2933333333333*(1+Assumptions!E93)^((Assumptions!E168+36)/12),0)+IF(23=Assumptions!E168+48,17.2933333333333*(1+Assumptions!E93)^((Assumptions!E168+48)/12),0)</f>
        <v>0</v>
      </c>
      <c r="AB15" s="35">
        <f>IF(24=Assumptions!E168+0,218.369*(1+Assumptions!E93)^((Assumptions!E168+0)/12),0)+IF(24=Assumptions!E168+12,104.784*(1+Assumptions!E93)^((Assumptions!E168+12)/12),0)+IF(24=Assumptions!E168+24,17.2933333333333*(1+Assumptions!E93)^((Assumptions!E168+24)/12),0)+IF(24=Assumptions!E168+36,17.2933333333333*(1+Assumptions!E93)^((Assumptions!E168+36)/12),0)+IF(24=Assumptions!E168+48,17.2933333333333*(1+Assumptions!E93)^((Assumptions!E168+48)/12),0)</f>
        <v>0</v>
      </c>
      <c r="AC15" s="35">
        <f>IF(25=Assumptions!E168+0,218.369*(1+Assumptions!E93)^((Assumptions!E168+0)/12),0)+IF(25=Assumptions!E168+12,104.784*(1+Assumptions!E93)^((Assumptions!E168+12)/12),0)+IF(25=Assumptions!E168+24,17.2933333333333*(1+Assumptions!E93)^((Assumptions!E168+24)/12),0)+IF(25=Assumptions!E168+36,17.2933333333333*(1+Assumptions!E93)^((Assumptions!E168+36)/12),0)+IF(25=Assumptions!E168+48,17.2933333333333*(1+Assumptions!E93)^((Assumptions!E168+48)/12),0)</f>
        <v>0</v>
      </c>
      <c r="AD15" s="35">
        <f>IF(26=Assumptions!E168+0,218.369*(1+Assumptions!E93)^((Assumptions!E168+0)/12),0)+IF(26=Assumptions!E168+12,104.784*(1+Assumptions!E93)^((Assumptions!E168+12)/12),0)+IF(26=Assumptions!E168+24,17.2933333333333*(1+Assumptions!E93)^((Assumptions!E168+24)/12),0)+IF(26=Assumptions!E168+36,17.2933333333333*(1+Assumptions!E93)^((Assumptions!E168+36)/12),0)+IF(26=Assumptions!E168+48,17.2933333333333*(1+Assumptions!E93)^((Assumptions!E168+48)/12),0)</f>
        <v>0</v>
      </c>
      <c r="AE15" s="35">
        <f>IF(27=Assumptions!E168+0,218.369*(1+Assumptions!E93)^((Assumptions!E168+0)/12),0)+IF(27=Assumptions!E168+12,104.784*(1+Assumptions!E93)^((Assumptions!E168+12)/12),0)+IF(27=Assumptions!E168+24,17.2933333333333*(1+Assumptions!E93)^((Assumptions!E168+24)/12),0)+IF(27=Assumptions!E168+36,17.2933333333333*(1+Assumptions!E93)^((Assumptions!E168+36)/12),0)+IF(27=Assumptions!E168+48,17.2933333333333*(1+Assumptions!E93)^((Assumptions!E168+48)/12),0)</f>
        <v>0</v>
      </c>
      <c r="AF15" s="35">
        <f>IF(28=Assumptions!E168+0,218.369*(1+Assumptions!E93)^((Assumptions!E168+0)/12),0)+IF(28=Assumptions!E168+12,104.784*(1+Assumptions!E93)^((Assumptions!E168+12)/12),0)+IF(28=Assumptions!E168+24,17.2933333333333*(1+Assumptions!E93)^((Assumptions!E168+24)/12),0)+IF(28=Assumptions!E168+36,17.2933333333333*(1+Assumptions!E93)^((Assumptions!E168+36)/12),0)+IF(28=Assumptions!E168+48,17.2933333333333*(1+Assumptions!E93)^((Assumptions!E168+48)/12),0)</f>
        <v>0</v>
      </c>
      <c r="AG15" s="35">
        <f>IF(29=Assumptions!E168+0,218.369*(1+Assumptions!E93)^((Assumptions!E168+0)/12),0)+IF(29=Assumptions!E168+12,104.784*(1+Assumptions!E93)^((Assumptions!E168+12)/12),0)+IF(29=Assumptions!E168+24,17.2933333333333*(1+Assumptions!E93)^((Assumptions!E168+24)/12),0)+IF(29=Assumptions!E168+36,17.2933333333333*(1+Assumptions!E93)^((Assumptions!E168+36)/12),0)+IF(29=Assumptions!E168+48,17.2933333333333*(1+Assumptions!E93)^((Assumptions!E168+48)/12),0)</f>
        <v>0</v>
      </c>
      <c r="AH15" s="35">
        <f>IF(30=Assumptions!E168+0,218.369*(1+Assumptions!E93)^((Assumptions!E168+0)/12),0)+IF(30=Assumptions!E168+12,104.784*(1+Assumptions!E93)^((Assumptions!E168+12)/12),0)+IF(30=Assumptions!E168+24,17.2933333333333*(1+Assumptions!E93)^((Assumptions!E168+24)/12),0)+IF(30=Assumptions!E168+36,17.2933333333333*(1+Assumptions!E93)^((Assumptions!E168+36)/12),0)+IF(30=Assumptions!E168+48,17.2933333333333*(1+Assumptions!E93)^((Assumptions!E168+48)/12),0)</f>
        <v>19.536733860870878</v>
      </c>
      <c r="AI15" s="35">
        <f>IF(31=Assumptions!E168+0,218.369*(1+Assumptions!E93)^((Assumptions!E168+0)/12),0)+IF(31=Assumptions!E168+12,104.784*(1+Assumptions!E93)^((Assumptions!E168+12)/12),0)+IF(31=Assumptions!E168+24,17.2933333333333*(1+Assumptions!E93)^((Assumptions!E168+24)/12),0)+IF(31=Assumptions!E168+36,17.2933333333333*(1+Assumptions!E93)^((Assumptions!E168+36)/12),0)+IF(31=Assumptions!E168+48,17.2933333333333*(1+Assumptions!E93)^((Assumptions!E168+48)/12),0)</f>
        <v>0</v>
      </c>
      <c r="AJ15" s="35">
        <f>IF(32=Assumptions!E168+0,218.369*(1+Assumptions!E93)^((Assumptions!E168+0)/12),0)+IF(32=Assumptions!E168+12,104.784*(1+Assumptions!E93)^((Assumptions!E168+12)/12),0)+IF(32=Assumptions!E168+24,17.2933333333333*(1+Assumptions!E93)^((Assumptions!E168+24)/12),0)+IF(32=Assumptions!E168+36,17.2933333333333*(1+Assumptions!E93)^((Assumptions!E168+36)/12),0)+IF(32=Assumptions!E168+48,17.2933333333333*(1+Assumptions!E93)^((Assumptions!E168+48)/12),0)</f>
        <v>0</v>
      </c>
      <c r="AK15" s="35">
        <f>IF(33=Assumptions!E168+0,218.369*(1+Assumptions!E93)^((Assumptions!E168+0)/12),0)+IF(33=Assumptions!E168+12,104.784*(1+Assumptions!E93)^((Assumptions!E168+12)/12),0)+IF(33=Assumptions!E168+24,17.2933333333333*(1+Assumptions!E93)^((Assumptions!E168+24)/12),0)+IF(33=Assumptions!E168+36,17.2933333333333*(1+Assumptions!E93)^((Assumptions!E168+36)/12),0)+IF(33=Assumptions!E168+48,17.2933333333333*(1+Assumptions!E93)^((Assumptions!E168+48)/12),0)</f>
        <v>0</v>
      </c>
      <c r="AL15" s="35">
        <f>IF(34=Assumptions!E168+0,218.369*(1+Assumptions!E93)^((Assumptions!E168+0)/12),0)+IF(34=Assumptions!E168+12,104.784*(1+Assumptions!E93)^((Assumptions!E168+12)/12),0)+IF(34=Assumptions!E168+24,17.2933333333333*(1+Assumptions!E93)^((Assumptions!E168+24)/12),0)+IF(34=Assumptions!E168+36,17.2933333333333*(1+Assumptions!E93)^((Assumptions!E168+36)/12),0)+IF(34=Assumptions!E168+48,17.2933333333333*(1+Assumptions!E93)^((Assumptions!E168+48)/12),0)</f>
        <v>0</v>
      </c>
      <c r="AM15" s="35">
        <f>IF(35=Assumptions!E168+0,218.369*(1+Assumptions!E93)^((Assumptions!E168+0)/12),0)+IF(35=Assumptions!E168+12,104.784*(1+Assumptions!E93)^((Assumptions!E168+12)/12),0)+IF(35=Assumptions!E168+24,17.2933333333333*(1+Assumptions!E93)^((Assumptions!E168+24)/12),0)+IF(35=Assumptions!E168+36,17.2933333333333*(1+Assumptions!E93)^((Assumptions!E168+36)/12),0)+IF(35=Assumptions!E168+48,17.2933333333333*(1+Assumptions!E93)^((Assumptions!E168+48)/12),0)</f>
        <v>0</v>
      </c>
      <c r="AN15" s="35">
        <f>IF(36=Assumptions!E168+0,218.369*(1+Assumptions!E93)^((Assumptions!E168+0)/12),0)+IF(36=Assumptions!E168+12,104.784*(1+Assumptions!E93)^((Assumptions!E168+12)/12),0)+IF(36=Assumptions!E168+24,17.2933333333333*(1+Assumptions!E93)^((Assumptions!E168+24)/12),0)+IF(36=Assumptions!E168+36,17.2933333333333*(1+Assumptions!E93)^((Assumptions!E168+36)/12),0)+IF(36=Assumptions!E168+48,17.2933333333333*(1+Assumptions!E93)^((Assumptions!E168+48)/12),0)</f>
        <v>0</v>
      </c>
      <c r="AO15" s="35">
        <f>IF(37=Assumptions!E168+0,218.369*(1+Assumptions!E93)^((Assumptions!E168+0)/12),0)+IF(37=Assumptions!E168+12,104.784*(1+Assumptions!E93)^((Assumptions!E168+12)/12),0)+IF(37=Assumptions!E168+24,17.2933333333333*(1+Assumptions!E93)^((Assumptions!E168+24)/12),0)+IF(37=Assumptions!E168+36,17.2933333333333*(1+Assumptions!E93)^((Assumptions!E168+36)/12),0)+IF(37=Assumptions!E168+48,17.2933333333333*(1+Assumptions!E93)^((Assumptions!E168+48)/12),0)</f>
        <v>0</v>
      </c>
      <c r="AP15" s="35">
        <f>IF(38=Assumptions!E168+0,218.369*(1+Assumptions!E93)^((Assumptions!E168+0)/12),0)+IF(38=Assumptions!E168+12,104.784*(1+Assumptions!E93)^((Assumptions!E168+12)/12),0)+IF(38=Assumptions!E168+24,17.2933333333333*(1+Assumptions!E93)^((Assumptions!E168+24)/12),0)+IF(38=Assumptions!E168+36,17.2933333333333*(1+Assumptions!E93)^((Assumptions!E168+36)/12),0)+IF(38=Assumptions!E168+48,17.2933333333333*(1+Assumptions!E93)^((Assumptions!E168+48)/12),0)</f>
        <v>0</v>
      </c>
      <c r="AQ15" s="35">
        <f>IF(39=Assumptions!E168+0,218.369*(1+Assumptions!E93)^((Assumptions!E168+0)/12),0)+IF(39=Assumptions!E168+12,104.784*(1+Assumptions!E93)^((Assumptions!E168+12)/12),0)+IF(39=Assumptions!E168+24,17.2933333333333*(1+Assumptions!E93)^((Assumptions!E168+24)/12),0)+IF(39=Assumptions!E168+36,17.2933333333333*(1+Assumptions!E93)^((Assumptions!E168+36)/12),0)+IF(39=Assumptions!E168+48,17.2933333333333*(1+Assumptions!E93)^((Assumptions!E168+48)/12),0)</f>
        <v>0</v>
      </c>
      <c r="AR15" s="35">
        <f>IF(40=Assumptions!E168+0,218.369*(1+Assumptions!E93)^((Assumptions!E168+0)/12),0)+IF(40=Assumptions!E168+12,104.784*(1+Assumptions!E93)^((Assumptions!E168+12)/12),0)+IF(40=Assumptions!E168+24,17.2933333333333*(1+Assumptions!E93)^((Assumptions!E168+24)/12),0)+IF(40=Assumptions!E168+36,17.2933333333333*(1+Assumptions!E93)^((Assumptions!E168+36)/12),0)+IF(40=Assumptions!E168+48,17.2933333333333*(1+Assumptions!E93)^((Assumptions!E168+48)/12),0)</f>
        <v>0</v>
      </c>
      <c r="AS15" s="35">
        <f>IF(41=Assumptions!E168+0,218.369*(1+Assumptions!E93)^((Assumptions!E168+0)/12),0)+IF(41=Assumptions!E168+12,104.784*(1+Assumptions!E93)^((Assumptions!E168+12)/12),0)+IF(41=Assumptions!E168+24,17.2933333333333*(1+Assumptions!E93)^((Assumptions!E168+24)/12),0)+IF(41=Assumptions!E168+36,17.2933333333333*(1+Assumptions!E93)^((Assumptions!E168+36)/12),0)+IF(41=Assumptions!E168+48,17.2933333333333*(1+Assumptions!E93)^((Assumptions!E168+48)/12),0)</f>
        <v>0</v>
      </c>
      <c r="AT15" s="35">
        <f>IF(42=Assumptions!E168+0,218.369*(1+Assumptions!E93)^((Assumptions!E168+0)/12),0)+IF(42=Assumptions!E168+12,104.784*(1+Assumptions!E93)^((Assumptions!E168+12)/12),0)+IF(42=Assumptions!E168+24,17.2933333333333*(1+Assumptions!E93)^((Assumptions!E168+24)/12),0)+IF(42=Assumptions!E168+36,17.2933333333333*(1+Assumptions!E93)^((Assumptions!E168+36)/12),0)+IF(42=Assumptions!E168+48,17.2933333333333*(1+Assumptions!E93)^((Assumptions!E168+48)/12),0)</f>
        <v>20.513570553914423</v>
      </c>
      <c r="AU15" s="35">
        <f>IF(43=Assumptions!E168+0,218.369*(1+Assumptions!E93)^((Assumptions!E168+0)/12),0)+IF(43=Assumptions!E168+12,104.784*(1+Assumptions!E93)^((Assumptions!E168+12)/12),0)+IF(43=Assumptions!E168+24,17.2933333333333*(1+Assumptions!E93)^((Assumptions!E168+24)/12),0)+IF(43=Assumptions!E168+36,17.2933333333333*(1+Assumptions!E93)^((Assumptions!E168+36)/12),0)+IF(43=Assumptions!E168+48,17.2933333333333*(1+Assumptions!E93)^((Assumptions!E168+48)/12),0)</f>
        <v>0</v>
      </c>
      <c r="AV15" s="35">
        <f>IF(44=Assumptions!E168+0,218.369*(1+Assumptions!E93)^((Assumptions!E168+0)/12),0)+IF(44=Assumptions!E168+12,104.784*(1+Assumptions!E93)^((Assumptions!E168+12)/12),0)+IF(44=Assumptions!E168+24,17.2933333333333*(1+Assumptions!E93)^((Assumptions!E168+24)/12),0)+IF(44=Assumptions!E168+36,17.2933333333333*(1+Assumptions!E93)^((Assumptions!E168+36)/12),0)+IF(44=Assumptions!E168+48,17.2933333333333*(1+Assumptions!E93)^((Assumptions!E168+48)/12),0)</f>
        <v>0</v>
      </c>
      <c r="AW15" s="35">
        <f>IF(45=Assumptions!E168+0,218.369*(1+Assumptions!E93)^((Assumptions!E168+0)/12),0)+IF(45=Assumptions!E168+12,104.784*(1+Assumptions!E93)^((Assumptions!E168+12)/12),0)+IF(45=Assumptions!E168+24,17.2933333333333*(1+Assumptions!E93)^((Assumptions!E168+24)/12),0)+IF(45=Assumptions!E168+36,17.2933333333333*(1+Assumptions!E93)^((Assumptions!E168+36)/12),0)+IF(45=Assumptions!E168+48,17.2933333333333*(1+Assumptions!E93)^((Assumptions!E168+48)/12),0)</f>
        <v>0</v>
      </c>
      <c r="AX15" s="35">
        <f>IF(46=Assumptions!E168+0,218.369*(1+Assumptions!E93)^((Assumptions!E168+0)/12),0)+IF(46=Assumptions!E168+12,104.784*(1+Assumptions!E93)^((Assumptions!E168+12)/12),0)+IF(46=Assumptions!E168+24,17.2933333333333*(1+Assumptions!E93)^((Assumptions!E168+24)/12),0)+IF(46=Assumptions!E168+36,17.2933333333333*(1+Assumptions!E93)^((Assumptions!E168+36)/12),0)+IF(46=Assumptions!E168+48,17.2933333333333*(1+Assumptions!E93)^((Assumptions!E168+48)/12),0)</f>
        <v>0</v>
      </c>
      <c r="AY15" s="35">
        <f>IF(47=Assumptions!E168+0,218.369*(1+Assumptions!E93)^((Assumptions!E168+0)/12),0)+IF(47=Assumptions!E168+12,104.784*(1+Assumptions!E93)^((Assumptions!E168+12)/12),0)+IF(47=Assumptions!E168+24,17.2933333333333*(1+Assumptions!E93)^((Assumptions!E168+24)/12),0)+IF(47=Assumptions!E168+36,17.2933333333333*(1+Assumptions!E93)^((Assumptions!E168+36)/12),0)+IF(47=Assumptions!E168+48,17.2933333333333*(1+Assumptions!E93)^((Assumptions!E168+48)/12),0)</f>
        <v>0</v>
      </c>
      <c r="AZ15" s="35">
        <f>IF(48=Assumptions!E168+0,218.369*(1+Assumptions!E93)^((Assumptions!E168+0)/12),0)+IF(48=Assumptions!E168+12,104.784*(1+Assumptions!E93)^((Assumptions!E168+12)/12),0)+IF(48=Assumptions!E168+24,17.2933333333333*(1+Assumptions!E93)^((Assumptions!E168+24)/12),0)+IF(48=Assumptions!E168+36,17.2933333333333*(1+Assumptions!E93)^((Assumptions!E168+36)/12),0)+IF(48=Assumptions!E168+48,17.2933333333333*(1+Assumptions!E93)^((Assumptions!E168+48)/12),0)</f>
        <v>0</v>
      </c>
      <c r="BA15" s="35">
        <f>IF(49=Assumptions!E168+0,218.369*(1+Assumptions!E93)^((Assumptions!E168+0)/12),0)+IF(49=Assumptions!E168+12,104.784*(1+Assumptions!E93)^((Assumptions!E168+12)/12),0)+IF(49=Assumptions!E168+24,17.2933333333333*(1+Assumptions!E93)^((Assumptions!E168+24)/12),0)+IF(49=Assumptions!E168+36,17.2933333333333*(1+Assumptions!E93)^((Assumptions!E168+36)/12),0)+IF(49=Assumptions!E168+48,17.2933333333333*(1+Assumptions!E93)^((Assumptions!E168+48)/12),0)</f>
        <v>0</v>
      </c>
      <c r="BB15" s="35">
        <f>IF(50=Assumptions!E168+0,218.369*(1+Assumptions!E93)^((Assumptions!E168+0)/12),0)+IF(50=Assumptions!E168+12,104.784*(1+Assumptions!E93)^((Assumptions!E168+12)/12),0)+IF(50=Assumptions!E168+24,17.2933333333333*(1+Assumptions!E93)^((Assumptions!E168+24)/12),0)+IF(50=Assumptions!E168+36,17.2933333333333*(1+Assumptions!E93)^((Assumptions!E168+36)/12),0)+IF(50=Assumptions!E168+48,17.2933333333333*(1+Assumptions!E93)^((Assumptions!E168+48)/12),0)</f>
        <v>0</v>
      </c>
      <c r="BC15" s="35">
        <f>IF(51=Assumptions!E168+0,218.369*(1+Assumptions!E93)^((Assumptions!E168+0)/12),0)+IF(51=Assumptions!E168+12,104.784*(1+Assumptions!E93)^((Assumptions!E168+12)/12),0)+IF(51=Assumptions!E168+24,17.2933333333333*(1+Assumptions!E93)^((Assumptions!E168+24)/12),0)+IF(51=Assumptions!E168+36,17.2933333333333*(1+Assumptions!E93)^((Assumptions!E168+36)/12),0)+IF(51=Assumptions!E168+48,17.2933333333333*(1+Assumptions!E93)^((Assumptions!E168+48)/12),0)</f>
        <v>0</v>
      </c>
      <c r="BD15" s="35">
        <f>IF(52=Assumptions!E168+0,218.369*(1+Assumptions!E93)^((Assumptions!E168+0)/12),0)+IF(52=Assumptions!E168+12,104.784*(1+Assumptions!E93)^((Assumptions!E168+12)/12),0)+IF(52=Assumptions!E168+24,17.2933333333333*(1+Assumptions!E93)^((Assumptions!E168+24)/12),0)+IF(52=Assumptions!E168+36,17.2933333333333*(1+Assumptions!E93)^((Assumptions!E168+36)/12),0)+IF(52=Assumptions!E168+48,17.2933333333333*(1+Assumptions!E93)^((Assumptions!E168+48)/12),0)</f>
        <v>0</v>
      </c>
      <c r="BE15" s="35">
        <f>IF(53=Assumptions!E168+0,218.369*(1+Assumptions!E93)^((Assumptions!E168+0)/12),0)+IF(53=Assumptions!E168+12,104.784*(1+Assumptions!E93)^((Assumptions!E168+12)/12),0)+IF(53=Assumptions!E168+24,17.2933333333333*(1+Assumptions!E93)^((Assumptions!E168+24)/12),0)+IF(53=Assumptions!E168+36,17.2933333333333*(1+Assumptions!E93)^((Assumptions!E168+36)/12),0)+IF(53=Assumptions!E168+48,17.2933333333333*(1+Assumptions!E93)^((Assumptions!E168+48)/12),0)</f>
        <v>0</v>
      </c>
      <c r="BF15" s="35">
        <f>IF(54=Assumptions!E168+0,218.369*(1+Assumptions!E93)^((Assumptions!E168+0)/12),0)+IF(54=Assumptions!E168+12,104.784*(1+Assumptions!E93)^((Assumptions!E168+12)/12),0)+IF(54=Assumptions!E168+24,17.2933333333333*(1+Assumptions!E93)^((Assumptions!E168+24)/12),0)+IF(54=Assumptions!E168+36,17.2933333333333*(1+Assumptions!E93)^((Assumptions!E168+36)/12),0)+IF(54=Assumptions!E168+48,17.2933333333333*(1+Assumptions!E93)^((Assumptions!E168+48)/12),0)</f>
        <v>21.539249081610141</v>
      </c>
      <c r="BG15" s="35">
        <f>IF(55=Assumptions!E168+0,218.369*(1+Assumptions!E93)^((Assumptions!E168+0)/12),0)+IF(55=Assumptions!E168+12,104.784*(1+Assumptions!E93)^((Assumptions!E168+12)/12),0)+IF(55=Assumptions!E168+24,17.2933333333333*(1+Assumptions!E93)^((Assumptions!E168+24)/12),0)+IF(55=Assumptions!E168+36,17.2933333333333*(1+Assumptions!E93)^((Assumptions!E168+36)/12),0)+IF(55=Assumptions!E168+48,17.2933333333333*(1+Assumptions!E93)^((Assumptions!E168+48)/12),0)</f>
        <v>0</v>
      </c>
      <c r="BH15" s="35">
        <f>IF(56=Assumptions!E168+0,218.369*(1+Assumptions!E93)^((Assumptions!E168+0)/12),0)+IF(56=Assumptions!E168+12,104.784*(1+Assumptions!E93)^((Assumptions!E168+12)/12),0)+IF(56=Assumptions!E168+24,17.2933333333333*(1+Assumptions!E93)^((Assumptions!E168+24)/12),0)+IF(56=Assumptions!E168+36,17.2933333333333*(1+Assumptions!E93)^((Assumptions!E168+36)/12),0)+IF(56=Assumptions!E168+48,17.2933333333333*(1+Assumptions!E93)^((Assumptions!E168+48)/12),0)</f>
        <v>0</v>
      </c>
      <c r="BI15" s="35">
        <f>IF(57=Assumptions!E168+0,218.369*(1+Assumptions!E93)^((Assumptions!E168+0)/12),0)+IF(57=Assumptions!E168+12,104.784*(1+Assumptions!E93)^((Assumptions!E168+12)/12),0)+IF(57=Assumptions!E168+24,17.2933333333333*(1+Assumptions!E93)^((Assumptions!E168+24)/12),0)+IF(57=Assumptions!E168+36,17.2933333333333*(1+Assumptions!E93)^((Assumptions!E168+36)/12),0)+IF(57=Assumptions!E168+48,17.2933333333333*(1+Assumptions!E93)^((Assumptions!E168+48)/12),0)</f>
        <v>0</v>
      </c>
      <c r="BJ15" s="35">
        <f>IF(58=Assumptions!E168+0,218.369*(1+Assumptions!E93)^((Assumptions!E168+0)/12),0)+IF(58=Assumptions!E168+12,104.784*(1+Assumptions!E93)^((Assumptions!E168+12)/12),0)+IF(58=Assumptions!E168+24,17.2933333333333*(1+Assumptions!E93)^((Assumptions!E168+24)/12),0)+IF(58=Assumptions!E168+36,17.2933333333333*(1+Assumptions!E93)^((Assumptions!E168+36)/12),0)+IF(58=Assumptions!E168+48,17.2933333333333*(1+Assumptions!E93)^((Assumptions!E168+48)/12),0)</f>
        <v>0</v>
      </c>
      <c r="BK15" s="35">
        <f>IF(59=Assumptions!E168+0,218.369*(1+Assumptions!E93)^((Assumptions!E168+0)/12),0)+IF(59=Assumptions!E168+12,104.784*(1+Assumptions!E93)^((Assumptions!E168+12)/12),0)+IF(59=Assumptions!E168+24,17.2933333333333*(1+Assumptions!E93)^((Assumptions!E168+24)/12),0)+IF(59=Assumptions!E168+36,17.2933333333333*(1+Assumptions!E93)^((Assumptions!E168+36)/12),0)+IF(59=Assumptions!E168+48,17.2933333333333*(1+Assumptions!E93)^((Assumptions!E168+48)/12),0)</f>
        <v>0</v>
      </c>
      <c r="BL15" s="35">
        <f>IF(60=Assumptions!E168+0,218.369*(1+Assumptions!E93)^((Assumptions!E168+0)/12),0)+IF(60=Assumptions!E168+12,104.784*(1+Assumptions!E93)^((Assumptions!E168+12)/12),0)+IF(60=Assumptions!E168+24,17.2933333333333*(1+Assumptions!E93)^((Assumptions!E168+24)/12),0)+IF(60=Assumptions!E168+36,17.2933333333333*(1+Assumptions!E93)^((Assumptions!E168+36)/12),0)+IF(60=Assumptions!E168+48,17.2933333333333*(1+Assumptions!E93)^((Assumptions!E168+48)/12),0)</f>
        <v>0</v>
      </c>
      <c r="BM15" s="32"/>
      <c r="BN15" s="32"/>
    </row>
    <row r="16" spans="1:66" ht="20" customHeight="1">
      <c r="A16" s="30"/>
      <c r="B16" s="30"/>
      <c r="C16" s="31" t="s">
        <v>263</v>
      </c>
      <c r="D16" s="31"/>
      <c r="E16" s="46">
        <f t="shared" ref="E16:AJ16" si="4">E14+E15</f>
        <v>0</v>
      </c>
      <c r="F16" s="46">
        <f t="shared" si="4"/>
        <v>0</v>
      </c>
      <c r="G16" s="46">
        <f t="shared" si="4"/>
        <v>77.852400000000003</v>
      </c>
      <c r="H16" s="46">
        <f t="shared" si="4"/>
        <v>0</v>
      </c>
      <c r="I16" s="46">
        <f t="shared" si="4"/>
        <v>0</v>
      </c>
      <c r="J16" s="46">
        <f t="shared" si="4"/>
        <v>223.76163918118317</v>
      </c>
      <c r="K16" s="46">
        <f t="shared" si="4"/>
        <v>5</v>
      </c>
      <c r="L16" s="46">
        <f t="shared" si="4"/>
        <v>0</v>
      </c>
      <c r="M16" s="46">
        <f t="shared" si="4"/>
        <v>0</v>
      </c>
      <c r="N16" s="46">
        <f t="shared" si="4"/>
        <v>0</v>
      </c>
      <c r="O16" s="46">
        <f t="shared" si="4"/>
        <v>0</v>
      </c>
      <c r="P16" s="46">
        <f t="shared" si="4"/>
        <v>0</v>
      </c>
      <c r="Q16" s="46">
        <f t="shared" si="4"/>
        <v>29</v>
      </c>
      <c r="R16" s="46">
        <f t="shared" si="4"/>
        <v>0</v>
      </c>
      <c r="S16" s="46">
        <f t="shared" si="4"/>
        <v>38.346200000000003</v>
      </c>
      <c r="T16" s="46">
        <f t="shared" si="4"/>
        <v>0</v>
      </c>
      <c r="U16" s="46">
        <f t="shared" si="4"/>
        <v>0</v>
      </c>
      <c r="V16" s="46">
        <f t="shared" si="4"/>
        <v>112.74023135133261</v>
      </c>
      <c r="W16" s="46">
        <f t="shared" si="4"/>
        <v>0</v>
      </c>
      <c r="X16" s="46">
        <f t="shared" si="4"/>
        <v>0</v>
      </c>
      <c r="Y16" s="46">
        <f t="shared" si="4"/>
        <v>0</v>
      </c>
      <c r="Z16" s="46">
        <f t="shared" si="4"/>
        <v>0</v>
      </c>
      <c r="AA16" s="46">
        <f t="shared" si="4"/>
        <v>0</v>
      </c>
      <c r="AB16" s="46">
        <f t="shared" si="4"/>
        <v>0</v>
      </c>
      <c r="AC16" s="46">
        <f t="shared" si="4"/>
        <v>47</v>
      </c>
      <c r="AD16" s="46">
        <f t="shared" si="4"/>
        <v>0</v>
      </c>
      <c r="AE16" s="46">
        <f t="shared" si="4"/>
        <v>28.759649999999997</v>
      </c>
      <c r="AF16" s="46">
        <f t="shared" si="4"/>
        <v>0</v>
      </c>
      <c r="AG16" s="46">
        <f t="shared" si="4"/>
        <v>0</v>
      </c>
      <c r="AH16" s="46">
        <f t="shared" si="4"/>
        <v>19.536733860870878</v>
      </c>
      <c r="AI16" s="46">
        <f t="shared" si="4"/>
        <v>0</v>
      </c>
      <c r="AJ16" s="46">
        <f t="shared" si="4"/>
        <v>0</v>
      </c>
      <c r="AK16" s="46">
        <f t="shared" ref="AK16:BP16" si="5">AK14+AK15</f>
        <v>0</v>
      </c>
      <c r="AL16" s="46">
        <f t="shared" si="5"/>
        <v>0</v>
      </c>
      <c r="AM16" s="46">
        <f t="shared" si="5"/>
        <v>0</v>
      </c>
      <c r="AN16" s="46">
        <f t="shared" si="5"/>
        <v>0</v>
      </c>
      <c r="AO16" s="46">
        <f t="shared" si="5"/>
        <v>59</v>
      </c>
      <c r="AP16" s="46">
        <f t="shared" si="5"/>
        <v>0</v>
      </c>
      <c r="AQ16" s="46">
        <f t="shared" si="5"/>
        <v>28.759649999999997</v>
      </c>
      <c r="AR16" s="46">
        <f t="shared" si="5"/>
        <v>0</v>
      </c>
      <c r="AS16" s="46">
        <f t="shared" si="5"/>
        <v>0</v>
      </c>
      <c r="AT16" s="46">
        <f t="shared" si="5"/>
        <v>20.513570553914423</v>
      </c>
      <c r="AU16" s="46">
        <f t="shared" si="5"/>
        <v>0</v>
      </c>
      <c r="AV16" s="46">
        <f t="shared" si="5"/>
        <v>0</v>
      </c>
      <c r="AW16" s="46">
        <f t="shared" si="5"/>
        <v>0</v>
      </c>
      <c r="AX16" s="46">
        <f t="shared" si="5"/>
        <v>0</v>
      </c>
      <c r="AY16" s="46">
        <f t="shared" si="5"/>
        <v>0</v>
      </c>
      <c r="AZ16" s="46">
        <f t="shared" si="5"/>
        <v>0</v>
      </c>
      <c r="BA16" s="46">
        <f t="shared" si="5"/>
        <v>65</v>
      </c>
      <c r="BB16" s="46">
        <f t="shared" si="5"/>
        <v>0</v>
      </c>
      <c r="BC16" s="46">
        <f t="shared" si="5"/>
        <v>19.173100000000002</v>
      </c>
      <c r="BD16" s="46">
        <f t="shared" si="5"/>
        <v>0</v>
      </c>
      <c r="BE16" s="46">
        <f t="shared" si="5"/>
        <v>0</v>
      </c>
      <c r="BF16" s="46">
        <f t="shared" si="5"/>
        <v>21.539249081610141</v>
      </c>
      <c r="BG16" s="46">
        <f t="shared" si="5"/>
        <v>0</v>
      </c>
      <c r="BH16" s="46">
        <f t="shared" si="5"/>
        <v>0</v>
      </c>
      <c r="BI16" s="46">
        <f t="shared" si="5"/>
        <v>0</v>
      </c>
      <c r="BJ16" s="46">
        <f t="shared" si="5"/>
        <v>0</v>
      </c>
      <c r="BK16" s="46">
        <f t="shared" si="5"/>
        <v>0</v>
      </c>
      <c r="BL16" s="46">
        <f t="shared" si="5"/>
        <v>0</v>
      </c>
      <c r="BM16" s="32"/>
      <c r="BN16" s="32"/>
    </row>
    <row r="17" spans="1:66" ht="20" customHeight="1">
      <c r="A17" s="30"/>
      <c r="B17" s="30"/>
      <c r="C17" s="31"/>
      <c r="D17" s="31"/>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row>
    <row r="18" spans="1:66" ht="20" customHeight="1">
      <c r="A18" s="30"/>
      <c r="B18" s="30"/>
      <c r="C18" s="31" t="s">
        <v>264</v>
      </c>
      <c r="D18" s="31"/>
      <c r="E18" s="46">
        <f>0</f>
        <v>0</v>
      </c>
      <c r="F18" s="35">
        <f>Assumptions!E73*Capacity!$E$11</f>
        <v>30</v>
      </c>
      <c r="G18" s="46">
        <f>0</f>
        <v>0</v>
      </c>
      <c r="H18" s="46">
        <f>0</f>
        <v>0</v>
      </c>
      <c r="I18" s="46">
        <f>0</f>
        <v>0</v>
      </c>
      <c r="J18" s="46">
        <f>0</f>
        <v>0</v>
      </c>
      <c r="K18" s="46">
        <f>0</f>
        <v>0</v>
      </c>
      <c r="L18" s="46">
        <f>0</f>
        <v>0</v>
      </c>
      <c r="M18" s="46">
        <f>0</f>
        <v>0</v>
      </c>
      <c r="N18" s="46">
        <f>0</f>
        <v>0</v>
      </c>
      <c r="O18" s="46">
        <f>0</f>
        <v>0</v>
      </c>
      <c r="P18" s="46">
        <f>0</f>
        <v>0</v>
      </c>
      <c r="Q18" s="46">
        <f>0</f>
        <v>0</v>
      </c>
      <c r="R18" s="35">
        <f>Assumptions!F73*Capacity!$E$11</f>
        <v>50</v>
      </c>
      <c r="S18" s="46">
        <f>0</f>
        <v>0</v>
      </c>
      <c r="T18" s="46">
        <f>0</f>
        <v>0</v>
      </c>
      <c r="U18" s="46">
        <f>0</f>
        <v>0</v>
      </c>
      <c r="V18" s="46">
        <f>0</f>
        <v>0</v>
      </c>
      <c r="W18" s="46">
        <f>0</f>
        <v>0</v>
      </c>
      <c r="X18" s="46">
        <f>0</f>
        <v>0</v>
      </c>
      <c r="Y18" s="46">
        <f>0</f>
        <v>0</v>
      </c>
      <c r="Z18" s="46">
        <f>0</f>
        <v>0</v>
      </c>
      <c r="AA18" s="46">
        <f>0</f>
        <v>0</v>
      </c>
      <c r="AB18" s="46">
        <f>0</f>
        <v>0</v>
      </c>
      <c r="AC18" s="46">
        <f>0</f>
        <v>0</v>
      </c>
      <c r="AD18" s="35">
        <f>Assumptions!G73*Capacity!$E$11</f>
        <v>50</v>
      </c>
      <c r="AE18" s="46">
        <f>0</f>
        <v>0</v>
      </c>
      <c r="AF18" s="46">
        <f>0</f>
        <v>0</v>
      </c>
      <c r="AG18" s="46">
        <f>0</f>
        <v>0</v>
      </c>
      <c r="AH18" s="46">
        <f>0</f>
        <v>0</v>
      </c>
      <c r="AI18" s="46">
        <f>0</f>
        <v>0</v>
      </c>
      <c r="AJ18" s="46">
        <f>0</f>
        <v>0</v>
      </c>
      <c r="AK18" s="46">
        <f>0</f>
        <v>0</v>
      </c>
      <c r="AL18" s="46">
        <f>0</f>
        <v>0</v>
      </c>
      <c r="AM18" s="46">
        <f>0</f>
        <v>0</v>
      </c>
      <c r="AN18" s="46">
        <f>0</f>
        <v>0</v>
      </c>
      <c r="AO18" s="46">
        <f>0</f>
        <v>0</v>
      </c>
      <c r="AP18" s="35">
        <f>Assumptions!H73*Capacity!$E$11</f>
        <v>50</v>
      </c>
      <c r="AQ18" s="46">
        <f>0</f>
        <v>0</v>
      </c>
      <c r="AR18" s="46">
        <f>0</f>
        <v>0</v>
      </c>
      <c r="AS18" s="46">
        <f>0</f>
        <v>0</v>
      </c>
      <c r="AT18" s="46">
        <f>0</f>
        <v>0</v>
      </c>
      <c r="AU18" s="46">
        <f>0</f>
        <v>0</v>
      </c>
      <c r="AV18" s="46">
        <f>0</f>
        <v>0</v>
      </c>
      <c r="AW18" s="46">
        <f>0</f>
        <v>0</v>
      </c>
      <c r="AX18" s="46">
        <f>0</f>
        <v>0</v>
      </c>
      <c r="AY18" s="46">
        <f>0</f>
        <v>0</v>
      </c>
      <c r="AZ18" s="46">
        <f>0</f>
        <v>0</v>
      </c>
      <c r="BA18" s="46">
        <f>0</f>
        <v>0</v>
      </c>
      <c r="BB18" s="35">
        <f>Assumptions!I73*Capacity!$E$11</f>
        <v>50</v>
      </c>
      <c r="BC18" s="46">
        <f>0</f>
        <v>0</v>
      </c>
      <c r="BD18" s="46">
        <f>0</f>
        <v>0</v>
      </c>
      <c r="BE18" s="46">
        <f>0</f>
        <v>0</v>
      </c>
      <c r="BF18" s="46">
        <f>0</f>
        <v>0</v>
      </c>
      <c r="BG18" s="46">
        <f>0</f>
        <v>0</v>
      </c>
      <c r="BH18" s="46">
        <f>0</f>
        <v>0</v>
      </c>
      <c r="BI18" s="46">
        <f>0</f>
        <v>0</v>
      </c>
      <c r="BJ18" s="46">
        <f>0</f>
        <v>0</v>
      </c>
      <c r="BK18" s="46">
        <f>0</f>
        <v>0</v>
      </c>
      <c r="BL18" s="46">
        <f>0</f>
        <v>0</v>
      </c>
      <c r="BM18" s="32"/>
      <c r="BN18" s="32"/>
    </row>
    <row r="19" spans="1:66" ht="20" customHeight="1">
      <c r="A19" s="30"/>
      <c r="B19" s="30"/>
      <c r="C19" s="31" t="s">
        <v>265</v>
      </c>
      <c r="D19" s="31"/>
      <c r="E19" s="47">
        <f>Assumptions!E153+Assumptions!E158/(1+Assumptions!E93)+Assumptions!E163/(1+Assumptions!E93)^2</f>
        <v>0.96712018140589562</v>
      </c>
      <c r="F19" s="47">
        <f>Assumptions!E153+Assumptions!E158/(1+Assumptions!E93)+Assumptions!E163/(1+Assumptions!E93)^2</f>
        <v>0.96712018140589562</v>
      </c>
      <c r="G19" s="47">
        <f>Assumptions!E153+Assumptions!E158/(1+Assumptions!E93)+Assumptions!E163/(1+Assumptions!E93)^2</f>
        <v>0.96712018140589562</v>
      </c>
      <c r="H19" s="47">
        <f>Assumptions!E153+Assumptions!E158/(1+Assumptions!E93)+Assumptions!E163/(1+Assumptions!E93)^2</f>
        <v>0.96712018140589562</v>
      </c>
      <c r="I19" s="47">
        <f>Assumptions!E153+Assumptions!E158/(1+Assumptions!E93)+Assumptions!E163/(1+Assumptions!E93)^2</f>
        <v>0.96712018140589562</v>
      </c>
      <c r="J19" s="47">
        <f>Assumptions!E153+Assumptions!E158/(1+Assumptions!E93)+Assumptions!E163/(1+Assumptions!E93)^2</f>
        <v>0.96712018140589562</v>
      </c>
      <c r="K19" s="47">
        <f>Assumptions!E153+Assumptions!E158/(1+Assumptions!E93)+Assumptions!E163/(1+Assumptions!E93)^2</f>
        <v>0.96712018140589562</v>
      </c>
      <c r="L19" s="47">
        <f>Assumptions!E153+Assumptions!E158/(1+Assumptions!E93)+Assumptions!E163/(1+Assumptions!E93)^2</f>
        <v>0.96712018140589562</v>
      </c>
      <c r="M19" s="47">
        <f>Assumptions!E153+Assumptions!E158/(1+Assumptions!E93)+Assumptions!E163/(1+Assumptions!E93)^2</f>
        <v>0.96712018140589562</v>
      </c>
      <c r="N19" s="47">
        <f>Assumptions!E153+Assumptions!E158/(1+Assumptions!E93)+Assumptions!E163/(1+Assumptions!E93)^2</f>
        <v>0.96712018140589562</v>
      </c>
      <c r="O19" s="47">
        <f>Assumptions!E153+Assumptions!E158/(1+Assumptions!E93)+Assumptions!E163/(1+Assumptions!E93)^2</f>
        <v>0.96712018140589562</v>
      </c>
      <c r="P19" s="47">
        <f>Assumptions!E153+Assumptions!E158/(1+Assumptions!E93)+Assumptions!E163/(1+Assumptions!E93)^2</f>
        <v>0.96712018140589562</v>
      </c>
      <c r="Q19" s="47">
        <f>Assumptions!F153+Assumptions!F158/(1+Assumptions!F93)+Assumptions!F163/(1+Assumptions!F93)^2</f>
        <v>0.96712018140589562</v>
      </c>
      <c r="R19" s="47">
        <f>Assumptions!F153+Assumptions!F158/(1+Assumptions!F93)+Assumptions!F163/(1+Assumptions!F93)^2</f>
        <v>0.96712018140589562</v>
      </c>
      <c r="S19" s="47">
        <f>Assumptions!F153+Assumptions!F158/(1+Assumptions!F93)+Assumptions!F163/(1+Assumptions!F93)^2</f>
        <v>0.96712018140589562</v>
      </c>
      <c r="T19" s="47">
        <f>Assumptions!F153+Assumptions!F158/(1+Assumptions!F93)+Assumptions!F163/(1+Assumptions!F93)^2</f>
        <v>0.96712018140589562</v>
      </c>
      <c r="U19" s="47">
        <f>Assumptions!F153+Assumptions!F158/(1+Assumptions!F93)+Assumptions!F163/(1+Assumptions!F93)^2</f>
        <v>0.96712018140589562</v>
      </c>
      <c r="V19" s="47">
        <f>Assumptions!F153+Assumptions!F158/(1+Assumptions!F93)+Assumptions!F163/(1+Assumptions!F93)^2</f>
        <v>0.96712018140589562</v>
      </c>
      <c r="W19" s="47">
        <f>Assumptions!F153+Assumptions!F158/(1+Assumptions!F93)+Assumptions!F163/(1+Assumptions!F93)^2</f>
        <v>0.96712018140589562</v>
      </c>
      <c r="X19" s="47">
        <f>Assumptions!F153+Assumptions!F158/(1+Assumptions!F93)+Assumptions!F163/(1+Assumptions!F93)^2</f>
        <v>0.96712018140589562</v>
      </c>
      <c r="Y19" s="47">
        <f>Assumptions!F153+Assumptions!F158/(1+Assumptions!F93)+Assumptions!F163/(1+Assumptions!F93)^2</f>
        <v>0.96712018140589562</v>
      </c>
      <c r="Z19" s="47">
        <f>Assumptions!F153+Assumptions!F158/(1+Assumptions!F93)+Assumptions!F163/(1+Assumptions!F93)^2</f>
        <v>0.96712018140589562</v>
      </c>
      <c r="AA19" s="47">
        <f>Assumptions!F153+Assumptions!F158/(1+Assumptions!F93)+Assumptions!F163/(1+Assumptions!F93)^2</f>
        <v>0.96712018140589562</v>
      </c>
      <c r="AB19" s="47">
        <f>Assumptions!F153+Assumptions!F158/(1+Assumptions!F93)+Assumptions!F163/(1+Assumptions!F93)^2</f>
        <v>0.96712018140589562</v>
      </c>
      <c r="AC19" s="47">
        <f>Assumptions!G153+Assumptions!G158/(1+Assumptions!G93)+Assumptions!G163/(1+Assumptions!G93)^2</f>
        <v>0.96712018140589562</v>
      </c>
      <c r="AD19" s="47">
        <f>Assumptions!G153+Assumptions!G158/(1+Assumptions!G93)+Assumptions!G163/(1+Assumptions!G93)^2</f>
        <v>0.96712018140589562</v>
      </c>
      <c r="AE19" s="47">
        <f>Assumptions!G153+Assumptions!G158/(1+Assumptions!G93)+Assumptions!G163/(1+Assumptions!G93)^2</f>
        <v>0.96712018140589562</v>
      </c>
      <c r="AF19" s="47">
        <f>Assumptions!G153+Assumptions!G158/(1+Assumptions!G93)+Assumptions!G163/(1+Assumptions!G93)^2</f>
        <v>0.96712018140589562</v>
      </c>
      <c r="AG19" s="47">
        <f>Assumptions!G153+Assumptions!G158/(1+Assumptions!G93)+Assumptions!G163/(1+Assumptions!G93)^2</f>
        <v>0.96712018140589562</v>
      </c>
      <c r="AH19" s="47">
        <f>Assumptions!G153+Assumptions!G158/(1+Assumptions!G93)+Assumptions!G163/(1+Assumptions!G93)^2</f>
        <v>0.96712018140589562</v>
      </c>
      <c r="AI19" s="47">
        <f>Assumptions!G153+Assumptions!G158/(1+Assumptions!G93)+Assumptions!G163/(1+Assumptions!G93)^2</f>
        <v>0.96712018140589562</v>
      </c>
      <c r="AJ19" s="47">
        <f>Assumptions!G153+Assumptions!G158/(1+Assumptions!G93)+Assumptions!G163/(1+Assumptions!G93)^2</f>
        <v>0.96712018140589562</v>
      </c>
      <c r="AK19" s="47">
        <f>Assumptions!G153+Assumptions!G158/(1+Assumptions!G93)+Assumptions!G163/(1+Assumptions!G93)^2</f>
        <v>0.96712018140589562</v>
      </c>
      <c r="AL19" s="47">
        <f>Assumptions!G153+Assumptions!G158/(1+Assumptions!G93)+Assumptions!G163/(1+Assumptions!G93)^2</f>
        <v>0.96712018140589562</v>
      </c>
      <c r="AM19" s="47">
        <f>Assumptions!G153+Assumptions!G158/(1+Assumptions!G93)+Assumptions!G163/(1+Assumptions!G93)^2</f>
        <v>0.96712018140589562</v>
      </c>
      <c r="AN19" s="47">
        <f>Assumptions!G153+Assumptions!G158/(1+Assumptions!G93)+Assumptions!G163/(1+Assumptions!G93)^2</f>
        <v>0.96712018140589562</v>
      </c>
      <c r="AO19" s="47">
        <f>Assumptions!H153+Assumptions!H158/(1+Assumptions!H93)+Assumptions!H163/(1+Assumptions!H93)^2</f>
        <v>0.96712018140589562</v>
      </c>
      <c r="AP19" s="47">
        <f>Assumptions!H153+Assumptions!H158/(1+Assumptions!H93)+Assumptions!H163/(1+Assumptions!H93)^2</f>
        <v>0.96712018140589562</v>
      </c>
      <c r="AQ19" s="47">
        <f>Assumptions!H153+Assumptions!H158/(1+Assumptions!H93)+Assumptions!H163/(1+Assumptions!H93)^2</f>
        <v>0.96712018140589562</v>
      </c>
      <c r="AR19" s="47">
        <f>Assumptions!H153+Assumptions!H158/(1+Assumptions!H93)+Assumptions!H163/(1+Assumptions!H93)^2</f>
        <v>0.96712018140589562</v>
      </c>
      <c r="AS19" s="47">
        <f>Assumptions!H153+Assumptions!H158/(1+Assumptions!H93)+Assumptions!H163/(1+Assumptions!H93)^2</f>
        <v>0.96712018140589562</v>
      </c>
      <c r="AT19" s="47">
        <f>Assumptions!H153+Assumptions!H158/(1+Assumptions!H93)+Assumptions!H163/(1+Assumptions!H93)^2</f>
        <v>0.96712018140589562</v>
      </c>
      <c r="AU19" s="47">
        <f>Assumptions!H153+Assumptions!H158/(1+Assumptions!H93)+Assumptions!H163/(1+Assumptions!H93)^2</f>
        <v>0.96712018140589562</v>
      </c>
      <c r="AV19" s="47">
        <f>Assumptions!H153+Assumptions!H158/(1+Assumptions!H93)+Assumptions!H163/(1+Assumptions!H93)^2</f>
        <v>0.96712018140589562</v>
      </c>
      <c r="AW19" s="47">
        <f>Assumptions!H153+Assumptions!H158/(1+Assumptions!H93)+Assumptions!H163/(1+Assumptions!H93)^2</f>
        <v>0.96712018140589562</v>
      </c>
      <c r="AX19" s="47">
        <f>Assumptions!H153+Assumptions!H158/(1+Assumptions!H93)+Assumptions!H163/(1+Assumptions!H93)^2</f>
        <v>0.96712018140589562</v>
      </c>
      <c r="AY19" s="47">
        <f>Assumptions!H153+Assumptions!H158/(1+Assumptions!H93)+Assumptions!H163/(1+Assumptions!H93)^2</f>
        <v>0.96712018140589562</v>
      </c>
      <c r="AZ19" s="47">
        <f>Assumptions!H153+Assumptions!H158/(1+Assumptions!H93)+Assumptions!H163/(1+Assumptions!H93)^2</f>
        <v>0.96712018140589562</v>
      </c>
      <c r="BA19" s="47">
        <f>Assumptions!I153+Assumptions!I158/(1+Assumptions!I93)+Assumptions!I163/(1+Assumptions!I93)^2</f>
        <v>0.96712018140589562</v>
      </c>
      <c r="BB19" s="47">
        <f>Assumptions!I153+Assumptions!I158/(1+Assumptions!I93)+Assumptions!I163/(1+Assumptions!I93)^2</f>
        <v>0.96712018140589562</v>
      </c>
      <c r="BC19" s="47">
        <f>Assumptions!I153+Assumptions!I158/(1+Assumptions!I93)+Assumptions!I163/(1+Assumptions!I93)^2</f>
        <v>0.96712018140589562</v>
      </c>
      <c r="BD19" s="47">
        <f>Assumptions!I153+Assumptions!I158/(1+Assumptions!I93)+Assumptions!I163/(1+Assumptions!I93)^2</f>
        <v>0.96712018140589562</v>
      </c>
      <c r="BE19" s="47">
        <f>Assumptions!I153+Assumptions!I158/(1+Assumptions!I93)+Assumptions!I163/(1+Assumptions!I93)^2</f>
        <v>0.96712018140589562</v>
      </c>
      <c r="BF19" s="47">
        <f>Assumptions!I153+Assumptions!I158/(1+Assumptions!I93)+Assumptions!I163/(1+Assumptions!I93)^2</f>
        <v>0.96712018140589562</v>
      </c>
      <c r="BG19" s="47">
        <f>Assumptions!I153+Assumptions!I158/(1+Assumptions!I93)+Assumptions!I163/(1+Assumptions!I93)^2</f>
        <v>0.96712018140589562</v>
      </c>
      <c r="BH19" s="47">
        <f>Assumptions!I153+Assumptions!I158/(1+Assumptions!I93)+Assumptions!I163/(1+Assumptions!I93)^2</f>
        <v>0.96712018140589562</v>
      </c>
      <c r="BI19" s="47">
        <f>Assumptions!I153+Assumptions!I158/(1+Assumptions!I93)+Assumptions!I163/(1+Assumptions!I93)^2</f>
        <v>0.96712018140589562</v>
      </c>
      <c r="BJ19" s="47">
        <f>Assumptions!I153+Assumptions!I158/(1+Assumptions!I93)+Assumptions!I163/(1+Assumptions!I93)^2</f>
        <v>0.96712018140589562</v>
      </c>
      <c r="BK19" s="47">
        <f>Assumptions!I153+Assumptions!I158/(1+Assumptions!I93)+Assumptions!I163/(1+Assumptions!I93)^2</f>
        <v>0.96712018140589562</v>
      </c>
      <c r="BL19" s="47">
        <f>Assumptions!I153+Assumptions!I158/(1+Assumptions!I93)+Assumptions!I163/(1+Assumptions!I93)^2</f>
        <v>0.96712018140589562</v>
      </c>
      <c r="BM19" s="32"/>
      <c r="BN19" s="32"/>
    </row>
    <row r="20" spans="1:66" ht="20" customHeight="1">
      <c r="A20" s="30"/>
      <c r="B20" s="30"/>
      <c r="C20" s="31" t="s">
        <v>266</v>
      </c>
      <c r="D20" s="31"/>
      <c r="E20" s="46">
        <f t="shared" ref="E20:AJ20" si="6">E18*E19</f>
        <v>0</v>
      </c>
      <c r="F20" s="46">
        <f t="shared" si="6"/>
        <v>29.013605442176868</v>
      </c>
      <c r="G20" s="46">
        <f t="shared" si="6"/>
        <v>0</v>
      </c>
      <c r="H20" s="46">
        <f t="shared" si="6"/>
        <v>0</v>
      </c>
      <c r="I20" s="46">
        <f t="shared" si="6"/>
        <v>0</v>
      </c>
      <c r="J20" s="46">
        <f t="shared" si="6"/>
        <v>0</v>
      </c>
      <c r="K20" s="46">
        <f t="shared" si="6"/>
        <v>0</v>
      </c>
      <c r="L20" s="46">
        <f t="shared" si="6"/>
        <v>0</v>
      </c>
      <c r="M20" s="46">
        <f t="shared" si="6"/>
        <v>0</v>
      </c>
      <c r="N20" s="46">
        <f t="shared" si="6"/>
        <v>0</v>
      </c>
      <c r="O20" s="46">
        <f t="shared" si="6"/>
        <v>0</v>
      </c>
      <c r="P20" s="46">
        <f t="shared" si="6"/>
        <v>0</v>
      </c>
      <c r="Q20" s="46">
        <f t="shared" si="6"/>
        <v>0</v>
      </c>
      <c r="R20" s="46">
        <f t="shared" si="6"/>
        <v>48.356009070294782</v>
      </c>
      <c r="S20" s="46">
        <f t="shared" si="6"/>
        <v>0</v>
      </c>
      <c r="T20" s="46">
        <f t="shared" si="6"/>
        <v>0</v>
      </c>
      <c r="U20" s="46">
        <f t="shared" si="6"/>
        <v>0</v>
      </c>
      <c r="V20" s="46">
        <f t="shared" si="6"/>
        <v>0</v>
      </c>
      <c r="W20" s="46">
        <f t="shared" si="6"/>
        <v>0</v>
      </c>
      <c r="X20" s="46">
        <f t="shared" si="6"/>
        <v>0</v>
      </c>
      <c r="Y20" s="46">
        <f t="shared" si="6"/>
        <v>0</v>
      </c>
      <c r="Z20" s="46">
        <f t="shared" si="6"/>
        <v>0</v>
      </c>
      <c r="AA20" s="46">
        <f t="shared" si="6"/>
        <v>0</v>
      </c>
      <c r="AB20" s="46">
        <f t="shared" si="6"/>
        <v>0</v>
      </c>
      <c r="AC20" s="46">
        <f t="shared" si="6"/>
        <v>0</v>
      </c>
      <c r="AD20" s="46">
        <f t="shared" si="6"/>
        <v>48.356009070294782</v>
      </c>
      <c r="AE20" s="46">
        <f t="shared" si="6"/>
        <v>0</v>
      </c>
      <c r="AF20" s="46">
        <f t="shared" si="6"/>
        <v>0</v>
      </c>
      <c r="AG20" s="46">
        <f t="shared" si="6"/>
        <v>0</v>
      </c>
      <c r="AH20" s="46">
        <f t="shared" si="6"/>
        <v>0</v>
      </c>
      <c r="AI20" s="46">
        <f t="shared" si="6"/>
        <v>0</v>
      </c>
      <c r="AJ20" s="46">
        <f t="shared" si="6"/>
        <v>0</v>
      </c>
      <c r="AK20" s="46">
        <f t="shared" ref="AK20:BP20" si="7">AK18*AK19</f>
        <v>0</v>
      </c>
      <c r="AL20" s="46">
        <f t="shared" si="7"/>
        <v>0</v>
      </c>
      <c r="AM20" s="46">
        <f t="shared" si="7"/>
        <v>0</v>
      </c>
      <c r="AN20" s="46">
        <f t="shared" si="7"/>
        <v>0</v>
      </c>
      <c r="AO20" s="46">
        <f t="shared" si="7"/>
        <v>0</v>
      </c>
      <c r="AP20" s="46">
        <f t="shared" si="7"/>
        <v>48.356009070294782</v>
      </c>
      <c r="AQ20" s="46">
        <f t="shared" si="7"/>
        <v>0</v>
      </c>
      <c r="AR20" s="46">
        <f t="shared" si="7"/>
        <v>0</v>
      </c>
      <c r="AS20" s="46">
        <f t="shared" si="7"/>
        <v>0</v>
      </c>
      <c r="AT20" s="46">
        <f t="shared" si="7"/>
        <v>0</v>
      </c>
      <c r="AU20" s="46">
        <f t="shared" si="7"/>
        <v>0</v>
      </c>
      <c r="AV20" s="46">
        <f t="shared" si="7"/>
        <v>0</v>
      </c>
      <c r="AW20" s="46">
        <f t="shared" si="7"/>
        <v>0</v>
      </c>
      <c r="AX20" s="46">
        <f t="shared" si="7"/>
        <v>0</v>
      </c>
      <c r="AY20" s="46">
        <f t="shared" si="7"/>
        <v>0</v>
      </c>
      <c r="AZ20" s="46">
        <f t="shared" si="7"/>
        <v>0</v>
      </c>
      <c r="BA20" s="46">
        <f t="shared" si="7"/>
        <v>0</v>
      </c>
      <c r="BB20" s="46">
        <f t="shared" si="7"/>
        <v>48.356009070294782</v>
      </c>
      <c r="BC20" s="46">
        <f t="shared" si="7"/>
        <v>0</v>
      </c>
      <c r="BD20" s="46">
        <f t="shared" si="7"/>
        <v>0</v>
      </c>
      <c r="BE20" s="46">
        <f t="shared" si="7"/>
        <v>0</v>
      </c>
      <c r="BF20" s="46">
        <f t="shared" si="7"/>
        <v>0</v>
      </c>
      <c r="BG20" s="46">
        <f t="shared" si="7"/>
        <v>0</v>
      </c>
      <c r="BH20" s="46">
        <f t="shared" si="7"/>
        <v>0</v>
      </c>
      <c r="BI20" s="46">
        <f t="shared" si="7"/>
        <v>0</v>
      </c>
      <c r="BJ20" s="46">
        <f t="shared" si="7"/>
        <v>0</v>
      </c>
      <c r="BK20" s="46">
        <f t="shared" si="7"/>
        <v>0</v>
      </c>
      <c r="BL20" s="46">
        <f t="shared" si="7"/>
        <v>0</v>
      </c>
      <c r="BM20" s="32"/>
      <c r="BN20" s="32"/>
    </row>
    <row r="21" spans="1:66" ht="20" customHeight="1">
      <c r="A21" s="30"/>
      <c r="B21" s="30"/>
      <c r="C21" s="31" t="s">
        <v>267</v>
      </c>
      <c r="D21" s="31"/>
      <c r="E21" s="46">
        <f>0</f>
        <v>0</v>
      </c>
      <c r="F21" s="46">
        <f>0</f>
        <v>0</v>
      </c>
      <c r="G21" s="46">
        <f>Historical!G123+Historical!G125</f>
        <v>21.015000000000001</v>
      </c>
      <c r="H21" s="46">
        <f>0</f>
        <v>0</v>
      </c>
      <c r="I21" s="46">
        <f>0</f>
        <v>0</v>
      </c>
      <c r="J21" s="46">
        <f>0</f>
        <v>0</v>
      </c>
      <c r="K21" s="46">
        <f>0</f>
        <v>0</v>
      </c>
      <c r="L21" s="46">
        <f>0</f>
        <v>0</v>
      </c>
      <c r="M21" s="46">
        <f>0</f>
        <v>0</v>
      </c>
      <c r="N21" s="46">
        <f>0</f>
        <v>0</v>
      </c>
      <c r="O21" s="46">
        <f>0</f>
        <v>0</v>
      </c>
      <c r="P21" s="46">
        <f>0</f>
        <v>0</v>
      </c>
      <c r="Q21" s="46">
        <f>0</f>
        <v>0</v>
      </c>
      <c r="R21" s="46">
        <f>0</f>
        <v>0</v>
      </c>
      <c r="S21" s="46">
        <f>0</f>
        <v>0</v>
      </c>
      <c r="T21" s="46">
        <f>0</f>
        <v>0</v>
      </c>
      <c r="U21" s="46">
        <f>0</f>
        <v>0</v>
      </c>
      <c r="V21" s="46">
        <f>0</f>
        <v>0</v>
      </c>
      <c r="W21" s="46">
        <f>0</f>
        <v>0</v>
      </c>
      <c r="X21" s="46">
        <f>0</f>
        <v>0</v>
      </c>
      <c r="Y21" s="46">
        <f>0</f>
        <v>0</v>
      </c>
      <c r="Z21" s="46">
        <f>0</f>
        <v>0</v>
      </c>
      <c r="AA21" s="46">
        <f>0</f>
        <v>0</v>
      </c>
      <c r="AB21" s="46">
        <f>0</f>
        <v>0</v>
      </c>
      <c r="AC21" s="46">
        <f>0</f>
        <v>0</v>
      </c>
      <c r="AD21" s="46">
        <f>0</f>
        <v>0</v>
      </c>
      <c r="AE21" s="46">
        <f>0</f>
        <v>0</v>
      </c>
      <c r="AF21" s="46">
        <f>0</f>
        <v>0</v>
      </c>
      <c r="AG21" s="46">
        <f>0</f>
        <v>0</v>
      </c>
      <c r="AH21" s="46">
        <f>0</f>
        <v>0</v>
      </c>
      <c r="AI21" s="46">
        <f>0</f>
        <v>0</v>
      </c>
      <c r="AJ21" s="46">
        <f>0</f>
        <v>0</v>
      </c>
      <c r="AK21" s="46">
        <f>0</f>
        <v>0</v>
      </c>
      <c r="AL21" s="46">
        <f>0</f>
        <v>0</v>
      </c>
      <c r="AM21" s="46">
        <f>0</f>
        <v>0</v>
      </c>
      <c r="AN21" s="46">
        <f>0</f>
        <v>0</v>
      </c>
      <c r="AO21" s="46">
        <f>0</f>
        <v>0</v>
      </c>
      <c r="AP21" s="46">
        <f>0</f>
        <v>0</v>
      </c>
      <c r="AQ21" s="46">
        <f>0</f>
        <v>0</v>
      </c>
      <c r="AR21" s="46">
        <f>0</f>
        <v>0</v>
      </c>
      <c r="AS21" s="46">
        <f>0</f>
        <v>0</v>
      </c>
      <c r="AT21" s="46">
        <f>0</f>
        <v>0</v>
      </c>
      <c r="AU21" s="46">
        <f>0</f>
        <v>0</v>
      </c>
      <c r="AV21" s="46">
        <f>0</f>
        <v>0</v>
      </c>
      <c r="AW21" s="46">
        <f>0</f>
        <v>0</v>
      </c>
      <c r="AX21" s="46">
        <f>0</f>
        <v>0</v>
      </c>
      <c r="AY21" s="46">
        <f>0</f>
        <v>0</v>
      </c>
      <c r="AZ21" s="46">
        <f>0</f>
        <v>0</v>
      </c>
      <c r="BA21" s="46">
        <f>0</f>
        <v>0</v>
      </c>
      <c r="BB21" s="46">
        <f>0</f>
        <v>0</v>
      </c>
      <c r="BC21" s="46">
        <f>0</f>
        <v>0</v>
      </c>
      <c r="BD21" s="46">
        <f>0</f>
        <v>0</v>
      </c>
      <c r="BE21" s="46">
        <f>0</f>
        <v>0</v>
      </c>
      <c r="BF21" s="46">
        <f>0</f>
        <v>0</v>
      </c>
      <c r="BG21" s="46">
        <f>0</f>
        <v>0</v>
      </c>
      <c r="BH21" s="46">
        <f>0</f>
        <v>0</v>
      </c>
      <c r="BI21" s="46">
        <f>0</f>
        <v>0</v>
      </c>
      <c r="BJ21" s="46">
        <f>0</f>
        <v>0</v>
      </c>
      <c r="BK21" s="46">
        <f>0</f>
        <v>0</v>
      </c>
      <c r="BL21" s="46">
        <f>0</f>
        <v>0</v>
      </c>
      <c r="BM21" s="32"/>
      <c r="BN21" s="32"/>
    </row>
    <row r="22" spans="1:66" ht="20" customHeight="1">
      <c r="A22" s="30"/>
      <c r="B22" s="30"/>
      <c r="C22" s="31" t="s">
        <v>268</v>
      </c>
      <c r="D22" s="31"/>
      <c r="E22" s="46">
        <f t="shared" ref="E22:AJ22" si="8">E20+E21</f>
        <v>0</v>
      </c>
      <c r="F22" s="46">
        <f t="shared" si="8"/>
        <v>29.013605442176868</v>
      </c>
      <c r="G22" s="46">
        <f t="shared" si="8"/>
        <v>21.015000000000001</v>
      </c>
      <c r="H22" s="46">
        <f t="shared" si="8"/>
        <v>0</v>
      </c>
      <c r="I22" s="46">
        <f t="shared" si="8"/>
        <v>0</v>
      </c>
      <c r="J22" s="46">
        <f t="shared" si="8"/>
        <v>0</v>
      </c>
      <c r="K22" s="46">
        <f t="shared" si="8"/>
        <v>0</v>
      </c>
      <c r="L22" s="46">
        <f t="shared" si="8"/>
        <v>0</v>
      </c>
      <c r="M22" s="46">
        <f t="shared" si="8"/>
        <v>0</v>
      </c>
      <c r="N22" s="46">
        <f t="shared" si="8"/>
        <v>0</v>
      </c>
      <c r="O22" s="46">
        <f t="shared" si="8"/>
        <v>0</v>
      </c>
      <c r="P22" s="46">
        <f t="shared" si="8"/>
        <v>0</v>
      </c>
      <c r="Q22" s="46">
        <f t="shared" si="8"/>
        <v>0</v>
      </c>
      <c r="R22" s="46">
        <f t="shared" si="8"/>
        <v>48.356009070294782</v>
      </c>
      <c r="S22" s="46">
        <f t="shared" si="8"/>
        <v>0</v>
      </c>
      <c r="T22" s="46">
        <f t="shared" si="8"/>
        <v>0</v>
      </c>
      <c r="U22" s="46">
        <f t="shared" si="8"/>
        <v>0</v>
      </c>
      <c r="V22" s="46">
        <f t="shared" si="8"/>
        <v>0</v>
      </c>
      <c r="W22" s="46">
        <f t="shared" si="8"/>
        <v>0</v>
      </c>
      <c r="X22" s="46">
        <f t="shared" si="8"/>
        <v>0</v>
      </c>
      <c r="Y22" s="46">
        <f t="shared" si="8"/>
        <v>0</v>
      </c>
      <c r="Z22" s="46">
        <f t="shared" si="8"/>
        <v>0</v>
      </c>
      <c r="AA22" s="46">
        <f t="shared" si="8"/>
        <v>0</v>
      </c>
      <c r="AB22" s="46">
        <f t="shared" si="8"/>
        <v>0</v>
      </c>
      <c r="AC22" s="46">
        <f t="shared" si="8"/>
        <v>0</v>
      </c>
      <c r="AD22" s="46">
        <f t="shared" si="8"/>
        <v>48.356009070294782</v>
      </c>
      <c r="AE22" s="46">
        <f t="shared" si="8"/>
        <v>0</v>
      </c>
      <c r="AF22" s="46">
        <f t="shared" si="8"/>
        <v>0</v>
      </c>
      <c r="AG22" s="46">
        <f t="shared" si="8"/>
        <v>0</v>
      </c>
      <c r="AH22" s="46">
        <f t="shared" si="8"/>
        <v>0</v>
      </c>
      <c r="AI22" s="46">
        <f t="shared" si="8"/>
        <v>0</v>
      </c>
      <c r="AJ22" s="46">
        <f t="shared" si="8"/>
        <v>0</v>
      </c>
      <c r="AK22" s="46">
        <f t="shared" ref="AK22:BP22" si="9">AK20+AK21</f>
        <v>0</v>
      </c>
      <c r="AL22" s="46">
        <f t="shared" si="9"/>
        <v>0</v>
      </c>
      <c r="AM22" s="46">
        <f t="shared" si="9"/>
        <v>0</v>
      </c>
      <c r="AN22" s="46">
        <f t="shared" si="9"/>
        <v>0</v>
      </c>
      <c r="AO22" s="46">
        <f t="shared" si="9"/>
        <v>0</v>
      </c>
      <c r="AP22" s="46">
        <f t="shared" si="9"/>
        <v>48.356009070294782</v>
      </c>
      <c r="AQ22" s="46">
        <f t="shared" si="9"/>
        <v>0</v>
      </c>
      <c r="AR22" s="46">
        <f t="shared" si="9"/>
        <v>0</v>
      </c>
      <c r="AS22" s="46">
        <f t="shared" si="9"/>
        <v>0</v>
      </c>
      <c r="AT22" s="46">
        <f t="shared" si="9"/>
        <v>0</v>
      </c>
      <c r="AU22" s="46">
        <f t="shared" si="9"/>
        <v>0</v>
      </c>
      <c r="AV22" s="46">
        <f t="shared" si="9"/>
        <v>0</v>
      </c>
      <c r="AW22" s="46">
        <f t="shared" si="9"/>
        <v>0</v>
      </c>
      <c r="AX22" s="46">
        <f t="shared" si="9"/>
        <v>0</v>
      </c>
      <c r="AY22" s="46">
        <f t="shared" si="9"/>
        <v>0</v>
      </c>
      <c r="AZ22" s="46">
        <f t="shared" si="9"/>
        <v>0</v>
      </c>
      <c r="BA22" s="46">
        <f t="shared" si="9"/>
        <v>0</v>
      </c>
      <c r="BB22" s="46">
        <f t="shared" si="9"/>
        <v>48.356009070294782</v>
      </c>
      <c r="BC22" s="46">
        <f t="shared" si="9"/>
        <v>0</v>
      </c>
      <c r="BD22" s="46">
        <f t="shared" si="9"/>
        <v>0</v>
      </c>
      <c r="BE22" s="46">
        <f t="shared" si="9"/>
        <v>0</v>
      </c>
      <c r="BF22" s="46">
        <f t="shared" si="9"/>
        <v>0</v>
      </c>
      <c r="BG22" s="46">
        <f t="shared" si="9"/>
        <v>0</v>
      </c>
      <c r="BH22" s="46">
        <f t="shared" si="9"/>
        <v>0</v>
      </c>
      <c r="BI22" s="46">
        <f t="shared" si="9"/>
        <v>0</v>
      </c>
      <c r="BJ22" s="46">
        <f t="shared" si="9"/>
        <v>0</v>
      </c>
      <c r="BK22" s="46">
        <f t="shared" si="9"/>
        <v>0</v>
      </c>
      <c r="BL22" s="46">
        <f t="shared" si="9"/>
        <v>0</v>
      </c>
      <c r="BM22" s="32"/>
      <c r="BN22" s="32"/>
    </row>
    <row r="23" spans="1:66" ht="20" customHeight="1">
      <c r="A23" s="30"/>
      <c r="B23" s="30"/>
      <c r="C23" s="31" t="s">
        <v>269</v>
      </c>
      <c r="D23" s="31"/>
      <c r="E23" s="35">
        <f>E20*Assumptions!E78+0</f>
        <v>0</v>
      </c>
      <c r="F23" s="35">
        <f>F20*Assumptions!E78+0</f>
        <v>8.7040816326530592</v>
      </c>
      <c r="G23" s="35">
        <f>G20*Assumptions!E78+Historical!G124</f>
        <v>0.69199999999999995</v>
      </c>
      <c r="H23" s="35">
        <f>H20*Assumptions!E78+0</f>
        <v>0</v>
      </c>
      <c r="I23" s="35">
        <f>I20*Assumptions!E78+0</f>
        <v>0</v>
      </c>
      <c r="J23" s="35">
        <f>J20*Assumptions!E78+0</f>
        <v>0</v>
      </c>
      <c r="K23" s="35">
        <f>K20*Assumptions!E78+0</f>
        <v>0</v>
      </c>
      <c r="L23" s="35">
        <f>L20*Assumptions!E78+0</f>
        <v>0</v>
      </c>
      <c r="M23" s="35">
        <f>M20*Assumptions!E78+0</f>
        <v>0</v>
      </c>
      <c r="N23" s="35">
        <f>N20*Assumptions!E78+0</f>
        <v>0</v>
      </c>
      <c r="O23" s="35">
        <f>O20*Assumptions!E78+0</f>
        <v>0</v>
      </c>
      <c r="P23" s="35">
        <f>P20*Assumptions!E78+0</f>
        <v>0</v>
      </c>
      <c r="Q23" s="35">
        <f>Q20*Assumptions!F78+0</f>
        <v>0</v>
      </c>
      <c r="R23" s="35">
        <f>R20*Assumptions!F78+0</f>
        <v>14.506802721088434</v>
      </c>
      <c r="S23" s="35">
        <f>S20*Assumptions!F78+0</f>
        <v>0</v>
      </c>
      <c r="T23" s="35">
        <f>T20*Assumptions!F78+0</f>
        <v>0</v>
      </c>
      <c r="U23" s="35">
        <f>U20*Assumptions!F78+0</f>
        <v>0</v>
      </c>
      <c r="V23" s="35">
        <f>V20*Assumptions!F78+0</f>
        <v>0</v>
      </c>
      <c r="W23" s="35">
        <f>W20*Assumptions!F78+0</f>
        <v>0</v>
      </c>
      <c r="X23" s="35">
        <f>X20*Assumptions!F78+0</f>
        <v>0</v>
      </c>
      <c r="Y23" s="35">
        <f>Y20*Assumptions!F78+0</f>
        <v>0</v>
      </c>
      <c r="Z23" s="35">
        <f>Z20*Assumptions!F78+0</f>
        <v>0</v>
      </c>
      <c r="AA23" s="35">
        <f>AA20*Assumptions!F78+0</f>
        <v>0</v>
      </c>
      <c r="AB23" s="35">
        <f>AB20*Assumptions!F78+0</f>
        <v>0</v>
      </c>
      <c r="AC23" s="35">
        <f>AC20*Assumptions!G78+0</f>
        <v>0</v>
      </c>
      <c r="AD23" s="35">
        <f>AD20*Assumptions!G78+0</f>
        <v>14.506802721088434</v>
      </c>
      <c r="AE23" s="35">
        <f>AE20*Assumptions!G78+0</f>
        <v>0</v>
      </c>
      <c r="AF23" s="35">
        <f>AF20*Assumptions!G78+0</f>
        <v>0</v>
      </c>
      <c r="AG23" s="35">
        <f>AG20*Assumptions!G78+0</f>
        <v>0</v>
      </c>
      <c r="AH23" s="35">
        <f>AH20*Assumptions!G78+0</f>
        <v>0</v>
      </c>
      <c r="AI23" s="35">
        <f>AI20*Assumptions!G78+0</f>
        <v>0</v>
      </c>
      <c r="AJ23" s="35">
        <f>AJ20*Assumptions!G78+0</f>
        <v>0</v>
      </c>
      <c r="AK23" s="35">
        <f>AK20*Assumptions!G78+0</f>
        <v>0</v>
      </c>
      <c r="AL23" s="35">
        <f>AL20*Assumptions!G78+0</f>
        <v>0</v>
      </c>
      <c r="AM23" s="35">
        <f>AM20*Assumptions!G78+0</f>
        <v>0</v>
      </c>
      <c r="AN23" s="35">
        <f>AN20*Assumptions!G78+0</f>
        <v>0</v>
      </c>
      <c r="AO23" s="35">
        <f>AO20*Assumptions!H78+0</f>
        <v>0</v>
      </c>
      <c r="AP23" s="35">
        <f>AP20*Assumptions!H78+0</f>
        <v>14.506802721088434</v>
      </c>
      <c r="AQ23" s="35">
        <f>AQ20*Assumptions!H78+0</f>
        <v>0</v>
      </c>
      <c r="AR23" s="35">
        <f>AR20*Assumptions!H78+0</f>
        <v>0</v>
      </c>
      <c r="AS23" s="35">
        <f>AS20*Assumptions!H78+0</f>
        <v>0</v>
      </c>
      <c r="AT23" s="35">
        <f>AT20*Assumptions!H78+0</f>
        <v>0</v>
      </c>
      <c r="AU23" s="35">
        <f>AU20*Assumptions!H78+0</f>
        <v>0</v>
      </c>
      <c r="AV23" s="35">
        <f>AV20*Assumptions!H78+0</f>
        <v>0</v>
      </c>
      <c r="AW23" s="35">
        <f>AW20*Assumptions!H78+0</f>
        <v>0</v>
      </c>
      <c r="AX23" s="35">
        <f>AX20*Assumptions!H78+0</f>
        <v>0</v>
      </c>
      <c r="AY23" s="35">
        <f>AY20*Assumptions!H78+0</f>
        <v>0</v>
      </c>
      <c r="AZ23" s="35">
        <f>AZ20*Assumptions!H78+0</f>
        <v>0</v>
      </c>
      <c r="BA23" s="35">
        <f>BA20*Assumptions!I78+0</f>
        <v>0</v>
      </c>
      <c r="BB23" s="35">
        <f>BB20*Assumptions!I78+0</f>
        <v>14.506802721088434</v>
      </c>
      <c r="BC23" s="35">
        <f>BC20*Assumptions!I78+0</f>
        <v>0</v>
      </c>
      <c r="BD23" s="35">
        <f>BD20*Assumptions!I78+0</f>
        <v>0</v>
      </c>
      <c r="BE23" s="35">
        <f>BE20*Assumptions!I78+0</f>
        <v>0</v>
      </c>
      <c r="BF23" s="35">
        <f>BF20*Assumptions!I78+0</f>
        <v>0</v>
      </c>
      <c r="BG23" s="35">
        <f>BG20*Assumptions!I78+0</f>
        <v>0</v>
      </c>
      <c r="BH23" s="35">
        <f>BH20*Assumptions!I78+0</f>
        <v>0</v>
      </c>
      <c r="BI23" s="35">
        <f>BI20*Assumptions!I78+0</f>
        <v>0</v>
      </c>
      <c r="BJ23" s="35">
        <f>BJ20*Assumptions!I78+0</f>
        <v>0</v>
      </c>
      <c r="BK23" s="35">
        <f>BK20*Assumptions!I78+0</f>
        <v>0</v>
      </c>
      <c r="BL23" s="35">
        <f>BL20*Assumptions!I78+0</f>
        <v>0</v>
      </c>
      <c r="BM23" s="32"/>
      <c r="BN23" s="32"/>
    </row>
    <row r="24" spans="1:66" ht="20" customHeight="1">
      <c r="A24" s="30"/>
      <c r="B24" s="30"/>
      <c r="C24" s="31" t="s">
        <v>270</v>
      </c>
      <c r="D24" s="31"/>
      <c r="E24" s="35">
        <f>MIN(E23,Registrations!E91)</f>
        <v>0</v>
      </c>
      <c r="F24" s="35">
        <f>MIN(F23,Registrations!F91)</f>
        <v>8.7040816326530592</v>
      </c>
      <c r="G24" s="35">
        <f>MIN(G23,Registrations!G91)</f>
        <v>0.69199999999999995</v>
      </c>
      <c r="H24" s="35">
        <f>MIN(H23,Registrations!H91)</f>
        <v>0</v>
      </c>
      <c r="I24" s="35">
        <f>MIN(I23,Registrations!I91)</f>
        <v>0</v>
      </c>
      <c r="J24" s="35">
        <f>MIN(J23,Registrations!J91)</f>
        <v>0</v>
      </c>
      <c r="K24" s="35">
        <f>MIN(K23,Registrations!K91)</f>
        <v>0</v>
      </c>
      <c r="L24" s="35">
        <f>MIN(L23,Registrations!L91)</f>
        <v>0</v>
      </c>
      <c r="M24" s="35">
        <f>MIN(M23,Registrations!M91)</f>
        <v>0</v>
      </c>
      <c r="N24" s="35">
        <f>MIN(N23,Registrations!N91)</f>
        <v>0</v>
      </c>
      <c r="O24" s="35">
        <f>MIN(O23,Registrations!O91)</f>
        <v>0</v>
      </c>
      <c r="P24" s="35">
        <f>MIN(P23,Registrations!P91)</f>
        <v>0</v>
      </c>
      <c r="Q24" s="35">
        <f>MIN(Q23,Registrations!Q91)</f>
        <v>0</v>
      </c>
      <c r="R24" s="35">
        <f>MIN(R23,Registrations!R91)</f>
        <v>14.506802721088434</v>
      </c>
      <c r="S24" s="35">
        <f>MIN(S23,Registrations!S91)</f>
        <v>0</v>
      </c>
      <c r="T24" s="35">
        <f>MIN(T23,Registrations!T91)</f>
        <v>0</v>
      </c>
      <c r="U24" s="35">
        <f>MIN(U23,Registrations!U91)</f>
        <v>0</v>
      </c>
      <c r="V24" s="35">
        <f>MIN(V23,Registrations!V91)</f>
        <v>0</v>
      </c>
      <c r="W24" s="35">
        <f>MIN(W23,Registrations!W91)</f>
        <v>0</v>
      </c>
      <c r="X24" s="35">
        <f>MIN(X23,Registrations!X91)</f>
        <v>0</v>
      </c>
      <c r="Y24" s="35">
        <f>MIN(Y23,Registrations!Y91)</f>
        <v>0</v>
      </c>
      <c r="Z24" s="35">
        <f>MIN(Z23,Registrations!Z91)</f>
        <v>0</v>
      </c>
      <c r="AA24" s="35">
        <f>MIN(AA23,Registrations!AA91)</f>
        <v>0</v>
      </c>
      <c r="AB24" s="35">
        <f>MIN(AB23,Registrations!AB91)</f>
        <v>0</v>
      </c>
      <c r="AC24" s="35">
        <f>MIN(AC23,Registrations!AC91)</f>
        <v>0</v>
      </c>
      <c r="AD24" s="35">
        <f>MIN(AD23,Registrations!AD91)</f>
        <v>14.506802721088434</v>
      </c>
      <c r="AE24" s="35">
        <f>MIN(AE23,Registrations!AE91)</f>
        <v>0</v>
      </c>
      <c r="AF24" s="35">
        <f>MIN(AF23,Registrations!AF91)</f>
        <v>0</v>
      </c>
      <c r="AG24" s="35">
        <f>MIN(AG23,Registrations!AG91)</f>
        <v>0</v>
      </c>
      <c r="AH24" s="35">
        <f>MIN(AH23,Registrations!AH91)</f>
        <v>0</v>
      </c>
      <c r="AI24" s="35">
        <f>MIN(AI23,Registrations!AI91)</f>
        <v>0</v>
      </c>
      <c r="AJ24" s="35">
        <f>MIN(AJ23,Registrations!AJ91)</f>
        <v>0</v>
      </c>
      <c r="AK24" s="35">
        <f>MIN(AK23,Registrations!AK91)</f>
        <v>0</v>
      </c>
      <c r="AL24" s="35">
        <f>MIN(AL23,Registrations!AL91)</f>
        <v>0</v>
      </c>
      <c r="AM24" s="35">
        <f>MIN(AM23,Registrations!AM91)</f>
        <v>0</v>
      </c>
      <c r="AN24" s="35">
        <f>MIN(AN23,Registrations!AN91)</f>
        <v>0</v>
      </c>
      <c r="AO24" s="35">
        <f>MIN(AO23,Registrations!AO91)</f>
        <v>0</v>
      </c>
      <c r="AP24" s="35">
        <f>MIN(AP23,Registrations!AP91)</f>
        <v>14.506802721088434</v>
      </c>
      <c r="AQ24" s="35">
        <f>MIN(AQ23,Registrations!AQ91)</f>
        <v>0</v>
      </c>
      <c r="AR24" s="35">
        <f>MIN(AR23,Registrations!AR91)</f>
        <v>0</v>
      </c>
      <c r="AS24" s="35">
        <f>MIN(AS23,Registrations!AS91)</f>
        <v>0</v>
      </c>
      <c r="AT24" s="35">
        <f>MIN(AT23,Registrations!AT91)</f>
        <v>0</v>
      </c>
      <c r="AU24" s="35">
        <f>MIN(AU23,Registrations!AU91)</f>
        <v>0</v>
      </c>
      <c r="AV24" s="35">
        <f>MIN(AV23,Registrations!AV91)</f>
        <v>0</v>
      </c>
      <c r="AW24" s="35">
        <f>MIN(AW23,Registrations!AW91)</f>
        <v>0</v>
      </c>
      <c r="AX24" s="35">
        <f>MIN(AX23,Registrations!AX91)</f>
        <v>0</v>
      </c>
      <c r="AY24" s="35">
        <f>MIN(AY23,Registrations!AY91)</f>
        <v>0</v>
      </c>
      <c r="AZ24" s="35">
        <f>MIN(AZ23,Registrations!AZ91)</f>
        <v>0</v>
      </c>
      <c r="BA24" s="35">
        <f>MIN(BA23,Registrations!BA91)</f>
        <v>0</v>
      </c>
      <c r="BB24" s="35">
        <f>MIN(BB23,Registrations!BB91)</f>
        <v>14.506802721088434</v>
      </c>
      <c r="BC24" s="35">
        <f>MIN(BC23,Registrations!BC91)</f>
        <v>0</v>
      </c>
      <c r="BD24" s="35">
        <f>MIN(BD23,Registrations!BD91)</f>
        <v>0</v>
      </c>
      <c r="BE24" s="35">
        <f>MIN(BE23,Registrations!BE91)</f>
        <v>0</v>
      </c>
      <c r="BF24" s="35">
        <f>MIN(BF23,Registrations!BF91)</f>
        <v>0</v>
      </c>
      <c r="BG24" s="35">
        <f>MIN(BG23,Registrations!BG91)</f>
        <v>0</v>
      </c>
      <c r="BH24" s="35">
        <f>MIN(BH23,Registrations!BH91)</f>
        <v>0</v>
      </c>
      <c r="BI24" s="35">
        <f>MIN(BI23,Registrations!BI91)</f>
        <v>0</v>
      </c>
      <c r="BJ24" s="35">
        <f>MIN(BJ23,Registrations!BJ91)</f>
        <v>0</v>
      </c>
      <c r="BK24" s="35">
        <f>MIN(BK23,Registrations!BK91)</f>
        <v>0</v>
      </c>
      <c r="BL24" s="35">
        <f>MIN(BL23,Registrations!BL91)</f>
        <v>0</v>
      </c>
      <c r="BM24" s="32"/>
      <c r="BN24" s="32"/>
    </row>
    <row r="25" spans="1:66" ht="20" customHeight="1">
      <c r="A25" s="30"/>
      <c r="B25" s="30"/>
      <c r="C25" s="31" t="s">
        <v>182</v>
      </c>
      <c r="D25" s="31"/>
      <c r="E25" s="46">
        <f t="shared" ref="E25:AJ25" si="10">E22-E24</f>
        <v>0</v>
      </c>
      <c r="F25" s="46">
        <f t="shared" si="10"/>
        <v>20.30952380952381</v>
      </c>
      <c r="G25" s="46">
        <f t="shared" si="10"/>
        <v>20.323</v>
      </c>
      <c r="H25" s="46">
        <f t="shared" si="10"/>
        <v>0</v>
      </c>
      <c r="I25" s="46">
        <f t="shared" si="10"/>
        <v>0</v>
      </c>
      <c r="J25" s="46">
        <f t="shared" si="10"/>
        <v>0</v>
      </c>
      <c r="K25" s="46">
        <f t="shared" si="10"/>
        <v>0</v>
      </c>
      <c r="L25" s="46">
        <f t="shared" si="10"/>
        <v>0</v>
      </c>
      <c r="M25" s="46">
        <f t="shared" si="10"/>
        <v>0</v>
      </c>
      <c r="N25" s="46">
        <f t="shared" si="10"/>
        <v>0</v>
      </c>
      <c r="O25" s="46">
        <f t="shared" si="10"/>
        <v>0</v>
      </c>
      <c r="P25" s="46">
        <f t="shared" si="10"/>
        <v>0</v>
      </c>
      <c r="Q25" s="46">
        <f t="shared" si="10"/>
        <v>0</v>
      </c>
      <c r="R25" s="46">
        <f t="shared" si="10"/>
        <v>33.849206349206348</v>
      </c>
      <c r="S25" s="46">
        <f t="shared" si="10"/>
        <v>0</v>
      </c>
      <c r="T25" s="46">
        <f t="shared" si="10"/>
        <v>0</v>
      </c>
      <c r="U25" s="46">
        <f t="shared" si="10"/>
        <v>0</v>
      </c>
      <c r="V25" s="46">
        <f t="shared" si="10"/>
        <v>0</v>
      </c>
      <c r="W25" s="46">
        <f t="shared" si="10"/>
        <v>0</v>
      </c>
      <c r="X25" s="46">
        <f t="shared" si="10"/>
        <v>0</v>
      </c>
      <c r="Y25" s="46">
        <f t="shared" si="10"/>
        <v>0</v>
      </c>
      <c r="Z25" s="46">
        <f t="shared" si="10"/>
        <v>0</v>
      </c>
      <c r="AA25" s="46">
        <f t="shared" si="10"/>
        <v>0</v>
      </c>
      <c r="AB25" s="46">
        <f t="shared" si="10"/>
        <v>0</v>
      </c>
      <c r="AC25" s="46">
        <f t="shared" si="10"/>
        <v>0</v>
      </c>
      <c r="AD25" s="46">
        <f t="shared" si="10"/>
        <v>33.849206349206348</v>
      </c>
      <c r="AE25" s="46">
        <f t="shared" si="10"/>
        <v>0</v>
      </c>
      <c r="AF25" s="46">
        <f t="shared" si="10"/>
        <v>0</v>
      </c>
      <c r="AG25" s="46">
        <f t="shared" si="10"/>
        <v>0</v>
      </c>
      <c r="AH25" s="46">
        <f t="shared" si="10"/>
        <v>0</v>
      </c>
      <c r="AI25" s="46">
        <f t="shared" si="10"/>
        <v>0</v>
      </c>
      <c r="AJ25" s="46">
        <f t="shared" si="10"/>
        <v>0</v>
      </c>
      <c r="AK25" s="46">
        <f t="shared" ref="AK25:BP25" si="11">AK22-AK24</f>
        <v>0</v>
      </c>
      <c r="AL25" s="46">
        <f t="shared" si="11"/>
        <v>0</v>
      </c>
      <c r="AM25" s="46">
        <f t="shared" si="11"/>
        <v>0</v>
      </c>
      <c r="AN25" s="46">
        <f t="shared" si="11"/>
        <v>0</v>
      </c>
      <c r="AO25" s="46">
        <f t="shared" si="11"/>
        <v>0</v>
      </c>
      <c r="AP25" s="46">
        <f t="shared" si="11"/>
        <v>33.849206349206348</v>
      </c>
      <c r="AQ25" s="46">
        <f t="shared" si="11"/>
        <v>0</v>
      </c>
      <c r="AR25" s="46">
        <f t="shared" si="11"/>
        <v>0</v>
      </c>
      <c r="AS25" s="46">
        <f t="shared" si="11"/>
        <v>0</v>
      </c>
      <c r="AT25" s="46">
        <f t="shared" si="11"/>
        <v>0</v>
      </c>
      <c r="AU25" s="46">
        <f t="shared" si="11"/>
        <v>0</v>
      </c>
      <c r="AV25" s="46">
        <f t="shared" si="11"/>
        <v>0</v>
      </c>
      <c r="AW25" s="46">
        <f t="shared" si="11"/>
        <v>0</v>
      </c>
      <c r="AX25" s="46">
        <f t="shared" si="11"/>
        <v>0</v>
      </c>
      <c r="AY25" s="46">
        <f t="shared" si="11"/>
        <v>0</v>
      </c>
      <c r="AZ25" s="46">
        <f t="shared" si="11"/>
        <v>0</v>
      </c>
      <c r="BA25" s="46">
        <f t="shared" si="11"/>
        <v>0</v>
      </c>
      <c r="BB25" s="46">
        <f t="shared" si="11"/>
        <v>33.849206349206348</v>
      </c>
      <c r="BC25" s="46">
        <f t="shared" si="11"/>
        <v>0</v>
      </c>
      <c r="BD25" s="46">
        <f t="shared" si="11"/>
        <v>0</v>
      </c>
      <c r="BE25" s="46">
        <f t="shared" si="11"/>
        <v>0</v>
      </c>
      <c r="BF25" s="46">
        <f t="shared" si="11"/>
        <v>0</v>
      </c>
      <c r="BG25" s="46">
        <f t="shared" si="11"/>
        <v>0</v>
      </c>
      <c r="BH25" s="46">
        <f t="shared" si="11"/>
        <v>0</v>
      </c>
      <c r="BI25" s="46">
        <f t="shared" si="11"/>
        <v>0</v>
      </c>
      <c r="BJ25" s="46">
        <f t="shared" si="11"/>
        <v>0</v>
      </c>
      <c r="BK25" s="46">
        <f t="shared" si="11"/>
        <v>0</v>
      </c>
      <c r="BL25" s="46">
        <f t="shared" si="11"/>
        <v>0</v>
      </c>
      <c r="BM25" s="32"/>
      <c r="BN25" s="32"/>
    </row>
    <row r="26" spans="1:66" ht="20" customHeight="1">
      <c r="A26" s="30"/>
      <c r="B26" s="30"/>
      <c r="C26" s="31" t="s">
        <v>271</v>
      </c>
      <c r="D26" s="31"/>
      <c r="E26" s="35">
        <f>E18*Assumptions!E153+E21</f>
        <v>0</v>
      </c>
      <c r="F26" s="35">
        <f>F18*Assumptions!E153+F21</f>
        <v>15</v>
      </c>
      <c r="G26" s="35">
        <f>G18*Assumptions!E153+G21</f>
        <v>21.015000000000001</v>
      </c>
      <c r="H26" s="35">
        <f>H18*Assumptions!E153+H21</f>
        <v>0</v>
      </c>
      <c r="I26" s="35">
        <f>I18*Assumptions!E153+I21</f>
        <v>0</v>
      </c>
      <c r="J26" s="35">
        <f>J18*Assumptions!E153+J21</f>
        <v>0</v>
      </c>
      <c r="K26" s="35">
        <f>K18*Assumptions!E153+K21</f>
        <v>0</v>
      </c>
      <c r="L26" s="35">
        <f>L18*Assumptions!E153+L21</f>
        <v>0</v>
      </c>
      <c r="M26" s="35">
        <f>M18*Assumptions!E153+M21</f>
        <v>0</v>
      </c>
      <c r="N26" s="35">
        <f>N18*Assumptions!E153+N21</f>
        <v>0</v>
      </c>
      <c r="O26" s="35">
        <f>O18*Assumptions!E153+O21</f>
        <v>0</v>
      </c>
      <c r="P26" s="35">
        <f>P18*Assumptions!E153+P21</f>
        <v>0</v>
      </c>
      <c r="Q26" s="35">
        <f>Q18*Assumptions!F153+E18*Assumptions!E158+Q21</f>
        <v>0</v>
      </c>
      <c r="R26" s="35">
        <f>R18*Assumptions!F153+F18*Assumptions!E158+R21</f>
        <v>34</v>
      </c>
      <c r="S26" s="35">
        <f>S18*Assumptions!F153+G18*Assumptions!E158+S21</f>
        <v>0</v>
      </c>
      <c r="T26" s="35">
        <f>T18*Assumptions!F153+H18*Assumptions!E158+T21</f>
        <v>0</v>
      </c>
      <c r="U26" s="35">
        <f>U18*Assumptions!F153+I18*Assumptions!E158+U21</f>
        <v>0</v>
      </c>
      <c r="V26" s="35">
        <f>V18*Assumptions!F153+J18*Assumptions!E158+V21</f>
        <v>0</v>
      </c>
      <c r="W26" s="35">
        <f>W18*Assumptions!F153+K18*Assumptions!E158+W21</f>
        <v>0</v>
      </c>
      <c r="X26" s="35">
        <f>X18*Assumptions!F153+L18*Assumptions!E158+X21</f>
        <v>0</v>
      </c>
      <c r="Y26" s="35">
        <f>Y18*Assumptions!F153+M18*Assumptions!E158+Y21</f>
        <v>0</v>
      </c>
      <c r="Z26" s="35">
        <f>Z18*Assumptions!F153+N18*Assumptions!E158+Z21</f>
        <v>0</v>
      </c>
      <c r="AA26" s="35">
        <f>AA18*Assumptions!F153+O18*Assumptions!E158+AA21</f>
        <v>0</v>
      </c>
      <c r="AB26" s="35">
        <f>AB18*Assumptions!F153+P18*Assumptions!E158+AB21</f>
        <v>0</v>
      </c>
      <c r="AC26" s="35">
        <f>AC18*Assumptions!G153+Q18*Assumptions!F158+E18*Assumptions!E163+AC21</f>
        <v>0</v>
      </c>
      <c r="AD26" s="35">
        <f>AD18*Assumptions!G153+R18*Assumptions!F158+F18*Assumptions!E163+AD21</f>
        <v>46</v>
      </c>
      <c r="AE26" s="35">
        <f>AE18*Assumptions!G153+S18*Assumptions!F158+G18*Assumptions!E163+AE21</f>
        <v>0</v>
      </c>
      <c r="AF26" s="35">
        <f>AF18*Assumptions!G153+T18*Assumptions!F158+H18*Assumptions!E163+AF21</f>
        <v>0</v>
      </c>
      <c r="AG26" s="35">
        <f>AG18*Assumptions!G153+U18*Assumptions!F158+I18*Assumptions!E163+AG21</f>
        <v>0</v>
      </c>
      <c r="AH26" s="35">
        <f>AH18*Assumptions!G153+V18*Assumptions!F158+J18*Assumptions!E163+AH21</f>
        <v>0</v>
      </c>
      <c r="AI26" s="35">
        <f>AI18*Assumptions!G153+W18*Assumptions!F158+K18*Assumptions!E163+AI21</f>
        <v>0</v>
      </c>
      <c r="AJ26" s="35">
        <f>AJ18*Assumptions!G153+X18*Assumptions!F158+L18*Assumptions!E163+AJ21</f>
        <v>0</v>
      </c>
      <c r="AK26" s="35">
        <f>AK18*Assumptions!G153+Y18*Assumptions!F158+M18*Assumptions!E163+AK21</f>
        <v>0</v>
      </c>
      <c r="AL26" s="35">
        <f>AL18*Assumptions!G153+Z18*Assumptions!F158+N18*Assumptions!E163+AL21</f>
        <v>0</v>
      </c>
      <c r="AM26" s="35">
        <f>AM18*Assumptions!G153+AA18*Assumptions!F158+O18*Assumptions!E163+AM21</f>
        <v>0</v>
      </c>
      <c r="AN26" s="35">
        <f>AN18*Assumptions!G153+AB18*Assumptions!F158+P18*Assumptions!E163+AN21</f>
        <v>0</v>
      </c>
      <c r="AO26" s="35">
        <f>AO18*Assumptions!H153+AC18*Assumptions!G158+Q18*Assumptions!F163+AO21</f>
        <v>0</v>
      </c>
      <c r="AP26" s="35">
        <f>AP18*Assumptions!H153+AD18*Assumptions!G158+R18*Assumptions!F163+AP21</f>
        <v>50</v>
      </c>
      <c r="AQ26" s="35">
        <f>AQ18*Assumptions!H153+AE18*Assumptions!G158+S18*Assumptions!F163+AQ21</f>
        <v>0</v>
      </c>
      <c r="AR26" s="35">
        <f>AR18*Assumptions!H153+AF18*Assumptions!G158+T18*Assumptions!F163+AR21</f>
        <v>0</v>
      </c>
      <c r="AS26" s="35">
        <f>AS18*Assumptions!H153+AG18*Assumptions!G158+U18*Assumptions!F163+AS21</f>
        <v>0</v>
      </c>
      <c r="AT26" s="35">
        <f>AT18*Assumptions!H153+AH18*Assumptions!G158+V18*Assumptions!F163+AT21</f>
        <v>0</v>
      </c>
      <c r="AU26" s="35">
        <f>AU18*Assumptions!H153+AI18*Assumptions!G158+W18*Assumptions!F163+AU21</f>
        <v>0</v>
      </c>
      <c r="AV26" s="35">
        <f>AV18*Assumptions!H153+AJ18*Assumptions!G158+X18*Assumptions!F163+AV21</f>
        <v>0</v>
      </c>
      <c r="AW26" s="35">
        <f>AW18*Assumptions!H153+AK18*Assumptions!G158+Y18*Assumptions!F163+AW21</f>
        <v>0</v>
      </c>
      <c r="AX26" s="35">
        <f>AX18*Assumptions!H153+AL18*Assumptions!G158+Z18*Assumptions!F163+AX21</f>
        <v>0</v>
      </c>
      <c r="AY26" s="35">
        <f>AY18*Assumptions!H153+AM18*Assumptions!G158+AA18*Assumptions!F163+AY21</f>
        <v>0</v>
      </c>
      <c r="AZ26" s="35">
        <f>AZ18*Assumptions!H153+AN18*Assumptions!G158+AB18*Assumptions!F163+AZ21</f>
        <v>0</v>
      </c>
      <c r="BA26" s="35">
        <f>BA18*Assumptions!I153+AO18*Assumptions!H158+AC18*Assumptions!G163+BA21</f>
        <v>0</v>
      </c>
      <c r="BB26" s="35">
        <f>BB18*Assumptions!I153+AP18*Assumptions!H158+AD18*Assumptions!G163+BB21</f>
        <v>50</v>
      </c>
      <c r="BC26" s="35">
        <f>BC18*Assumptions!I153+AQ18*Assumptions!H158+AE18*Assumptions!G163+BC21</f>
        <v>0</v>
      </c>
      <c r="BD26" s="35">
        <f>BD18*Assumptions!I153+AR18*Assumptions!H158+AF18*Assumptions!G163+BD21</f>
        <v>0</v>
      </c>
      <c r="BE26" s="35">
        <f>BE18*Assumptions!I153+AS18*Assumptions!H158+AG18*Assumptions!G163+BE21</f>
        <v>0</v>
      </c>
      <c r="BF26" s="35">
        <f>BF18*Assumptions!I153+AT18*Assumptions!H158+AH18*Assumptions!G163+BF21</f>
        <v>0</v>
      </c>
      <c r="BG26" s="35">
        <f>BG18*Assumptions!I153+AU18*Assumptions!H158+AI18*Assumptions!G163+BG21</f>
        <v>0</v>
      </c>
      <c r="BH26" s="35">
        <f>BH18*Assumptions!I153+AV18*Assumptions!H158+AJ18*Assumptions!G163+BH21</f>
        <v>0</v>
      </c>
      <c r="BI26" s="35">
        <f>BI18*Assumptions!I153+AW18*Assumptions!H158+AK18*Assumptions!G163+BI21</f>
        <v>0</v>
      </c>
      <c r="BJ26" s="35">
        <f>BJ18*Assumptions!I153+AX18*Assumptions!H158+AL18*Assumptions!G163+BJ21</f>
        <v>0</v>
      </c>
      <c r="BK26" s="35">
        <f>BK18*Assumptions!I153+AY18*Assumptions!H158+AM18*Assumptions!G163+BK21</f>
        <v>0</v>
      </c>
      <c r="BL26" s="35">
        <f>BL18*Assumptions!I153+AZ18*Assumptions!H158+AN18*Assumptions!G163+BL21</f>
        <v>0</v>
      </c>
      <c r="BM26" s="32"/>
      <c r="BN26" s="32"/>
    </row>
    <row r="27" spans="1:66" ht="20" customHeight="1">
      <c r="A27" s="30"/>
      <c r="B27" s="30"/>
      <c r="C27" s="31" t="s">
        <v>272</v>
      </c>
      <c r="D27" s="31"/>
      <c r="E27" s="35">
        <f>IF(1=Assumptions!E173+0,25.022*(1+Assumptions!E93)^((Assumptions!E173+0)/12),0)+IF(1=Assumptions!E173+12,21.4565*(1+Assumptions!E93)^((Assumptions!E173+12)/12),0)+IF(1=Assumptions!E173+24,21.4565*(1+Assumptions!E93)^((Assumptions!E173+24)/12),0)</f>
        <v>0</v>
      </c>
      <c r="F27" s="35">
        <f>IF(2=Assumptions!E173+0,25.022*(1+Assumptions!E93)^((Assumptions!E173+0)/12),0)+IF(2=Assumptions!E173+12,21.4565*(1+Assumptions!E93)^((Assumptions!E173+12)/12),0)+IF(2=Assumptions!E173+24,21.4565*(1+Assumptions!E93)^((Assumptions!E173+24)/12),0)</f>
        <v>0</v>
      </c>
      <c r="G27" s="35">
        <f>IF(3=Assumptions!E173+0,25.022*(1+Assumptions!E93)^((Assumptions!E173+0)/12),0)+IF(3=Assumptions!E173+12,21.4565*(1+Assumptions!E93)^((Assumptions!E173+12)/12),0)+IF(3=Assumptions!E173+24,21.4565*(1+Assumptions!E93)^((Assumptions!E173+24)/12),0)</f>
        <v>0</v>
      </c>
      <c r="H27" s="35">
        <f>IF(4=Assumptions!E173+0,25.022*(1+Assumptions!E93)^((Assumptions!E173+0)/12),0)+IF(4=Assumptions!E173+12,21.4565*(1+Assumptions!E93)^((Assumptions!E173+12)/12),0)+IF(4=Assumptions!E173+24,21.4565*(1+Assumptions!E93)^((Assumptions!E173+24)/12),0)</f>
        <v>0</v>
      </c>
      <c r="I27" s="35">
        <f>IF(5=Assumptions!E173+0,25.022*(1+Assumptions!E93)^((Assumptions!E173+0)/12),0)+IF(5=Assumptions!E173+12,21.4565*(1+Assumptions!E93)^((Assumptions!E173+12)/12),0)+IF(5=Assumptions!E173+24,21.4565*(1+Assumptions!E93)^((Assumptions!E173+24)/12),0)</f>
        <v>0</v>
      </c>
      <c r="J27" s="35">
        <f>IF(6=Assumptions!E173+0,25.022*(1+Assumptions!E93)^((Assumptions!E173+0)/12),0)+IF(6=Assumptions!E173+12,21.4565*(1+Assumptions!E93)^((Assumptions!E173+12)/12),0)+IF(6=Assumptions!E173+24,21.4565*(1+Assumptions!E93)^((Assumptions!E173+24)/12),0)</f>
        <v>25.639920206584108</v>
      </c>
      <c r="K27" s="35">
        <f>IF(7=Assumptions!E173+0,25.022*(1+Assumptions!E93)^((Assumptions!E173+0)/12),0)+IF(7=Assumptions!E173+12,21.4565*(1+Assumptions!E93)^((Assumptions!E173+12)/12),0)+IF(7=Assumptions!E173+24,21.4565*(1+Assumptions!E93)^((Assumptions!E173+24)/12),0)</f>
        <v>0</v>
      </c>
      <c r="L27" s="35">
        <f>IF(8=Assumptions!E173+0,25.022*(1+Assumptions!E93)^((Assumptions!E173+0)/12),0)+IF(8=Assumptions!E173+12,21.4565*(1+Assumptions!E93)^((Assumptions!E173+12)/12),0)+IF(8=Assumptions!E173+24,21.4565*(1+Assumptions!E93)^((Assumptions!E173+24)/12),0)</f>
        <v>0</v>
      </c>
      <c r="M27" s="35">
        <f>IF(9=Assumptions!E173+0,25.022*(1+Assumptions!E93)^((Assumptions!E173+0)/12),0)+IF(9=Assumptions!E173+12,21.4565*(1+Assumptions!E93)^((Assumptions!E173+12)/12),0)+IF(9=Assumptions!E173+24,21.4565*(1+Assumptions!E93)^((Assumptions!E173+24)/12),0)</f>
        <v>0</v>
      </c>
      <c r="N27" s="35">
        <f>IF(10=Assumptions!E173+0,25.022*(1+Assumptions!E93)^((Assumptions!E173+0)/12),0)+IF(10=Assumptions!E173+12,21.4565*(1+Assumptions!E93)^((Assumptions!E173+12)/12),0)+IF(10=Assumptions!E173+24,21.4565*(1+Assumptions!E93)^((Assumptions!E173+24)/12),0)</f>
        <v>0</v>
      </c>
      <c r="O27" s="35">
        <f>IF(11=Assumptions!E173+0,25.022*(1+Assumptions!E93)^((Assumptions!E173+0)/12),0)+IF(11=Assumptions!E173+12,21.4565*(1+Assumptions!E93)^((Assumptions!E173+12)/12),0)+IF(11=Assumptions!E173+24,21.4565*(1+Assumptions!E93)^((Assumptions!E173+24)/12),0)</f>
        <v>0</v>
      </c>
      <c r="P27" s="35">
        <f>IF(12=Assumptions!E173+0,25.022*(1+Assumptions!E93)^((Assumptions!E173+0)/12),0)+IF(12=Assumptions!E173+12,21.4565*(1+Assumptions!E93)^((Assumptions!E173+12)/12),0)+IF(12=Assumptions!E173+24,21.4565*(1+Assumptions!E93)^((Assumptions!E173+24)/12),0)</f>
        <v>0</v>
      </c>
      <c r="Q27" s="35">
        <f>IF(13=Assumptions!E173+0,25.022*(1+Assumptions!E93)^((Assumptions!E173+0)/12),0)+IF(13=Assumptions!E173+12,21.4565*(1+Assumptions!E93)^((Assumptions!E173+12)/12),0)+IF(13=Assumptions!E173+24,21.4565*(1+Assumptions!E93)^((Assumptions!E173+24)/12),0)</f>
        <v>0</v>
      </c>
      <c r="R27" s="35">
        <f>IF(14=Assumptions!E173+0,25.022*(1+Assumptions!E93)^((Assumptions!E173+0)/12),0)+IF(14=Assumptions!E173+12,21.4565*(1+Assumptions!E93)^((Assumptions!E173+12)/12),0)+IF(14=Assumptions!E173+24,21.4565*(1+Assumptions!E93)^((Assumptions!E173+24)/12),0)</f>
        <v>0</v>
      </c>
      <c r="S27" s="35">
        <f>IF(15=Assumptions!E173+0,25.022*(1+Assumptions!E93)^((Assumptions!E173+0)/12),0)+IF(15=Assumptions!E173+12,21.4565*(1+Assumptions!E93)^((Assumptions!E173+12)/12),0)+IF(15=Assumptions!E173+24,21.4565*(1+Assumptions!E93)^((Assumptions!E173+24)/12),0)</f>
        <v>0</v>
      </c>
      <c r="T27" s="35">
        <f>IF(16=Assumptions!E173+0,25.022*(1+Assumptions!E93)^((Assumptions!E173+0)/12),0)+IF(16=Assumptions!E173+12,21.4565*(1+Assumptions!E93)^((Assumptions!E173+12)/12),0)+IF(16=Assumptions!E173+24,21.4565*(1+Assumptions!E93)^((Assumptions!E173+24)/12),0)</f>
        <v>0</v>
      </c>
      <c r="U27" s="35">
        <f>IF(17=Assumptions!E173+0,25.022*(1+Assumptions!E93)^((Assumptions!E173+0)/12),0)+IF(17=Assumptions!E173+12,21.4565*(1+Assumptions!E93)^((Assumptions!E173+12)/12),0)+IF(17=Assumptions!E173+24,21.4565*(1+Assumptions!E93)^((Assumptions!E173+24)/12),0)</f>
        <v>0</v>
      </c>
      <c r="V27" s="35">
        <f>IF(18=Assumptions!E173+0,25.022*(1+Assumptions!E93)^((Assumptions!E173+0)/12),0)+IF(18=Assumptions!E173+12,21.4565*(1+Assumptions!E93)^((Assumptions!E173+12)/12),0)+IF(18=Assumptions!E173+24,21.4565*(1+Assumptions!E93)^((Assumptions!E173+24)/12),0)</f>
        <v>23.08568840653027</v>
      </c>
      <c r="W27" s="35">
        <f>IF(19=Assumptions!E173+0,25.022*(1+Assumptions!E93)^((Assumptions!E173+0)/12),0)+IF(19=Assumptions!E173+12,21.4565*(1+Assumptions!E93)^((Assumptions!E173+12)/12),0)+IF(19=Assumptions!E173+24,21.4565*(1+Assumptions!E93)^((Assumptions!E173+24)/12),0)</f>
        <v>0</v>
      </c>
      <c r="X27" s="35">
        <f>IF(20=Assumptions!E173+0,25.022*(1+Assumptions!E93)^((Assumptions!E173+0)/12),0)+IF(20=Assumptions!E173+12,21.4565*(1+Assumptions!E93)^((Assumptions!E173+12)/12),0)+IF(20=Assumptions!E173+24,21.4565*(1+Assumptions!E93)^((Assumptions!E173+24)/12),0)</f>
        <v>0</v>
      </c>
      <c r="Y27" s="35">
        <f>IF(21=Assumptions!E173+0,25.022*(1+Assumptions!E93)^((Assumptions!E173+0)/12),0)+IF(21=Assumptions!E173+12,21.4565*(1+Assumptions!E93)^((Assumptions!E173+12)/12),0)+IF(21=Assumptions!E173+24,21.4565*(1+Assumptions!E93)^((Assumptions!E173+24)/12),0)</f>
        <v>0</v>
      </c>
      <c r="Z27" s="35">
        <f>IF(22=Assumptions!E173+0,25.022*(1+Assumptions!E93)^((Assumptions!E173+0)/12),0)+IF(22=Assumptions!E173+12,21.4565*(1+Assumptions!E93)^((Assumptions!E173+12)/12),0)+IF(22=Assumptions!E173+24,21.4565*(1+Assumptions!E93)^((Assumptions!E173+24)/12),0)</f>
        <v>0</v>
      </c>
      <c r="AA27" s="35">
        <f>IF(23=Assumptions!E173+0,25.022*(1+Assumptions!E93)^((Assumptions!E173+0)/12),0)+IF(23=Assumptions!E173+12,21.4565*(1+Assumptions!E93)^((Assumptions!E173+12)/12),0)+IF(23=Assumptions!E173+24,21.4565*(1+Assumptions!E93)^((Assumptions!E173+24)/12),0)</f>
        <v>0</v>
      </c>
      <c r="AB27" s="35">
        <f>IF(24=Assumptions!E173+0,25.022*(1+Assumptions!E93)^((Assumptions!E173+0)/12),0)+IF(24=Assumptions!E173+12,21.4565*(1+Assumptions!E93)^((Assumptions!E173+12)/12),0)+IF(24=Assumptions!E173+24,21.4565*(1+Assumptions!E93)^((Assumptions!E173+24)/12),0)</f>
        <v>0</v>
      </c>
      <c r="AC27" s="35">
        <f>IF(25=Assumptions!E173+0,25.022*(1+Assumptions!E93)^((Assumptions!E173+0)/12),0)+IF(25=Assumptions!E173+12,21.4565*(1+Assumptions!E93)^((Assumptions!E173+12)/12),0)+IF(25=Assumptions!E173+24,21.4565*(1+Assumptions!E93)^((Assumptions!E173+24)/12),0)</f>
        <v>0</v>
      </c>
      <c r="AD27" s="35">
        <f>IF(26=Assumptions!E173+0,25.022*(1+Assumptions!E93)^((Assumptions!E173+0)/12),0)+IF(26=Assumptions!E173+12,21.4565*(1+Assumptions!E93)^((Assumptions!E173+12)/12),0)+IF(26=Assumptions!E173+24,21.4565*(1+Assumptions!E93)^((Assumptions!E173+24)/12),0)</f>
        <v>0</v>
      </c>
      <c r="AE27" s="35">
        <f>IF(27=Assumptions!E173+0,25.022*(1+Assumptions!E93)^((Assumptions!E173+0)/12),0)+IF(27=Assumptions!E173+12,21.4565*(1+Assumptions!E93)^((Assumptions!E173+12)/12),0)+IF(27=Assumptions!E173+24,21.4565*(1+Assumptions!E93)^((Assumptions!E173+24)/12),0)</f>
        <v>0</v>
      </c>
      <c r="AF27" s="35">
        <f>IF(28=Assumptions!E173+0,25.022*(1+Assumptions!E93)^((Assumptions!E173+0)/12),0)+IF(28=Assumptions!E173+12,21.4565*(1+Assumptions!E93)^((Assumptions!E173+12)/12),0)+IF(28=Assumptions!E173+24,21.4565*(1+Assumptions!E93)^((Assumptions!E173+24)/12),0)</f>
        <v>0</v>
      </c>
      <c r="AG27" s="35">
        <f>IF(29=Assumptions!E173+0,25.022*(1+Assumptions!E93)^((Assumptions!E173+0)/12),0)+IF(29=Assumptions!E173+12,21.4565*(1+Assumptions!E93)^((Assumptions!E173+12)/12),0)+IF(29=Assumptions!E173+24,21.4565*(1+Assumptions!E93)^((Assumptions!E173+24)/12),0)</f>
        <v>0</v>
      </c>
      <c r="AH27" s="35">
        <f>IF(30=Assumptions!E173+0,25.022*(1+Assumptions!E93)^((Assumptions!E173+0)/12),0)+IF(30=Assumptions!E173+12,21.4565*(1+Assumptions!E93)^((Assumptions!E173+12)/12),0)+IF(30=Assumptions!E173+24,21.4565*(1+Assumptions!E93)^((Assumptions!E173+24)/12),0)</f>
        <v>24.239972826856789</v>
      </c>
      <c r="AI27" s="35">
        <f>IF(31=Assumptions!E173+0,25.022*(1+Assumptions!E93)^((Assumptions!E173+0)/12),0)+IF(31=Assumptions!E173+12,21.4565*(1+Assumptions!E93)^((Assumptions!E173+12)/12),0)+IF(31=Assumptions!E173+24,21.4565*(1+Assumptions!E93)^((Assumptions!E173+24)/12),0)</f>
        <v>0</v>
      </c>
      <c r="AJ27" s="35">
        <f>IF(32=Assumptions!E173+0,25.022*(1+Assumptions!E93)^((Assumptions!E173+0)/12),0)+IF(32=Assumptions!E173+12,21.4565*(1+Assumptions!E93)^((Assumptions!E173+12)/12),0)+IF(32=Assumptions!E173+24,21.4565*(1+Assumptions!E93)^((Assumptions!E173+24)/12),0)</f>
        <v>0</v>
      </c>
      <c r="AK27" s="35">
        <f>IF(33=Assumptions!E173+0,25.022*(1+Assumptions!E93)^((Assumptions!E173+0)/12),0)+IF(33=Assumptions!E173+12,21.4565*(1+Assumptions!E93)^((Assumptions!E173+12)/12),0)+IF(33=Assumptions!E173+24,21.4565*(1+Assumptions!E93)^((Assumptions!E173+24)/12),0)</f>
        <v>0</v>
      </c>
      <c r="AL27" s="35">
        <f>IF(34=Assumptions!E173+0,25.022*(1+Assumptions!E93)^((Assumptions!E173+0)/12),0)+IF(34=Assumptions!E173+12,21.4565*(1+Assumptions!E93)^((Assumptions!E173+12)/12),0)+IF(34=Assumptions!E173+24,21.4565*(1+Assumptions!E93)^((Assumptions!E173+24)/12),0)</f>
        <v>0</v>
      </c>
      <c r="AM27" s="35">
        <f>IF(35=Assumptions!E173+0,25.022*(1+Assumptions!E93)^((Assumptions!E173+0)/12),0)+IF(35=Assumptions!E173+12,21.4565*(1+Assumptions!E93)^((Assumptions!E173+12)/12),0)+IF(35=Assumptions!E173+24,21.4565*(1+Assumptions!E93)^((Assumptions!E173+24)/12),0)</f>
        <v>0</v>
      </c>
      <c r="AN27" s="35">
        <f>IF(36=Assumptions!E173+0,25.022*(1+Assumptions!E93)^((Assumptions!E173+0)/12),0)+IF(36=Assumptions!E173+12,21.4565*(1+Assumptions!E93)^((Assumptions!E173+12)/12),0)+IF(36=Assumptions!E173+24,21.4565*(1+Assumptions!E93)^((Assumptions!E173+24)/12),0)</f>
        <v>0</v>
      </c>
      <c r="AO27" s="35">
        <f>IF(37=Assumptions!E173+0,25.022*(1+Assumptions!E93)^((Assumptions!E173+0)/12),0)+IF(37=Assumptions!E173+12,21.4565*(1+Assumptions!E93)^((Assumptions!E173+12)/12),0)+IF(37=Assumptions!E173+24,21.4565*(1+Assumptions!E93)^((Assumptions!E173+24)/12),0)</f>
        <v>0</v>
      </c>
      <c r="AP27" s="35">
        <f>IF(38=Assumptions!E173+0,25.022*(1+Assumptions!E93)^((Assumptions!E173+0)/12),0)+IF(38=Assumptions!E173+12,21.4565*(1+Assumptions!E93)^((Assumptions!E173+12)/12),0)+IF(38=Assumptions!E173+24,21.4565*(1+Assumptions!E93)^((Assumptions!E173+24)/12),0)</f>
        <v>0</v>
      </c>
      <c r="AQ27" s="35">
        <f>IF(39=Assumptions!E173+0,25.022*(1+Assumptions!E93)^((Assumptions!E173+0)/12),0)+IF(39=Assumptions!E173+12,21.4565*(1+Assumptions!E93)^((Assumptions!E173+12)/12),0)+IF(39=Assumptions!E173+24,21.4565*(1+Assumptions!E93)^((Assumptions!E173+24)/12),0)</f>
        <v>0</v>
      </c>
      <c r="AR27" s="35">
        <f>IF(40=Assumptions!E173+0,25.022*(1+Assumptions!E93)^((Assumptions!E173+0)/12),0)+IF(40=Assumptions!E173+12,21.4565*(1+Assumptions!E93)^((Assumptions!E173+12)/12),0)+IF(40=Assumptions!E173+24,21.4565*(1+Assumptions!E93)^((Assumptions!E173+24)/12),0)</f>
        <v>0</v>
      </c>
      <c r="AS27" s="35">
        <f>IF(41=Assumptions!E173+0,25.022*(1+Assumptions!E93)^((Assumptions!E173+0)/12),0)+IF(41=Assumptions!E173+12,21.4565*(1+Assumptions!E93)^((Assumptions!E173+12)/12),0)+IF(41=Assumptions!E173+24,21.4565*(1+Assumptions!E93)^((Assumptions!E173+24)/12),0)</f>
        <v>0</v>
      </c>
      <c r="AT27" s="35">
        <f>IF(42=Assumptions!E173+0,25.022*(1+Assumptions!E93)^((Assumptions!E173+0)/12),0)+IF(42=Assumptions!E173+12,21.4565*(1+Assumptions!E93)^((Assumptions!E173+12)/12),0)+IF(42=Assumptions!E173+24,21.4565*(1+Assumptions!E93)^((Assumptions!E173+24)/12),0)</f>
        <v>0</v>
      </c>
      <c r="AU27" s="35">
        <f>IF(43=Assumptions!E173+0,25.022*(1+Assumptions!E93)^((Assumptions!E173+0)/12),0)+IF(43=Assumptions!E173+12,21.4565*(1+Assumptions!E93)^((Assumptions!E173+12)/12),0)+IF(43=Assumptions!E173+24,21.4565*(1+Assumptions!E93)^((Assumptions!E173+24)/12),0)</f>
        <v>0</v>
      </c>
      <c r="AV27" s="35">
        <f>IF(44=Assumptions!E173+0,25.022*(1+Assumptions!E93)^((Assumptions!E173+0)/12),0)+IF(44=Assumptions!E173+12,21.4565*(1+Assumptions!E93)^((Assumptions!E173+12)/12),0)+IF(44=Assumptions!E173+24,21.4565*(1+Assumptions!E93)^((Assumptions!E173+24)/12),0)</f>
        <v>0</v>
      </c>
      <c r="AW27" s="35">
        <f>IF(45=Assumptions!E173+0,25.022*(1+Assumptions!E93)^((Assumptions!E173+0)/12),0)+IF(45=Assumptions!E173+12,21.4565*(1+Assumptions!E93)^((Assumptions!E173+12)/12),0)+IF(45=Assumptions!E173+24,21.4565*(1+Assumptions!E93)^((Assumptions!E173+24)/12),0)</f>
        <v>0</v>
      </c>
      <c r="AX27" s="35">
        <f>IF(46=Assumptions!E173+0,25.022*(1+Assumptions!E93)^((Assumptions!E173+0)/12),0)+IF(46=Assumptions!E173+12,21.4565*(1+Assumptions!E93)^((Assumptions!E173+12)/12),0)+IF(46=Assumptions!E173+24,21.4565*(1+Assumptions!E93)^((Assumptions!E173+24)/12),0)</f>
        <v>0</v>
      </c>
      <c r="AY27" s="35">
        <f>IF(47=Assumptions!E173+0,25.022*(1+Assumptions!E93)^((Assumptions!E173+0)/12),0)+IF(47=Assumptions!E173+12,21.4565*(1+Assumptions!E93)^((Assumptions!E173+12)/12),0)+IF(47=Assumptions!E173+24,21.4565*(1+Assumptions!E93)^((Assumptions!E173+24)/12),0)</f>
        <v>0</v>
      </c>
      <c r="AZ27" s="35">
        <f>IF(48=Assumptions!E173+0,25.022*(1+Assumptions!E93)^((Assumptions!E173+0)/12),0)+IF(48=Assumptions!E173+12,21.4565*(1+Assumptions!E93)^((Assumptions!E173+12)/12),0)+IF(48=Assumptions!E173+24,21.4565*(1+Assumptions!E93)^((Assumptions!E173+24)/12),0)</f>
        <v>0</v>
      </c>
      <c r="BA27" s="35">
        <f>IF(49=Assumptions!E173+0,25.022*(1+Assumptions!E93)^((Assumptions!E173+0)/12),0)+IF(49=Assumptions!E173+12,21.4565*(1+Assumptions!E93)^((Assumptions!E173+12)/12),0)+IF(49=Assumptions!E173+24,21.4565*(1+Assumptions!E93)^((Assumptions!E173+24)/12),0)</f>
        <v>0</v>
      </c>
      <c r="BB27" s="35">
        <f>IF(50=Assumptions!E173+0,25.022*(1+Assumptions!E93)^((Assumptions!E173+0)/12),0)+IF(50=Assumptions!E173+12,21.4565*(1+Assumptions!E93)^((Assumptions!E173+12)/12),0)+IF(50=Assumptions!E173+24,21.4565*(1+Assumptions!E93)^((Assumptions!E173+24)/12),0)</f>
        <v>0</v>
      </c>
      <c r="BC27" s="35">
        <f>IF(51=Assumptions!E173+0,25.022*(1+Assumptions!E93)^((Assumptions!E173+0)/12),0)+IF(51=Assumptions!E173+12,21.4565*(1+Assumptions!E93)^((Assumptions!E173+12)/12),0)+IF(51=Assumptions!E173+24,21.4565*(1+Assumptions!E93)^((Assumptions!E173+24)/12),0)</f>
        <v>0</v>
      </c>
      <c r="BD27" s="35">
        <f>IF(52=Assumptions!E173+0,25.022*(1+Assumptions!E93)^((Assumptions!E173+0)/12),0)+IF(52=Assumptions!E173+12,21.4565*(1+Assumptions!E93)^((Assumptions!E173+12)/12),0)+IF(52=Assumptions!E173+24,21.4565*(1+Assumptions!E93)^((Assumptions!E173+24)/12),0)</f>
        <v>0</v>
      </c>
      <c r="BE27" s="35">
        <f>IF(53=Assumptions!E173+0,25.022*(1+Assumptions!E93)^((Assumptions!E173+0)/12),0)+IF(53=Assumptions!E173+12,21.4565*(1+Assumptions!E93)^((Assumptions!E173+12)/12),0)+IF(53=Assumptions!E173+24,21.4565*(1+Assumptions!E93)^((Assumptions!E173+24)/12),0)</f>
        <v>0</v>
      </c>
      <c r="BF27" s="35">
        <f>IF(54=Assumptions!E173+0,25.022*(1+Assumptions!E93)^((Assumptions!E173+0)/12),0)+IF(54=Assumptions!E173+12,21.4565*(1+Assumptions!E93)^((Assumptions!E173+12)/12),0)+IF(54=Assumptions!E173+24,21.4565*(1+Assumptions!E93)^((Assumptions!E173+24)/12),0)</f>
        <v>0</v>
      </c>
      <c r="BG27" s="35">
        <f>IF(55=Assumptions!E173+0,25.022*(1+Assumptions!E93)^((Assumptions!E173+0)/12),0)+IF(55=Assumptions!E173+12,21.4565*(1+Assumptions!E93)^((Assumptions!E173+12)/12),0)+IF(55=Assumptions!E173+24,21.4565*(1+Assumptions!E93)^((Assumptions!E173+24)/12),0)</f>
        <v>0</v>
      </c>
      <c r="BH27" s="35">
        <f>IF(56=Assumptions!E173+0,25.022*(1+Assumptions!E93)^((Assumptions!E173+0)/12),0)+IF(56=Assumptions!E173+12,21.4565*(1+Assumptions!E93)^((Assumptions!E173+12)/12),0)+IF(56=Assumptions!E173+24,21.4565*(1+Assumptions!E93)^((Assumptions!E173+24)/12),0)</f>
        <v>0</v>
      </c>
      <c r="BI27" s="35">
        <f>IF(57=Assumptions!E173+0,25.022*(1+Assumptions!E93)^((Assumptions!E173+0)/12),0)+IF(57=Assumptions!E173+12,21.4565*(1+Assumptions!E93)^((Assumptions!E173+12)/12),0)+IF(57=Assumptions!E173+24,21.4565*(1+Assumptions!E93)^((Assumptions!E173+24)/12),0)</f>
        <v>0</v>
      </c>
      <c r="BJ27" s="35">
        <f>IF(58=Assumptions!E173+0,25.022*(1+Assumptions!E93)^((Assumptions!E173+0)/12),0)+IF(58=Assumptions!E173+12,21.4565*(1+Assumptions!E93)^((Assumptions!E173+12)/12),0)+IF(58=Assumptions!E173+24,21.4565*(1+Assumptions!E93)^((Assumptions!E173+24)/12),0)</f>
        <v>0</v>
      </c>
      <c r="BK27" s="35">
        <f>IF(59=Assumptions!E173+0,25.022*(1+Assumptions!E93)^((Assumptions!E173+0)/12),0)+IF(59=Assumptions!E173+12,21.4565*(1+Assumptions!E93)^((Assumptions!E173+12)/12),0)+IF(59=Assumptions!E173+24,21.4565*(1+Assumptions!E93)^((Assumptions!E173+24)/12),0)</f>
        <v>0</v>
      </c>
      <c r="BL27" s="35">
        <f>IF(60=Assumptions!E173+0,25.022*(1+Assumptions!E93)^((Assumptions!E173+0)/12),0)+IF(60=Assumptions!E173+12,21.4565*(1+Assumptions!E93)^((Assumptions!E173+12)/12),0)+IF(60=Assumptions!E173+24,21.4565*(1+Assumptions!E93)^((Assumptions!E173+24)/12),0)</f>
        <v>0</v>
      </c>
      <c r="BM27" s="32"/>
      <c r="BN27" s="32"/>
    </row>
    <row r="28" spans="1:66" ht="20" customHeight="1">
      <c r="A28" s="30"/>
      <c r="B28" s="30"/>
      <c r="C28" s="31" t="s">
        <v>273</v>
      </c>
      <c r="D28" s="31"/>
      <c r="E28" s="46">
        <f t="shared" ref="E28:AJ28" si="12">E26+E27</f>
        <v>0</v>
      </c>
      <c r="F28" s="46">
        <f t="shared" si="12"/>
        <v>15</v>
      </c>
      <c r="G28" s="46">
        <f t="shared" si="12"/>
        <v>21.015000000000001</v>
      </c>
      <c r="H28" s="46">
        <f t="shared" si="12"/>
        <v>0</v>
      </c>
      <c r="I28" s="46">
        <f t="shared" si="12"/>
        <v>0</v>
      </c>
      <c r="J28" s="46">
        <f t="shared" si="12"/>
        <v>25.639920206584108</v>
      </c>
      <c r="K28" s="46">
        <f t="shared" si="12"/>
        <v>0</v>
      </c>
      <c r="L28" s="46">
        <f t="shared" si="12"/>
        <v>0</v>
      </c>
      <c r="M28" s="46">
        <f t="shared" si="12"/>
        <v>0</v>
      </c>
      <c r="N28" s="46">
        <f t="shared" si="12"/>
        <v>0</v>
      </c>
      <c r="O28" s="46">
        <f t="shared" si="12"/>
        <v>0</v>
      </c>
      <c r="P28" s="46">
        <f t="shared" si="12"/>
        <v>0</v>
      </c>
      <c r="Q28" s="46">
        <f t="shared" si="12"/>
        <v>0</v>
      </c>
      <c r="R28" s="46">
        <f t="shared" si="12"/>
        <v>34</v>
      </c>
      <c r="S28" s="46">
        <f t="shared" si="12"/>
        <v>0</v>
      </c>
      <c r="T28" s="46">
        <f t="shared" si="12"/>
        <v>0</v>
      </c>
      <c r="U28" s="46">
        <f t="shared" si="12"/>
        <v>0</v>
      </c>
      <c r="V28" s="46">
        <f t="shared" si="12"/>
        <v>23.08568840653027</v>
      </c>
      <c r="W28" s="46">
        <f t="shared" si="12"/>
        <v>0</v>
      </c>
      <c r="X28" s="46">
        <f t="shared" si="12"/>
        <v>0</v>
      </c>
      <c r="Y28" s="46">
        <f t="shared" si="12"/>
        <v>0</v>
      </c>
      <c r="Z28" s="46">
        <f t="shared" si="12"/>
        <v>0</v>
      </c>
      <c r="AA28" s="46">
        <f t="shared" si="12"/>
        <v>0</v>
      </c>
      <c r="AB28" s="46">
        <f t="shared" si="12"/>
        <v>0</v>
      </c>
      <c r="AC28" s="46">
        <f t="shared" si="12"/>
        <v>0</v>
      </c>
      <c r="AD28" s="46">
        <f t="shared" si="12"/>
        <v>46</v>
      </c>
      <c r="AE28" s="46">
        <f t="shared" si="12"/>
        <v>0</v>
      </c>
      <c r="AF28" s="46">
        <f t="shared" si="12"/>
        <v>0</v>
      </c>
      <c r="AG28" s="46">
        <f t="shared" si="12"/>
        <v>0</v>
      </c>
      <c r="AH28" s="46">
        <f t="shared" si="12"/>
        <v>24.239972826856789</v>
      </c>
      <c r="AI28" s="46">
        <f t="shared" si="12"/>
        <v>0</v>
      </c>
      <c r="AJ28" s="46">
        <f t="shared" si="12"/>
        <v>0</v>
      </c>
      <c r="AK28" s="46">
        <f t="shared" ref="AK28:BP28" si="13">AK26+AK27</f>
        <v>0</v>
      </c>
      <c r="AL28" s="46">
        <f t="shared" si="13"/>
        <v>0</v>
      </c>
      <c r="AM28" s="46">
        <f t="shared" si="13"/>
        <v>0</v>
      </c>
      <c r="AN28" s="46">
        <f t="shared" si="13"/>
        <v>0</v>
      </c>
      <c r="AO28" s="46">
        <f t="shared" si="13"/>
        <v>0</v>
      </c>
      <c r="AP28" s="46">
        <f t="shared" si="13"/>
        <v>50</v>
      </c>
      <c r="AQ28" s="46">
        <f t="shared" si="13"/>
        <v>0</v>
      </c>
      <c r="AR28" s="46">
        <f t="shared" si="13"/>
        <v>0</v>
      </c>
      <c r="AS28" s="46">
        <f t="shared" si="13"/>
        <v>0</v>
      </c>
      <c r="AT28" s="46">
        <f t="shared" si="13"/>
        <v>0</v>
      </c>
      <c r="AU28" s="46">
        <f t="shared" si="13"/>
        <v>0</v>
      </c>
      <c r="AV28" s="46">
        <f t="shared" si="13"/>
        <v>0</v>
      </c>
      <c r="AW28" s="46">
        <f t="shared" si="13"/>
        <v>0</v>
      </c>
      <c r="AX28" s="46">
        <f t="shared" si="13"/>
        <v>0</v>
      </c>
      <c r="AY28" s="46">
        <f t="shared" si="13"/>
        <v>0</v>
      </c>
      <c r="AZ28" s="46">
        <f t="shared" si="13"/>
        <v>0</v>
      </c>
      <c r="BA28" s="46">
        <f t="shared" si="13"/>
        <v>0</v>
      </c>
      <c r="BB28" s="46">
        <f t="shared" si="13"/>
        <v>50</v>
      </c>
      <c r="BC28" s="46">
        <f t="shared" si="13"/>
        <v>0</v>
      </c>
      <c r="BD28" s="46">
        <f t="shared" si="13"/>
        <v>0</v>
      </c>
      <c r="BE28" s="46">
        <f t="shared" si="13"/>
        <v>0</v>
      </c>
      <c r="BF28" s="46">
        <f t="shared" si="13"/>
        <v>0</v>
      </c>
      <c r="BG28" s="46">
        <f t="shared" si="13"/>
        <v>0</v>
      </c>
      <c r="BH28" s="46">
        <f t="shared" si="13"/>
        <v>0</v>
      </c>
      <c r="BI28" s="46">
        <f t="shared" si="13"/>
        <v>0</v>
      </c>
      <c r="BJ28" s="46">
        <f t="shared" si="13"/>
        <v>0</v>
      </c>
      <c r="BK28" s="46">
        <f t="shared" si="13"/>
        <v>0</v>
      </c>
      <c r="BL28" s="46">
        <f t="shared" si="13"/>
        <v>0</v>
      </c>
      <c r="BM28" s="32"/>
      <c r="BN28" s="32"/>
    </row>
    <row r="29" spans="1:66" ht="20" customHeight="1">
      <c r="A29" s="30"/>
      <c r="B29" s="30"/>
      <c r="C29" s="31"/>
      <c r="D29" s="31"/>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row>
    <row r="30" spans="1:66" ht="20" customHeight="1">
      <c r="A30" s="30"/>
      <c r="B30" s="30"/>
      <c r="C30" s="31" t="s">
        <v>274</v>
      </c>
      <c r="D30" s="31"/>
      <c r="E30" s="35">
        <f>Historical!G70</f>
        <v>375.03300000000002</v>
      </c>
      <c r="F30" s="46">
        <f t="shared" ref="F30:AK30" si="14">E32</f>
        <v>376.56093086495304</v>
      </c>
      <c r="G30" s="46">
        <f t="shared" si="14"/>
        <v>378.09508670938271</v>
      </c>
      <c r="H30" s="46">
        <f t="shared" si="14"/>
        <v>482.85895752099054</v>
      </c>
      <c r="I30" s="46">
        <f t="shared" si="14"/>
        <v>484.82618468397447</v>
      </c>
      <c r="J30" s="46">
        <f t="shared" si="14"/>
        <v>486.80142657393094</v>
      </c>
      <c r="K30" s="46">
        <f t="shared" si="14"/>
        <v>265.0230766626666</v>
      </c>
      <c r="L30" s="46">
        <f t="shared" si="14"/>
        <v>266.10281348251362</v>
      </c>
      <c r="M30" s="46">
        <f t="shared" si="14"/>
        <v>267.18694928381848</v>
      </c>
      <c r="N30" s="46">
        <f t="shared" si="14"/>
        <v>268.27550198857614</v>
      </c>
      <c r="O30" s="46">
        <f t="shared" si="14"/>
        <v>269.36848959179798</v>
      </c>
      <c r="P30" s="46">
        <f t="shared" si="14"/>
        <v>270.46593016180935</v>
      </c>
      <c r="Q30" s="46">
        <f t="shared" si="14"/>
        <v>271.56784184054817</v>
      </c>
      <c r="R30" s="46">
        <f t="shared" si="14"/>
        <v>305.88447931940743</v>
      </c>
      <c r="S30" s="46">
        <f t="shared" si="14"/>
        <v>307.13069055165153</v>
      </c>
      <c r="T30" s="46">
        <f t="shared" si="14"/>
        <v>270.03577900271637</v>
      </c>
      <c r="U30" s="46">
        <f t="shared" si="14"/>
        <v>271.13593819238736</v>
      </c>
      <c r="V30" s="46">
        <f t="shared" si="14"/>
        <v>272.24057956677876</v>
      </c>
      <c r="W30" s="46">
        <f t="shared" si="14"/>
        <v>160.60949003553338</v>
      </c>
      <c r="X30" s="46">
        <f t="shared" si="14"/>
        <v>161.26383297876677</v>
      </c>
      <c r="Y30" s="46">
        <f t="shared" si="14"/>
        <v>161.92084179614787</v>
      </c>
      <c r="Z30" s="46">
        <f t="shared" si="14"/>
        <v>162.58052734877791</v>
      </c>
      <c r="AA30" s="46">
        <f t="shared" si="14"/>
        <v>163.24290054200765</v>
      </c>
      <c r="AB30" s="46">
        <f t="shared" si="14"/>
        <v>163.90797232561758</v>
      </c>
      <c r="AC30" s="46">
        <f t="shared" si="14"/>
        <v>164.57575369399896</v>
      </c>
      <c r="AD30" s="46">
        <f t="shared" si="14"/>
        <v>180.45649216187815</v>
      </c>
      <c r="AE30" s="46">
        <f t="shared" si="14"/>
        <v>181.19169424850861</v>
      </c>
      <c r="AF30" s="46">
        <f t="shared" si="14"/>
        <v>153.170241639446</v>
      </c>
      <c r="AG30" s="46">
        <f t="shared" si="14"/>
        <v>153.79427616385644</v>
      </c>
      <c r="AH30" s="46">
        <f t="shared" si="14"/>
        <v>154.4208530821646</v>
      </c>
      <c r="AI30" s="46">
        <f t="shared" si="14"/>
        <v>135.51324889152704</v>
      </c>
      <c r="AJ30" s="46">
        <f t="shared" si="14"/>
        <v>136.06534664183548</v>
      </c>
      <c r="AK30" s="46">
        <f t="shared" si="14"/>
        <v>136.61969370671935</v>
      </c>
      <c r="AL30" s="46">
        <f t="shared" ref="AL30:BL30" si="15">AK32</f>
        <v>137.17629925016465</v>
      </c>
      <c r="AM30" s="46">
        <f t="shared" si="15"/>
        <v>137.73517247349261</v>
      </c>
      <c r="AN30" s="46">
        <f t="shared" si="15"/>
        <v>138.29632261551177</v>
      </c>
      <c r="AO30" s="46">
        <f t="shared" si="15"/>
        <v>138.85975895267075</v>
      </c>
      <c r="AP30" s="46">
        <f t="shared" si="15"/>
        <v>142.63572727475412</v>
      </c>
      <c r="AQ30" s="46">
        <f t="shared" si="15"/>
        <v>143.21684288364219</v>
      </c>
      <c r="AR30" s="46">
        <f t="shared" si="15"/>
        <v>115.04067602945346</v>
      </c>
      <c r="AS30" s="46">
        <f t="shared" si="15"/>
        <v>115.50936598375205</v>
      </c>
      <c r="AT30" s="46">
        <f t="shared" si="15"/>
        <v>115.9799654389406</v>
      </c>
      <c r="AU30" s="46">
        <f t="shared" si="15"/>
        <v>95.938911620647673</v>
      </c>
      <c r="AV30" s="46">
        <f t="shared" si="15"/>
        <v>96.329778622258686</v>
      </c>
      <c r="AW30" s="46">
        <f t="shared" si="15"/>
        <v>96.722238064417212</v>
      </c>
      <c r="AX30" s="46">
        <f t="shared" si="15"/>
        <v>97.116296434923157</v>
      </c>
      <c r="AY30" s="46">
        <f t="shared" si="15"/>
        <v>97.511960248008521</v>
      </c>
      <c r="AZ30" s="46">
        <f t="shared" si="15"/>
        <v>97.909236044445109</v>
      </c>
      <c r="BA30" s="46">
        <f t="shared" si="15"/>
        <v>98.308130391652625</v>
      </c>
      <c r="BB30" s="46">
        <f t="shared" si="15"/>
        <v>95.91888635934987</v>
      </c>
      <c r="BC30" s="46">
        <f t="shared" si="15"/>
        <v>96.309671775567566</v>
      </c>
      <c r="BD30" s="46">
        <f t="shared" si="15"/>
        <v>77.528949299943761</v>
      </c>
      <c r="BE30" s="46">
        <f t="shared" si="15"/>
        <v>77.844811836207924</v>
      </c>
      <c r="BF30" s="46">
        <f t="shared" si="15"/>
        <v>78.161961235543444</v>
      </c>
      <c r="BG30" s="46">
        <f t="shared" si="15"/>
        <v>56.941153659179633</v>
      </c>
      <c r="BH30" s="46">
        <f t="shared" si="15"/>
        <v>57.173138967570871</v>
      </c>
      <c r="BI30" s="46">
        <f t="shared" si="15"/>
        <v>57.406069412824486</v>
      </c>
      <c r="BJ30" s="46">
        <f t="shared" si="15"/>
        <v>57.639948845545042</v>
      </c>
      <c r="BK30" s="46">
        <f t="shared" si="15"/>
        <v>57.87478113202495</v>
      </c>
      <c r="BL30" s="46">
        <f t="shared" si="15"/>
        <v>58.110570154308377</v>
      </c>
      <c r="BM30" s="32"/>
      <c r="BN30" s="32"/>
    </row>
    <row r="31" spans="1:66" ht="20" customHeight="1">
      <c r="A31" s="30"/>
      <c r="B31" s="30"/>
      <c r="C31" s="31" t="s">
        <v>275</v>
      </c>
      <c r="D31" s="31"/>
      <c r="E31" s="35">
        <f>E30*((1+Assumptions!E93)^(1/12)-1)</f>
        <v>1.527930864952993</v>
      </c>
      <c r="F31" s="35">
        <f>F30*((1+Assumptions!E93)^(1/12)-1)</f>
        <v>1.5341558444296686</v>
      </c>
      <c r="G31" s="35">
        <f>G30*((1+Assumptions!E93)^(1/12)-1)</f>
        <v>1.5404061852432827</v>
      </c>
      <c r="H31" s="35">
        <f>H30*((1+Assumptions!E93)^(1/12)-1)</f>
        <v>1.9672271629839175</v>
      </c>
      <c r="I31" s="35">
        <f>I30*((1+Assumptions!E93)^(1/12)-1)</f>
        <v>1.9752418899564694</v>
      </c>
      <c r="J31" s="35">
        <f>J30*((1+Assumptions!E93)^(1/12)-1)</f>
        <v>1.9832892699187996</v>
      </c>
      <c r="K31" s="35">
        <f>K30*((1+Assumptions!E93)^(1/12)-1)</f>
        <v>1.079736819847031</v>
      </c>
      <c r="L31" s="35">
        <f>L30*((1+Assumptions!E93)^(1/12)-1)</f>
        <v>1.0841358013048505</v>
      </c>
      <c r="M31" s="35">
        <f>M30*((1+Assumptions!E93)^(1/12)-1)</f>
        <v>1.0885527047576513</v>
      </c>
      <c r="N31" s="35">
        <f>N30*((1+Assumptions!E93)^(1/12)-1)</f>
        <v>1.0929876032218593</v>
      </c>
      <c r="O31" s="35">
        <f>O30*((1+Assumptions!E93)^(1/12)-1)</f>
        <v>1.0974405700113781</v>
      </c>
      <c r="P31" s="35">
        <f>P30*((1+Assumptions!E93)^(1/12)-1)</f>
        <v>1.1019116787388021</v>
      </c>
      <c r="Q31" s="35">
        <f>Q30*((1+Assumptions!F93)^(1/12)-1)</f>
        <v>1.1064010033166318</v>
      </c>
      <c r="R31" s="35">
        <f>R30*((1+Assumptions!F93)^(1/12)-1)</f>
        <v>1.2462112322440908</v>
      </c>
      <c r="S31" s="35">
        <f>S30*((1+Assumptions!F93)^(1/12)-1)</f>
        <v>1.2512884510648261</v>
      </c>
      <c r="T31" s="35">
        <f>T30*((1+Assumptions!F93)^(1/12)-1)</f>
        <v>1.1001591896709775</v>
      </c>
      <c r="U31" s="35">
        <f>U30*((1+Assumptions!F93)^(1/12)-1)</f>
        <v>1.1046413743914152</v>
      </c>
      <c r="V31" s="35">
        <f>V30*((1+Assumptions!F93)^(1/12)-1)</f>
        <v>1.1091418200872254</v>
      </c>
      <c r="W31" s="35">
        <f>W30*((1+Assumptions!F93)^(1/12)-1)</f>
        <v>0.65434294323339981</v>
      </c>
      <c r="X31" s="35">
        <f>X30*((1+Assumptions!F93)^(1/12)-1)</f>
        <v>0.6570088173810894</v>
      </c>
      <c r="Y31" s="35">
        <f>Y30*((1+Assumptions!F93)^(1/12)-1)</f>
        <v>0.65968555263004847</v>
      </c>
      <c r="Z31" s="35">
        <f>Z30*((1+Assumptions!F93)^(1/12)-1)</f>
        <v>0.66237319322974764</v>
      </c>
      <c r="AA31" s="35">
        <f>AA30*((1+Assumptions!F93)^(1/12)-1)</f>
        <v>0.66507178360993602</v>
      </c>
      <c r="AB31" s="35">
        <f>AB30*((1+Assumptions!F93)^(1/12)-1)</f>
        <v>0.6677813683813747</v>
      </c>
      <c r="AC31" s="35">
        <f>AC30*((1+Assumptions!G93)^(1/12)-1)</f>
        <v>0.67050199233657459</v>
      </c>
      <c r="AD31" s="35">
        <f>AD30*((1+Assumptions!G93)^(1/12)-1)</f>
        <v>0.73520208663046038</v>
      </c>
      <c r="AE31" s="35">
        <f>AE30*((1+Assumptions!G93)^(1/12)-1)</f>
        <v>0.73819739093738956</v>
      </c>
      <c r="AF31" s="35">
        <f>AF30*((1+Assumptions!G93)^(1/12)-1)</f>
        <v>0.62403452441043239</v>
      </c>
      <c r="AG31" s="35">
        <f>AG30*((1+Assumptions!G93)^(1/12)-1)</f>
        <v>0.62657691830815054</v>
      </c>
      <c r="AH31" s="35">
        <f>AH30*((1+Assumptions!G93)^(1/12)-1)</f>
        <v>0.6291296702333149</v>
      </c>
      <c r="AI31" s="35">
        <f>AI30*((1+Assumptions!G93)^(1/12)-1)</f>
        <v>0.55209775030842922</v>
      </c>
      <c r="AJ31" s="35">
        <f>AJ30*((1+Assumptions!G93)^(1/12)-1)</f>
        <v>0.55434706488385954</v>
      </c>
      <c r="AK31" s="35">
        <f>AK30*((1+Assumptions!G93)^(1/12)-1)</f>
        <v>0.55660554344529856</v>
      </c>
      <c r="AL31" s="35">
        <f>AL30*((1+Assumptions!G93)^(1/12)-1)</f>
        <v>0.55887322332795963</v>
      </c>
      <c r="AM31" s="35">
        <f>AM30*((1+Assumptions!G93)^(1/12)-1)</f>
        <v>0.56115014201916424</v>
      </c>
      <c r="AN31" s="35">
        <f>AN30*((1+Assumptions!G93)^(1/12)-1)</f>
        <v>0.56343633715896213</v>
      </c>
      <c r="AO31" s="35">
        <f>AO30*((1+Assumptions!H93)^(1/12)-1)</f>
        <v>0.56573184654075326</v>
      </c>
      <c r="AP31" s="35">
        <f>AP30*((1+Assumptions!H93)^(1/12)-1)</f>
        <v>0.58111560888805591</v>
      </c>
      <c r="AQ31" s="35">
        <f>AQ30*((1+Assumptions!H93)^(1/12)-1)</f>
        <v>0.58348314581127603</v>
      </c>
      <c r="AR31" s="35">
        <f>AR30*((1+Assumptions!H93)^(1/12)-1)</f>
        <v>0.4686899542985814</v>
      </c>
      <c r="AS31" s="35">
        <f>AS30*((1+Assumptions!H93)^(1/12)-1)</f>
        <v>0.47059945518854629</v>
      </c>
      <c r="AT31" s="35">
        <f>AT30*((1+Assumptions!H93)^(1/12)-1)</f>
        <v>0.47251673562150193</v>
      </c>
      <c r="AU31" s="35">
        <f>AU30*((1+Assumptions!H93)^(1/12)-1)</f>
        <v>0.39086700161101806</v>
      </c>
      <c r="AV31" s="35">
        <f>AV30*((1+Assumptions!H93)^(1/12)-1)</f>
        <v>0.39245944215852485</v>
      </c>
      <c r="AW31" s="35">
        <f>AW30*((1+Assumptions!H93)^(1/12)-1)</f>
        <v>0.39405837050594023</v>
      </c>
      <c r="AX31" s="35">
        <f>AX30*((1+Assumptions!H93)^(1/12)-1)</f>
        <v>0.39566381308536425</v>
      </c>
      <c r="AY31" s="35">
        <f>AY30*((1+Assumptions!H93)^(1/12)-1)</f>
        <v>0.39727579643658434</v>
      </c>
      <c r="AZ31" s="35">
        <f>AZ30*((1+Assumptions!H93)^(1/12)-1)</f>
        <v>0.39889434720751443</v>
      </c>
      <c r="BA31" s="35">
        <f>BA30*((1+Assumptions!I93)^(1/12)-1)</f>
        <v>0.4005194921546355</v>
      </c>
      <c r="BB31" s="35">
        <f>BB30*((1+Assumptions!I93)^(1/12)-1)</f>
        <v>0.39078541621769092</v>
      </c>
      <c r="BC31" s="35">
        <f>BC30*((1+Assumptions!I93)^(1/12)-1)</f>
        <v>0.39237752437620638</v>
      </c>
      <c r="BD31" s="35">
        <f>BD30*((1+Assumptions!I93)^(1/12)-1)</f>
        <v>0.31586253626416827</v>
      </c>
      <c r="BE31" s="35">
        <f>BE30*((1+Assumptions!I93)^(1/12)-1)</f>
        <v>0.31714939933552555</v>
      </c>
      <c r="BF31" s="35">
        <f>BF30*((1+Assumptions!I93)^(1/12)-1)</f>
        <v>0.31844150524632819</v>
      </c>
      <c r="BG31" s="35">
        <f>BG30*((1+Assumptions!I93)^(1/12)-1)</f>
        <v>0.23198530839123921</v>
      </c>
      <c r="BH31" s="35">
        <f>BH30*((1+Assumptions!I93)^(1/12)-1)</f>
        <v>0.23293044525361295</v>
      </c>
      <c r="BI31" s="35">
        <f>BI30*((1+Assumptions!I93)^(1/12)-1)</f>
        <v>0.2338794327205565</v>
      </c>
      <c r="BJ31" s="35">
        <f>BJ30*((1+Assumptions!I93)^(1/12)-1)</f>
        <v>0.2348322864799095</v>
      </c>
      <c r="BK31" s="35">
        <f>BK30*((1+Assumptions!I93)^(1/12)-1)</f>
        <v>0.23578902228342583</v>
      </c>
      <c r="BL31" s="35">
        <f>BL30*((1+Assumptions!I93)^(1/12)-1)</f>
        <v>0.23674965594703393</v>
      </c>
      <c r="BM31" s="32"/>
      <c r="BN31" s="32"/>
    </row>
    <row r="32" spans="1:66" ht="20" customHeight="1">
      <c r="A32" s="30"/>
      <c r="B32" s="30"/>
      <c r="C32" s="31" t="s">
        <v>276</v>
      </c>
      <c r="D32" s="31"/>
      <c r="E32" s="46">
        <f t="shared" ref="E32:AJ32" si="16">E30+E31+E13-E16</f>
        <v>376.56093086495304</v>
      </c>
      <c r="F32" s="46">
        <f t="shared" si="16"/>
        <v>378.09508670938271</v>
      </c>
      <c r="G32" s="46">
        <f t="shared" si="16"/>
        <v>482.85895752099054</v>
      </c>
      <c r="H32" s="46">
        <f t="shared" si="16"/>
        <v>484.82618468397447</v>
      </c>
      <c r="I32" s="46">
        <f t="shared" si="16"/>
        <v>486.80142657393094</v>
      </c>
      <c r="J32" s="46">
        <f t="shared" si="16"/>
        <v>265.0230766626666</v>
      </c>
      <c r="K32" s="46">
        <f t="shared" si="16"/>
        <v>266.10281348251362</v>
      </c>
      <c r="L32" s="46">
        <f t="shared" si="16"/>
        <v>267.18694928381848</v>
      </c>
      <c r="M32" s="46">
        <f t="shared" si="16"/>
        <v>268.27550198857614</v>
      </c>
      <c r="N32" s="46">
        <f t="shared" si="16"/>
        <v>269.36848959179798</v>
      </c>
      <c r="O32" s="46">
        <f t="shared" si="16"/>
        <v>270.46593016180935</v>
      </c>
      <c r="P32" s="46">
        <f t="shared" si="16"/>
        <v>271.56784184054817</v>
      </c>
      <c r="Q32" s="46">
        <f t="shared" si="16"/>
        <v>305.88447931940743</v>
      </c>
      <c r="R32" s="46">
        <f t="shared" si="16"/>
        <v>307.13069055165153</v>
      </c>
      <c r="S32" s="46">
        <f t="shared" si="16"/>
        <v>270.03577900271637</v>
      </c>
      <c r="T32" s="46">
        <f t="shared" si="16"/>
        <v>271.13593819238736</v>
      </c>
      <c r="U32" s="46">
        <f t="shared" si="16"/>
        <v>272.24057956677876</v>
      </c>
      <c r="V32" s="46">
        <f t="shared" si="16"/>
        <v>160.60949003553338</v>
      </c>
      <c r="W32" s="46">
        <f t="shared" si="16"/>
        <v>161.26383297876677</v>
      </c>
      <c r="X32" s="46">
        <f t="shared" si="16"/>
        <v>161.92084179614787</v>
      </c>
      <c r="Y32" s="46">
        <f t="shared" si="16"/>
        <v>162.58052734877791</v>
      </c>
      <c r="Z32" s="46">
        <f t="shared" si="16"/>
        <v>163.24290054200765</v>
      </c>
      <c r="AA32" s="46">
        <f t="shared" si="16"/>
        <v>163.90797232561758</v>
      </c>
      <c r="AB32" s="46">
        <f t="shared" si="16"/>
        <v>164.57575369399896</v>
      </c>
      <c r="AC32" s="46">
        <f t="shared" si="16"/>
        <v>180.45649216187815</v>
      </c>
      <c r="AD32" s="46">
        <f t="shared" si="16"/>
        <v>181.19169424850861</v>
      </c>
      <c r="AE32" s="46">
        <f t="shared" si="16"/>
        <v>153.170241639446</v>
      </c>
      <c r="AF32" s="46">
        <f t="shared" si="16"/>
        <v>153.79427616385644</v>
      </c>
      <c r="AG32" s="46">
        <f t="shared" si="16"/>
        <v>154.4208530821646</v>
      </c>
      <c r="AH32" s="46">
        <f t="shared" si="16"/>
        <v>135.51324889152704</v>
      </c>
      <c r="AI32" s="46">
        <f t="shared" si="16"/>
        <v>136.06534664183548</v>
      </c>
      <c r="AJ32" s="46">
        <f t="shared" si="16"/>
        <v>136.61969370671935</v>
      </c>
      <c r="AK32" s="46">
        <f t="shared" ref="AK32:BP32" si="17">AK30+AK31+AK13-AK16</f>
        <v>137.17629925016465</v>
      </c>
      <c r="AL32" s="46">
        <f t="shared" si="17"/>
        <v>137.73517247349261</v>
      </c>
      <c r="AM32" s="46">
        <f t="shared" si="17"/>
        <v>138.29632261551177</v>
      </c>
      <c r="AN32" s="46">
        <f t="shared" si="17"/>
        <v>138.85975895267075</v>
      </c>
      <c r="AO32" s="46">
        <f t="shared" si="17"/>
        <v>142.63572727475412</v>
      </c>
      <c r="AP32" s="46">
        <f t="shared" si="17"/>
        <v>143.21684288364219</v>
      </c>
      <c r="AQ32" s="46">
        <f t="shared" si="17"/>
        <v>115.04067602945346</v>
      </c>
      <c r="AR32" s="46">
        <f t="shared" si="17"/>
        <v>115.50936598375205</v>
      </c>
      <c r="AS32" s="46">
        <f t="shared" si="17"/>
        <v>115.9799654389406</v>
      </c>
      <c r="AT32" s="46">
        <f t="shared" si="17"/>
        <v>95.938911620647673</v>
      </c>
      <c r="AU32" s="46">
        <f t="shared" si="17"/>
        <v>96.329778622258686</v>
      </c>
      <c r="AV32" s="46">
        <f t="shared" si="17"/>
        <v>96.722238064417212</v>
      </c>
      <c r="AW32" s="46">
        <f t="shared" si="17"/>
        <v>97.116296434923157</v>
      </c>
      <c r="AX32" s="46">
        <f t="shared" si="17"/>
        <v>97.511960248008521</v>
      </c>
      <c r="AY32" s="46">
        <f t="shared" si="17"/>
        <v>97.909236044445109</v>
      </c>
      <c r="AZ32" s="46">
        <f t="shared" si="17"/>
        <v>98.308130391652625</v>
      </c>
      <c r="BA32" s="46">
        <f t="shared" si="17"/>
        <v>95.91888635934987</v>
      </c>
      <c r="BB32" s="46">
        <f t="shared" si="17"/>
        <v>96.309671775567566</v>
      </c>
      <c r="BC32" s="46">
        <f t="shared" si="17"/>
        <v>77.528949299943761</v>
      </c>
      <c r="BD32" s="46">
        <f t="shared" si="17"/>
        <v>77.844811836207924</v>
      </c>
      <c r="BE32" s="46">
        <f t="shared" si="17"/>
        <v>78.161961235543444</v>
      </c>
      <c r="BF32" s="46">
        <f t="shared" si="17"/>
        <v>56.941153659179633</v>
      </c>
      <c r="BG32" s="46">
        <f t="shared" si="17"/>
        <v>57.173138967570871</v>
      </c>
      <c r="BH32" s="46">
        <f t="shared" si="17"/>
        <v>57.406069412824486</v>
      </c>
      <c r="BI32" s="46">
        <f t="shared" si="17"/>
        <v>57.639948845545042</v>
      </c>
      <c r="BJ32" s="46">
        <f t="shared" si="17"/>
        <v>57.87478113202495</v>
      </c>
      <c r="BK32" s="46">
        <f t="shared" si="17"/>
        <v>58.110570154308377</v>
      </c>
      <c r="BL32" s="46">
        <f t="shared" si="17"/>
        <v>58.347319810255414</v>
      </c>
      <c r="BM32" s="32"/>
      <c r="BN32" s="32"/>
    </row>
    <row r="33" spans="1:66" ht="20" customHeight="1">
      <c r="A33" s="30"/>
      <c r="B33" s="30"/>
      <c r="C33" s="31"/>
      <c r="D33" s="31"/>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row>
    <row r="34" spans="1:66" ht="20" customHeight="1">
      <c r="A34" s="30"/>
      <c r="B34" s="30"/>
      <c r="C34" s="31" t="s">
        <v>277</v>
      </c>
      <c r="D34" s="31"/>
      <c r="E34" s="35">
        <f>Historical!G74</f>
        <v>67.935000000000002</v>
      </c>
      <c r="F34" s="46">
        <f t="shared" ref="F34:AK34" si="18">E36</f>
        <v>68.211775599242159</v>
      </c>
      <c r="G34" s="46">
        <f t="shared" si="18"/>
        <v>82.503284258712782</v>
      </c>
      <c r="H34" s="46">
        <f t="shared" si="18"/>
        <v>82.839412851340299</v>
      </c>
      <c r="I34" s="46">
        <f t="shared" si="18"/>
        <v>83.176910873461409</v>
      </c>
      <c r="J34" s="46">
        <f t="shared" si="18"/>
        <v>83.515783904301372</v>
      </c>
      <c r="K34" s="46">
        <f t="shared" si="18"/>
        <v>58.216117339231815</v>
      </c>
      <c r="L34" s="46">
        <f t="shared" si="18"/>
        <v>58.453297007475243</v>
      </c>
      <c r="M34" s="46">
        <f t="shared" si="18"/>
        <v>58.691442975046058</v>
      </c>
      <c r="N34" s="46">
        <f t="shared" si="18"/>
        <v>58.930559178767332</v>
      </c>
      <c r="O34" s="46">
        <f t="shared" si="18"/>
        <v>59.170649571501244</v>
      </c>
      <c r="P34" s="46">
        <f t="shared" si="18"/>
        <v>59.411718122214417</v>
      </c>
      <c r="Q34" s="46">
        <f t="shared" si="18"/>
        <v>59.653768816043545</v>
      </c>
      <c r="R34" s="46">
        <f t="shared" si="18"/>
        <v>59.896805654361252</v>
      </c>
      <c r="S34" s="46">
        <f t="shared" si="18"/>
        <v>74.496841725137031</v>
      </c>
      <c r="T34" s="46">
        <f t="shared" si="18"/>
        <v>74.800351079816096</v>
      </c>
      <c r="U34" s="46">
        <f t="shared" si="18"/>
        <v>75.105096969175619</v>
      </c>
      <c r="V34" s="46">
        <f t="shared" si="18"/>
        <v>75.411084431010948</v>
      </c>
      <c r="W34" s="46">
        <f t="shared" si="18"/>
        <v>52.632630117111773</v>
      </c>
      <c r="X34" s="46">
        <f t="shared" si="18"/>
        <v>52.847061967267862</v>
      </c>
      <c r="Y34" s="46">
        <f t="shared" si="18"/>
        <v>53.062367439324646</v>
      </c>
      <c r="Z34" s="46">
        <f t="shared" si="18"/>
        <v>53.27855009252589</v>
      </c>
      <c r="AA34" s="46">
        <f t="shared" si="18"/>
        <v>53.495613500616152</v>
      </c>
      <c r="AB34" s="46">
        <f t="shared" si="18"/>
        <v>53.713561251899868</v>
      </c>
      <c r="AC34" s="46">
        <f t="shared" si="18"/>
        <v>53.932396949300689</v>
      </c>
      <c r="AD34" s="46">
        <f t="shared" si="18"/>
        <v>54.152124210421</v>
      </c>
      <c r="AE34" s="46">
        <f t="shared" si="18"/>
        <v>56.728755737896535</v>
      </c>
      <c r="AF34" s="46">
        <f t="shared" si="18"/>
        <v>56.959875710865077</v>
      </c>
      <c r="AG34" s="46">
        <f t="shared" si="18"/>
        <v>57.191937295212369</v>
      </c>
      <c r="AH34" s="46">
        <f t="shared" si="18"/>
        <v>57.424944327179716</v>
      </c>
      <c r="AI34" s="46">
        <f t="shared" si="18"/>
        <v>33.418927831780977</v>
      </c>
      <c r="AJ34" s="46">
        <f t="shared" si="18"/>
        <v>33.555080680484465</v>
      </c>
      <c r="AK34" s="46">
        <f t="shared" si="18"/>
        <v>33.691788232747065</v>
      </c>
      <c r="AL34" s="46">
        <f t="shared" ref="AL34:BL34" si="19">AK36</f>
        <v>33.829052748499741</v>
      </c>
      <c r="AM34" s="46">
        <f t="shared" si="19"/>
        <v>33.966876496880701</v>
      </c>
      <c r="AN34" s="46">
        <f t="shared" si="19"/>
        <v>34.105261756272888</v>
      </c>
      <c r="AO34" s="46">
        <f t="shared" si="19"/>
        <v>34.24421081434167</v>
      </c>
      <c r="AP34" s="46">
        <f t="shared" si="19"/>
        <v>34.383725968072646</v>
      </c>
      <c r="AQ34" s="46">
        <f t="shared" si="19"/>
        <v>32.879818594104393</v>
      </c>
      <c r="AR34" s="46">
        <f t="shared" si="19"/>
        <v>33.013775045040674</v>
      </c>
      <c r="AS34" s="46">
        <f t="shared" si="19"/>
        <v>33.148277251139689</v>
      </c>
      <c r="AT34" s="46">
        <f t="shared" si="19"/>
        <v>33.283327435875528</v>
      </c>
      <c r="AU34" s="46">
        <f t="shared" si="19"/>
        <v>33.418927831780984</v>
      </c>
      <c r="AV34" s="46">
        <f t="shared" si="19"/>
        <v>33.555080680484473</v>
      </c>
      <c r="AW34" s="46">
        <f t="shared" si="19"/>
        <v>33.691788232747072</v>
      </c>
      <c r="AX34" s="46">
        <f t="shared" si="19"/>
        <v>33.829052748499748</v>
      </c>
      <c r="AY34" s="46">
        <f t="shared" si="19"/>
        <v>33.966876496880708</v>
      </c>
      <c r="AZ34" s="46">
        <f t="shared" si="19"/>
        <v>34.105261756272895</v>
      </c>
      <c r="BA34" s="46">
        <f t="shared" si="19"/>
        <v>34.244210814341677</v>
      </c>
      <c r="BB34" s="46">
        <f t="shared" si="19"/>
        <v>34.383725968072653</v>
      </c>
      <c r="BC34" s="46">
        <f t="shared" si="19"/>
        <v>32.879818594104407</v>
      </c>
      <c r="BD34" s="46">
        <f t="shared" si="19"/>
        <v>33.013775045040688</v>
      </c>
      <c r="BE34" s="46">
        <f t="shared" si="19"/>
        <v>33.148277251139703</v>
      </c>
      <c r="BF34" s="46">
        <f t="shared" si="19"/>
        <v>33.283327435875542</v>
      </c>
      <c r="BG34" s="46">
        <f t="shared" si="19"/>
        <v>33.418927831780998</v>
      </c>
      <c r="BH34" s="46">
        <f t="shared" si="19"/>
        <v>33.555080680484487</v>
      </c>
      <c r="BI34" s="46">
        <f t="shared" si="19"/>
        <v>33.691788232747086</v>
      </c>
      <c r="BJ34" s="46">
        <f t="shared" si="19"/>
        <v>33.829052748499763</v>
      </c>
      <c r="BK34" s="46">
        <f t="shared" si="19"/>
        <v>33.966876496880722</v>
      </c>
      <c r="BL34" s="46">
        <f t="shared" si="19"/>
        <v>34.10526175627291</v>
      </c>
      <c r="BM34" s="32"/>
      <c r="BN34" s="32"/>
    </row>
    <row r="35" spans="1:66" ht="20" customHeight="1">
      <c r="A35" s="30"/>
      <c r="B35" s="30"/>
      <c r="C35" s="31" t="s">
        <v>278</v>
      </c>
      <c r="D35" s="31"/>
      <c r="E35" s="35">
        <f>E34*((1+Assumptions!E93)^(1/12)-1)</f>
        <v>0.27677559924215089</v>
      </c>
      <c r="F35" s="35">
        <f>F34*((1+Assumptions!E93)^(1/12)-1)</f>
        <v>0.27790321729375689</v>
      </c>
      <c r="G35" s="35">
        <f>G34*((1+Assumptions!E93)^(1/12)-1)</f>
        <v>0.33612859262752254</v>
      </c>
      <c r="H35" s="35">
        <f>H34*((1+Assumptions!E93)^(1/12)-1)</f>
        <v>0.33749802212111057</v>
      </c>
      <c r="I35" s="35">
        <f>I34*((1+Assumptions!E93)^(1/12)-1)</f>
        <v>0.33887303083996845</v>
      </c>
      <c r="J35" s="35">
        <f>J34*((1+Assumptions!E93)^(1/12)-1)</f>
        <v>0.34025364151455056</v>
      </c>
      <c r="K35" s="35">
        <f>K34*((1+Assumptions!E93)^(1/12)-1)</f>
        <v>0.23717966824342765</v>
      </c>
      <c r="L35" s="35">
        <f>L34*((1+Assumptions!E93)^(1/12)-1)</f>
        <v>0.23814596757081602</v>
      </c>
      <c r="M35" s="35">
        <f>M34*((1+Assumptions!E93)^(1/12)-1)</f>
        <v>0.23911620372127623</v>
      </c>
      <c r="N35" s="35">
        <f>N34*((1+Assumptions!E93)^(1/12)-1)</f>
        <v>0.24009039273391278</v>
      </c>
      <c r="O35" s="35">
        <f>O34*((1+Assumptions!E93)^(1/12)-1)</f>
        <v>0.24106855071317548</v>
      </c>
      <c r="P35" s="35">
        <f>P34*((1+Assumptions!E93)^(1/12)-1)</f>
        <v>0.24205069382912564</v>
      </c>
      <c r="Q35" s="35">
        <f>Q34*((1+Assumptions!F93)^(1/12)-1)</f>
        <v>0.24303683831770348</v>
      </c>
      <c r="R35" s="35">
        <f>R34*((1+Assumptions!F93)^(1/12)-1)</f>
        <v>0.24402700048099635</v>
      </c>
      <c r="S35" s="35">
        <f>S34*((1+Assumptions!F93)^(1/12)-1)</f>
        <v>0.30350935467906781</v>
      </c>
      <c r="T35" s="35">
        <f>T34*((1+Assumptions!F93)^(1/12)-1)</f>
        <v>0.30474588935952557</v>
      </c>
      <c r="U35" s="35">
        <f>U34*((1+Assumptions!F93)^(1/12)-1)</f>
        <v>0.30598746183533426</v>
      </c>
      <c r="V35" s="35">
        <f>V34*((1+Assumptions!F93)^(1/12)-1)</f>
        <v>0.30723409263109575</v>
      </c>
      <c r="W35" s="35">
        <f>W34*((1+Assumptions!F93)^(1/12)-1)</f>
        <v>0.2144318501560917</v>
      </c>
      <c r="X35" s="35">
        <f>X34*((1+Assumptions!F93)^(1/12)-1)</f>
        <v>0.21530547205678435</v>
      </c>
      <c r="Y35" s="35">
        <f>Y34*((1+Assumptions!F93)^(1/12)-1)</f>
        <v>0.21618265320124053</v>
      </c>
      <c r="Z35" s="35">
        <f>Z34*((1+Assumptions!F93)^(1/12)-1)</f>
        <v>0.21706340809025992</v>
      </c>
      <c r="AA35" s="35">
        <f>AA34*((1+Assumptions!F93)^(1/12)-1)</f>
        <v>0.21794775128372021</v>
      </c>
      <c r="AB35" s="35">
        <f>AB34*((1+Assumptions!F93)^(1/12)-1)</f>
        <v>0.21883569740081787</v>
      </c>
      <c r="AC35" s="35">
        <f>AC34*((1+Assumptions!G93)^(1/12)-1)</f>
        <v>0.21972726112030982</v>
      </c>
      <c r="AD35" s="35">
        <f>AD34*((1+Assumptions!G93)^(1/12)-1)</f>
        <v>0.22062245718075602</v>
      </c>
      <c r="AE35" s="35">
        <f>AE34*((1+Assumptions!G93)^(1/12)-1)</f>
        <v>0.23111997296854228</v>
      </c>
      <c r="AF35" s="35">
        <f>AF34*((1+Assumptions!G93)^(1/12)-1)</f>
        <v>0.23206158434728957</v>
      </c>
      <c r="AG35" s="35">
        <f>AG34*((1+Assumptions!G93)^(1/12)-1)</f>
        <v>0.23300703196735001</v>
      </c>
      <c r="AH35" s="35">
        <f>AH34*((1+Assumptions!G93)^(1/12)-1)</f>
        <v>0.23395633145804548</v>
      </c>
      <c r="AI35" s="35">
        <f>AI34*((1+Assumptions!G93)^(1/12)-1)</f>
        <v>0.13615284870348679</v>
      </c>
      <c r="AJ35" s="35">
        <f>AJ34*((1+Assumptions!G93)^(1/12)-1)</f>
        <v>0.13670755226260115</v>
      </c>
      <c r="AK35" s="35">
        <f>AK34*((1+Assumptions!G93)^(1/12)-1)</f>
        <v>0.13726451575267853</v>
      </c>
      <c r="AL35" s="35">
        <f>AL34*((1+Assumptions!G93)^(1/12)-1)</f>
        <v>0.13782374838095748</v>
      </c>
      <c r="AM35" s="35">
        <f>AM34*((1+Assumptions!G93)^(1/12)-1)</f>
        <v>0.13838525939218793</v>
      </c>
      <c r="AN35" s="35">
        <f>AN34*((1+Assumptions!G93)^(1/12)-1)</f>
        <v>0.13894905806878399</v>
      </c>
      <c r="AO35" s="35">
        <f>AO34*((1+Assumptions!H93)^(1/12)-1)</f>
        <v>0.13951515373097756</v>
      </c>
      <c r="AP35" s="35">
        <f>AP34*((1+Assumptions!H93)^(1/12)-1)</f>
        <v>0.14008355573697229</v>
      </c>
      <c r="AQ35" s="35">
        <f>AQ34*((1+Assumptions!H93)^(1/12)-1)</f>
        <v>0.13395645093628408</v>
      </c>
      <c r="AR35" s="35">
        <f>AR34*((1+Assumptions!H93)^(1/12)-1)</f>
        <v>0.1345022060990167</v>
      </c>
      <c r="AS35" s="35">
        <f>AS34*((1+Assumptions!H93)^(1/12)-1)</f>
        <v>0.13505018473583788</v>
      </c>
      <c r="AT35" s="35">
        <f>AT34*((1+Assumptions!H93)^(1/12)-1)</f>
        <v>0.13560039590545625</v>
      </c>
      <c r="AU35" s="35">
        <f>AU34*((1+Assumptions!H93)^(1/12)-1)</f>
        <v>0.13615284870348682</v>
      </c>
      <c r="AV35" s="35">
        <f>AV34*((1+Assumptions!H93)^(1/12)-1)</f>
        <v>0.13670755226260117</v>
      </c>
      <c r="AW35" s="35">
        <f>AW34*((1+Assumptions!H93)^(1/12)-1)</f>
        <v>0.13726451575267856</v>
      </c>
      <c r="AX35" s="35">
        <f>AX34*((1+Assumptions!H93)^(1/12)-1)</f>
        <v>0.13782374838095754</v>
      </c>
      <c r="AY35" s="35">
        <f>AY34*((1+Assumptions!H93)^(1/12)-1)</f>
        <v>0.13838525939218796</v>
      </c>
      <c r="AZ35" s="35">
        <f>AZ34*((1+Assumptions!H93)^(1/12)-1)</f>
        <v>0.13894905806878402</v>
      </c>
      <c r="BA35" s="35">
        <f>BA34*((1+Assumptions!I93)^(1/12)-1)</f>
        <v>0.13951515373097759</v>
      </c>
      <c r="BB35" s="35">
        <f>BB34*((1+Assumptions!I93)^(1/12)-1)</f>
        <v>0.14008355573697231</v>
      </c>
      <c r="BC35" s="35">
        <f>BC34*((1+Assumptions!I93)^(1/12)-1)</f>
        <v>0.13395645093628414</v>
      </c>
      <c r="BD35" s="35">
        <f>BD34*((1+Assumptions!I93)^(1/12)-1)</f>
        <v>0.13450220609901675</v>
      </c>
      <c r="BE35" s="35">
        <f>BE34*((1+Assumptions!I93)^(1/12)-1)</f>
        <v>0.13505018473583794</v>
      </c>
      <c r="BF35" s="35">
        <f>BF34*((1+Assumptions!I93)^(1/12)-1)</f>
        <v>0.13560039590545631</v>
      </c>
      <c r="BG35" s="35">
        <f>BG34*((1+Assumptions!I93)^(1/12)-1)</f>
        <v>0.13615284870348687</v>
      </c>
      <c r="BH35" s="35">
        <f>BH34*((1+Assumptions!I93)^(1/12)-1)</f>
        <v>0.13670755226260123</v>
      </c>
      <c r="BI35" s="35">
        <f>BI34*((1+Assumptions!I93)^(1/12)-1)</f>
        <v>0.13726451575267865</v>
      </c>
      <c r="BJ35" s="35">
        <f>BJ34*((1+Assumptions!I93)^(1/12)-1)</f>
        <v>0.13782374838095759</v>
      </c>
      <c r="BK35" s="35">
        <f>BK34*((1+Assumptions!I93)^(1/12)-1)</f>
        <v>0.13838525939218801</v>
      </c>
      <c r="BL35" s="35">
        <f>BL34*((1+Assumptions!I93)^(1/12)-1)</f>
        <v>0.13894905806878408</v>
      </c>
      <c r="BM35" s="32"/>
      <c r="BN35" s="32"/>
    </row>
    <row r="36" spans="1:66" ht="20" customHeight="1">
      <c r="A36" s="30"/>
      <c r="B36" s="30"/>
      <c r="C36" s="31" t="s">
        <v>279</v>
      </c>
      <c r="D36" s="31"/>
      <c r="E36" s="46">
        <f t="shared" ref="E36:AJ36" si="20">E34+E35+E22-E28</f>
        <v>68.211775599242159</v>
      </c>
      <c r="F36" s="46">
        <f t="shared" si="20"/>
        <v>82.503284258712782</v>
      </c>
      <c r="G36" s="46">
        <f t="shared" si="20"/>
        <v>82.839412851340299</v>
      </c>
      <c r="H36" s="46">
        <f t="shared" si="20"/>
        <v>83.176910873461409</v>
      </c>
      <c r="I36" s="46">
        <f t="shared" si="20"/>
        <v>83.515783904301372</v>
      </c>
      <c r="J36" s="46">
        <f t="shared" si="20"/>
        <v>58.216117339231815</v>
      </c>
      <c r="K36" s="46">
        <f t="shared" si="20"/>
        <v>58.453297007475243</v>
      </c>
      <c r="L36" s="46">
        <f t="shared" si="20"/>
        <v>58.691442975046058</v>
      </c>
      <c r="M36" s="46">
        <f t="shared" si="20"/>
        <v>58.930559178767332</v>
      </c>
      <c r="N36" s="46">
        <f t="shared" si="20"/>
        <v>59.170649571501244</v>
      </c>
      <c r="O36" s="46">
        <f t="shared" si="20"/>
        <v>59.411718122214417</v>
      </c>
      <c r="P36" s="46">
        <f t="shared" si="20"/>
        <v>59.653768816043545</v>
      </c>
      <c r="Q36" s="46">
        <f t="shared" si="20"/>
        <v>59.896805654361252</v>
      </c>
      <c r="R36" s="46">
        <f t="shared" si="20"/>
        <v>74.496841725137031</v>
      </c>
      <c r="S36" s="46">
        <f t="shared" si="20"/>
        <v>74.800351079816096</v>
      </c>
      <c r="T36" s="46">
        <f t="shared" si="20"/>
        <v>75.105096969175619</v>
      </c>
      <c r="U36" s="46">
        <f t="shared" si="20"/>
        <v>75.411084431010948</v>
      </c>
      <c r="V36" s="46">
        <f t="shared" si="20"/>
        <v>52.632630117111773</v>
      </c>
      <c r="W36" s="46">
        <f t="shared" si="20"/>
        <v>52.847061967267862</v>
      </c>
      <c r="X36" s="46">
        <f t="shared" si="20"/>
        <v>53.062367439324646</v>
      </c>
      <c r="Y36" s="46">
        <f t="shared" si="20"/>
        <v>53.27855009252589</v>
      </c>
      <c r="Z36" s="46">
        <f t="shared" si="20"/>
        <v>53.495613500616152</v>
      </c>
      <c r="AA36" s="46">
        <f t="shared" si="20"/>
        <v>53.713561251899868</v>
      </c>
      <c r="AB36" s="46">
        <f t="shared" si="20"/>
        <v>53.932396949300689</v>
      </c>
      <c r="AC36" s="46">
        <f t="shared" si="20"/>
        <v>54.152124210421</v>
      </c>
      <c r="AD36" s="46">
        <f t="shared" si="20"/>
        <v>56.728755737896535</v>
      </c>
      <c r="AE36" s="46">
        <f t="shared" si="20"/>
        <v>56.959875710865077</v>
      </c>
      <c r="AF36" s="46">
        <f t="shared" si="20"/>
        <v>57.191937295212369</v>
      </c>
      <c r="AG36" s="46">
        <f t="shared" si="20"/>
        <v>57.424944327179716</v>
      </c>
      <c r="AH36" s="46">
        <f t="shared" si="20"/>
        <v>33.418927831780977</v>
      </c>
      <c r="AI36" s="46">
        <f t="shared" si="20"/>
        <v>33.555080680484465</v>
      </c>
      <c r="AJ36" s="46">
        <f t="shared" si="20"/>
        <v>33.691788232747065</v>
      </c>
      <c r="AK36" s="46">
        <f t="shared" ref="AK36:BP36" si="21">AK34+AK35+AK22-AK28</f>
        <v>33.829052748499741</v>
      </c>
      <c r="AL36" s="46">
        <f t="shared" si="21"/>
        <v>33.966876496880701</v>
      </c>
      <c r="AM36" s="46">
        <f t="shared" si="21"/>
        <v>34.105261756272888</v>
      </c>
      <c r="AN36" s="46">
        <f t="shared" si="21"/>
        <v>34.24421081434167</v>
      </c>
      <c r="AO36" s="46">
        <f t="shared" si="21"/>
        <v>34.383725968072646</v>
      </c>
      <c r="AP36" s="46">
        <f t="shared" si="21"/>
        <v>32.879818594104393</v>
      </c>
      <c r="AQ36" s="46">
        <f t="shared" si="21"/>
        <v>33.013775045040674</v>
      </c>
      <c r="AR36" s="46">
        <f t="shared" si="21"/>
        <v>33.148277251139689</v>
      </c>
      <c r="AS36" s="46">
        <f t="shared" si="21"/>
        <v>33.283327435875528</v>
      </c>
      <c r="AT36" s="46">
        <f t="shared" si="21"/>
        <v>33.418927831780984</v>
      </c>
      <c r="AU36" s="46">
        <f t="shared" si="21"/>
        <v>33.555080680484473</v>
      </c>
      <c r="AV36" s="46">
        <f t="shared" si="21"/>
        <v>33.691788232747072</v>
      </c>
      <c r="AW36" s="46">
        <f t="shared" si="21"/>
        <v>33.829052748499748</v>
      </c>
      <c r="AX36" s="46">
        <f t="shared" si="21"/>
        <v>33.966876496880708</v>
      </c>
      <c r="AY36" s="46">
        <f t="shared" si="21"/>
        <v>34.105261756272895</v>
      </c>
      <c r="AZ36" s="46">
        <f t="shared" si="21"/>
        <v>34.244210814341677</v>
      </c>
      <c r="BA36" s="46">
        <f t="shared" si="21"/>
        <v>34.383725968072653</v>
      </c>
      <c r="BB36" s="46">
        <f t="shared" si="21"/>
        <v>32.879818594104407</v>
      </c>
      <c r="BC36" s="46">
        <f t="shared" si="21"/>
        <v>33.013775045040688</v>
      </c>
      <c r="BD36" s="46">
        <f t="shared" si="21"/>
        <v>33.148277251139703</v>
      </c>
      <c r="BE36" s="46">
        <f t="shared" si="21"/>
        <v>33.283327435875542</v>
      </c>
      <c r="BF36" s="46">
        <f t="shared" si="21"/>
        <v>33.418927831780998</v>
      </c>
      <c r="BG36" s="46">
        <f t="shared" si="21"/>
        <v>33.555080680484487</v>
      </c>
      <c r="BH36" s="46">
        <f t="shared" si="21"/>
        <v>33.691788232747086</v>
      </c>
      <c r="BI36" s="46">
        <f t="shared" si="21"/>
        <v>33.829052748499763</v>
      </c>
      <c r="BJ36" s="46">
        <f t="shared" si="21"/>
        <v>33.966876496880722</v>
      </c>
      <c r="BK36" s="46">
        <f t="shared" si="21"/>
        <v>34.10526175627291</v>
      </c>
      <c r="BL36" s="46">
        <f t="shared" si="21"/>
        <v>34.244210814341692</v>
      </c>
      <c r="BM36" s="32"/>
      <c r="BN36" s="32"/>
    </row>
    <row r="37" spans="1:66" ht="20" customHeight="1">
      <c r="A37" s="30"/>
      <c r="B37" s="30"/>
      <c r="C37" s="31"/>
      <c r="D37" s="31"/>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row>
    <row r="38" spans="1:66" ht="20" customHeight="1">
      <c r="A38" s="30"/>
      <c r="B38" s="30"/>
      <c r="C38" s="31" t="s">
        <v>280</v>
      </c>
      <c r="D38" s="31"/>
      <c r="E38" s="46">
        <f t="shared" ref="E38:AJ38" si="22">E23-E24</f>
        <v>0</v>
      </c>
      <c r="F38" s="46">
        <f t="shared" si="22"/>
        <v>0</v>
      </c>
      <c r="G38" s="46">
        <f t="shared" si="22"/>
        <v>0</v>
      </c>
      <c r="H38" s="46">
        <f t="shared" si="22"/>
        <v>0</v>
      </c>
      <c r="I38" s="46">
        <f t="shared" si="22"/>
        <v>0</v>
      </c>
      <c r="J38" s="46">
        <f t="shared" si="22"/>
        <v>0</v>
      </c>
      <c r="K38" s="46">
        <f t="shared" si="22"/>
        <v>0</v>
      </c>
      <c r="L38" s="46">
        <f t="shared" si="22"/>
        <v>0</v>
      </c>
      <c r="M38" s="46">
        <f t="shared" si="22"/>
        <v>0</v>
      </c>
      <c r="N38" s="46">
        <f t="shared" si="22"/>
        <v>0</v>
      </c>
      <c r="O38" s="46">
        <f t="shared" si="22"/>
        <v>0</v>
      </c>
      <c r="P38" s="46">
        <f t="shared" si="22"/>
        <v>0</v>
      </c>
      <c r="Q38" s="46">
        <f t="shared" si="22"/>
        <v>0</v>
      </c>
      <c r="R38" s="46">
        <f t="shared" si="22"/>
        <v>0</v>
      </c>
      <c r="S38" s="46">
        <f t="shared" si="22"/>
        <v>0</v>
      </c>
      <c r="T38" s="46">
        <f t="shared" si="22"/>
        <v>0</v>
      </c>
      <c r="U38" s="46">
        <f t="shared" si="22"/>
        <v>0</v>
      </c>
      <c r="V38" s="46">
        <f t="shared" si="22"/>
        <v>0</v>
      </c>
      <c r="W38" s="46">
        <f t="shared" si="22"/>
        <v>0</v>
      </c>
      <c r="X38" s="46">
        <f t="shared" si="22"/>
        <v>0</v>
      </c>
      <c r="Y38" s="46">
        <f t="shared" si="22"/>
        <v>0</v>
      </c>
      <c r="Z38" s="46">
        <f t="shared" si="22"/>
        <v>0</v>
      </c>
      <c r="AA38" s="46">
        <f t="shared" si="22"/>
        <v>0</v>
      </c>
      <c r="AB38" s="46">
        <f t="shared" si="22"/>
        <v>0</v>
      </c>
      <c r="AC38" s="46">
        <f t="shared" si="22"/>
        <v>0</v>
      </c>
      <c r="AD38" s="46">
        <f t="shared" si="22"/>
        <v>0</v>
      </c>
      <c r="AE38" s="46">
        <f t="shared" si="22"/>
        <v>0</v>
      </c>
      <c r="AF38" s="46">
        <f t="shared" si="22"/>
        <v>0</v>
      </c>
      <c r="AG38" s="46">
        <f t="shared" si="22"/>
        <v>0</v>
      </c>
      <c r="AH38" s="46">
        <f t="shared" si="22"/>
        <v>0</v>
      </c>
      <c r="AI38" s="46">
        <f t="shared" si="22"/>
        <v>0</v>
      </c>
      <c r="AJ38" s="46">
        <f t="shared" si="22"/>
        <v>0</v>
      </c>
      <c r="AK38" s="46">
        <f t="shared" ref="AK38:BL38" si="23">AK23-AK24</f>
        <v>0</v>
      </c>
      <c r="AL38" s="46">
        <f t="shared" si="23"/>
        <v>0</v>
      </c>
      <c r="AM38" s="46">
        <f t="shared" si="23"/>
        <v>0</v>
      </c>
      <c r="AN38" s="46">
        <f t="shared" si="23"/>
        <v>0</v>
      </c>
      <c r="AO38" s="46">
        <f t="shared" si="23"/>
        <v>0</v>
      </c>
      <c r="AP38" s="46">
        <f t="shared" si="23"/>
        <v>0</v>
      </c>
      <c r="AQ38" s="46">
        <f t="shared" si="23"/>
        <v>0</v>
      </c>
      <c r="AR38" s="46">
        <f t="shared" si="23"/>
        <v>0</v>
      </c>
      <c r="AS38" s="46">
        <f t="shared" si="23"/>
        <v>0</v>
      </c>
      <c r="AT38" s="46">
        <f t="shared" si="23"/>
        <v>0</v>
      </c>
      <c r="AU38" s="46">
        <f t="shared" si="23"/>
        <v>0</v>
      </c>
      <c r="AV38" s="46">
        <f t="shared" si="23"/>
        <v>0</v>
      </c>
      <c r="AW38" s="46">
        <f t="shared" si="23"/>
        <v>0</v>
      </c>
      <c r="AX38" s="46">
        <f t="shared" si="23"/>
        <v>0</v>
      </c>
      <c r="AY38" s="46">
        <f t="shared" si="23"/>
        <v>0</v>
      </c>
      <c r="AZ38" s="46">
        <f t="shared" si="23"/>
        <v>0</v>
      </c>
      <c r="BA38" s="46">
        <f t="shared" si="23"/>
        <v>0</v>
      </c>
      <c r="BB38" s="46">
        <f t="shared" si="23"/>
        <v>0</v>
      </c>
      <c r="BC38" s="46">
        <f t="shared" si="23"/>
        <v>0</v>
      </c>
      <c r="BD38" s="46">
        <f t="shared" si="23"/>
        <v>0</v>
      </c>
      <c r="BE38" s="46">
        <f t="shared" si="23"/>
        <v>0</v>
      </c>
      <c r="BF38" s="46">
        <f t="shared" si="23"/>
        <v>0</v>
      </c>
      <c r="BG38" s="46">
        <f t="shared" si="23"/>
        <v>0</v>
      </c>
      <c r="BH38" s="46">
        <f t="shared" si="23"/>
        <v>0</v>
      </c>
      <c r="BI38" s="46">
        <f t="shared" si="23"/>
        <v>0</v>
      </c>
      <c r="BJ38" s="46">
        <f t="shared" si="23"/>
        <v>0</v>
      </c>
      <c r="BK38" s="46">
        <f t="shared" si="23"/>
        <v>0</v>
      </c>
      <c r="BL38" s="46">
        <f t="shared" si="23"/>
        <v>0</v>
      </c>
      <c r="BM38" s="32"/>
      <c r="BN38" s="32"/>
    </row>
    <row r="39" spans="1:66" ht="20" customHeight="1">
      <c r="A39" s="30"/>
      <c r="B39" s="30"/>
      <c r="C39" s="31"/>
      <c r="D39" s="31"/>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row>
    <row r="40" spans="1:66" ht="20" customHeight="1">
      <c r="A40" s="30"/>
      <c r="B40" s="30"/>
      <c r="C40" s="31"/>
      <c r="D40" s="31"/>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row>
    <row r="41" spans="1:66" ht="20" customHeight="1">
      <c r="A41" s="30"/>
      <c r="B41" s="30"/>
      <c r="C41" s="31"/>
      <c r="D41" s="31"/>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row>
    <row r="42" spans="1:66" ht="20" customHeight="1">
      <c r="A42" s="30"/>
      <c r="B42" s="30"/>
      <c r="C42" s="31"/>
      <c r="D42" s="31"/>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row>
    <row r="43" spans="1:66" ht="20" customHeight="1">
      <c r="A43" s="30"/>
      <c r="B43" s="30"/>
      <c r="C43" s="31"/>
      <c r="D43" s="31"/>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row>
    <row r="44" spans="1:66" ht="20" customHeight="1">
      <c r="A44" s="30"/>
      <c r="B44" s="30"/>
      <c r="C44" s="31"/>
      <c r="D44" s="31"/>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row>
    <row r="45" spans="1:66" ht="20" customHeight="1">
      <c r="A45" s="30"/>
      <c r="B45" s="30"/>
      <c r="C45" s="31"/>
      <c r="D45" s="31"/>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row>
    <row r="46" spans="1:66" ht="20" customHeight="1">
      <c r="A46" s="30"/>
      <c r="B46" s="30"/>
      <c r="C46" s="31"/>
      <c r="D46" s="31"/>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row>
    <row r="47" spans="1:66" ht="20" customHeight="1">
      <c r="A47" s="30"/>
      <c r="B47" s="30"/>
      <c r="C47" s="31"/>
      <c r="D47" s="31"/>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row>
    <row r="48" spans="1:66" ht="20" customHeight="1">
      <c r="A48" s="30"/>
      <c r="B48" s="30"/>
      <c r="C48" s="31"/>
      <c r="D48" s="31"/>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row>
    <row r="49" spans="1:66" ht="20" customHeight="1">
      <c r="A49" s="30"/>
      <c r="B49" s="30"/>
      <c r="C49" s="31"/>
      <c r="D49" s="31"/>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row>
    <row r="50" spans="1:66" ht="20" customHeight="1">
      <c r="A50" s="30"/>
      <c r="B50" s="30"/>
      <c r="C50" s="31"/>
      <c r="D50" s="31"/>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row>
    <row r="51" spans="1:66" ht="20" customHeight="1">
      <c r="A51" s="30"/>
      <c r="B51" s="30"/>
      <c r="C51" s="31"/>
      <c r="D51" s="31"/>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row>
    <row r="52" spans="1:66" ht="20" customHeight="1">
      <c r="A52" s="30"/>
      <c r="B52" s="30"/>
      <c r="C52" s="31"/>
      <c r="D52" s="31"/>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row>
    <row r="53" spans="1:66" ht="20" customHeight="1">
      <c r="A53" s="30"/>
      <c r="B53" s="30"/>
      <c r="C53" s="31"/>
      <c r="D53" s="31"/>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row>
    <row r="54" spans="1:66" ht="20" customHeight="1">
      <c r="A54" s="30"/>
      <c r="B54" s="30"/>
      <c r="C54" s="31"/>
      <c r="D54" s="31"/>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row>
    <row r="55" spans="1:66" ht="20" customHeight="1">
      <c r="A55" s="30"/>
      <c r="B55" s="30"/>
      <c r="C55" s="31"/>
      <c r="D55" s="31"/>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row>
    <row r="56" spans="1:66" ht="20" customHeight="1">
      <c r="A56" s="30"/>
      <c r="B56" s="30"/>
      <c r="C56" s="31"/>
      <c r="D56" s="31"/>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row>
    <row r="57" spans="1:66" ht="20" customHeight="1">
      <c r="A57" s="30"/>
      <c r="B57" s="30"/>
      <c r="C57" s="31"/>
      <c r="D57" s="31"/>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row>
    <row r="58" spans="1:66" ht="20" customHeight="1">
      <c r="A58" s="30"/>
      <c r="B58" s="30"/>
      <c r="C58" s="31"/>
      <c r="D58" s="31"/>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row>
    <row r="59" spans="1:66" ht="20" customHeight="1">
      <c r="A59" s="30"/>
      <c r="B59" s="30"/>
      <c r="C59" s="31"/>
      <c r="D59" s="31"/>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row>
    <row r="60" spans="1:66" ht="20" customHeight="1">
      <c r="A60" s="30"/>
      <c r="B60" s="30"/>
      <c r="C60" s="31"/>
      <c r="D60" s="31"/>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row>
    <row r="61" spans="1:66" ht="20" customHeight="1">
      <c r="A61" s="30"/>
      <c r="B61" s="30"/>
      <c r="C61" s="31"/>
      <c r="D61" s="31"/>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row>
    <row r="62" spans="1:66" ht="20" customHeight="1">
      <c r="A62" s="30"/>
      <c r="B62" s="30"/>
      <c r="C62" s="31"/>
      <c r="D62" s="31"/>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row>
    <row r="63" spans="1:66" ht="20" customHeight="1">
      <c r="A63" s="30"/>
      <c r="B63" s="30"/>
      <c r="C63" s="31"/>
      <c r="D63" s="31"/>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row>
    <row r="64" spans="1:66" ht="20" customHeight="1">
      <c r="A64" s="30"/>
      <c r="B64" s="30"/>
      <c r="C64" s="31"/>
      <c r="D64" s="31"/>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row>
    <row r="65" spans="1:66" ht="20" customHeight="1">
      <c r="A65" s="30"/>
      <c r="B65" s="30"/>
      <c r="C65" s="31"/>
      <c r="D65" s="31"/>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row>
    <row r="66" spans="1:66" ht="20" customHeight="1">
      <c r="A66" s="30"/>
      <c r="B66" s="30"/>
      <c r="C66" s="31"/>
      <c r="D66" s="31"/>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row>
    <row r="67" spans="1:66" ht="20" customHeight="1">
      <c r="A67" s="30"/>
      <c r="B67" s="30"/>
      <c r="C67" s="31"/>
      <c r="D67" s="31"/>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row>
    <row r="68" spans="1:66" ht="20" customHeight="1">
      <c r="A68" s="30"/>
      <c r="B68" s="30"/>
      <c r="C68" s="31"/>
      <c r="D68" s="31"/>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row>
    <row r="69" spans="1:66" ht="20" customHeight="1">
      <c r="A69" s="30"/>
      <c r="B69" s="30"/>
      <c r="C69" s="31"/>
      <c r="D69" s="31"/>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row>
    <row r="70" spans="1:66" ht="20" customHeight="1">
      <c r="A70" s="30"/>
      <c r="B70" s="30"/>
      <c r="C70" s="31"/>
      <c r="D70" s="31"/>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row>
    <row r="71" spans="1:66" ht="20" customHeight="1">
      <c r="A71" s="30"/>
      <c r="B71" s="30"/>
      <c r="C71" s="31"/>
      <c r="D71" s="31"/>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row>
    <row r="72" spans="1:66" ht="20" customHeight="1">
      <c r="A72" s="30"/>
      <c r="B72" s="30"/>
      <c r="C72" s="31"/>
      <c r="D72" s="31"/>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row>
    <row r="73" spans="1:66" ht="20" customHeight="1">
      <c r="A73" s="30"/>
      <c r="B73" s="30"/>
      <c r="C73" s="31"/>
      <c r="D73" s="31"/>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row>
    <row r="74" spans="1:66" ht="20" customHeight="1">
      <c r="A74" s="30"/>
      <c r="B74" s="30"/>
      <c r="C74" s="31"/>
      <c r="D74" s="31"/>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row>
    <row r="75" spans="1:66" ht="20" customHeight="1">
      <c r="A75" s="30"/>
      <c r="B75" s="30"/>
      <c r="C75" s="31"/>
      <c r="D75" s="31"/>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row>
    <row r="76" spans="1:66" ht="20" customHeight="1">
      <c r="A76" s="30"/>
      <c r="B76" s="30"/>
      <c r="C76" s="31"/>
      <c r="D76" s="31"/>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row>
    <row r="77" spans="1:66" ht="20" customHeight="1">
      <c r="A77" s="30"/>
      <c r="B77" s="30"/>
      <c r="C77" s="31"/>
      <c r="D77" s="31"/>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row>
    <row r="78" spans="1:66" ht="20" customHeight="1">
      <c r="A78" s="30"/>
      <c r="B78" s="30"/>
      <c r="C78" s="31"/>
      <c r="D78" s="31"/>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row>
    <row r="79" spans="1:66" ht="20" customHeight="1">
      <c r="A79" s="30"/>
      <c r="B79" s="30"/>
      <c r="C79" s="31"/>
      <c r="D79" s="31"/>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row>
    <row r="80" spans="1:66" ht="20" customHeight="1">
      <c r="A80" s="30"/>
      <c r="B80" s="30"/>
      <c r="C80" s="31"/>
      <c r="D80" s="31"/>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row>
    <row r="81" spans="1:66" ht="20" customHeight="1">
      <c r="A81" s="30"/>
      <c r="B81" s="30"/>
      <c r="C81" s="31"/>
      <c r="D81" s="31"/>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row>
    <row r="82" spans="1:66" ht="20" customHeight="1">
      <c r="A82" s="30"/>
      <c r="B82" s="30"/>
      <c r="C82" s="31"/>
      <c r="D82" s="31"/>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row>
    <row r="83" spans="1:66" ht="20" customHeight="1">
      <c r="A83" s="30"/>
      <c r="B83" s="30"/>
      <c r="C83" s="31"/>
      <c r="D83" s="31"/>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row>
    <row r="84" spans="1:66" ht="20" customHeight="1">
      <c r="A84" s="30"/>
      <c r="B84" s="30"/>
      <c r="C84" s="31"/>
      <c r="D84" s="31"/>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row>
    <row r="85" spans="1:66" ht="20" customHeight="1">
      <c r="A85" s="30"/>
      <c r="B85" s="30"/>
      <c r="C85" s="31"/>
      <c r="D85" s="31"/>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row>
    <row r="86" spans="1:66" ht="20" customHeight="1">
      <c r="A86" s="30"/>
      <c r="B86" s="30"/>
      <c r="C86" s="31"/>
      <c r="D86" s="31"/>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row>
    <row r="87" spans="1:66" ht="20" customHeight="1">
      <c r="A87" s="30"/>
      <c r="B87" s="30"/>
      <c r="C87" s="31"/>
      <c r="D87" s="31"/>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row>
    <row r="88" spans="1:66" ht="20" customHeight="1">
      <c r="A88" s="30"/>
      <c r="B88" s="30"/>
      <c r="C88" s="31"/>
      <c r="D88" s="31"/>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row>
    <row r="89" spans="1:66" ht="20" customHeight="1">
      <c r="A89" s="30"/>
      <c r="B89" s="30"/>
      <c r="C89" s="31"/>
      <c r="D89" s="31"/>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row>
    <row r="90" spans="1:66" ht="20" customHeight="1">
      <c r="A90" s="30"/>
      <c r="B90" s="30"/>
      <c r="C90" s="31"/>
      <c r="D90" s="31"/>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row>
    <row r="91" spans="1:66" ht="20" customHeight="1">
      <c r="A91" s="30"/>
      <c r="B91" s="30"/>
      <c r="C91" s="31"/>
      <c r="D91" s="31"/>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row>
    <row r="92" spans="1:66" ht="20" customHeight="1">
      <c r="A92" s="30"/>
      <c r="B92" s="30"/>
      <c r="C92" s="31"/>
      <c r="D92" s="31"/>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row>
    <row r="93" spans="1:66" ht="20" customHeight="1">
      <c r="A93" s="30"/>
      <c r="B93" s="30"/>
      <c r="C93" s="31"/>
      <c r="D93" s="31"/>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row>
    <row r="94" spans="1:66" ht="20" customHeight="1">
      <c r="A94" s="30"/>
      <c r="B94" s="30"/>
      <c r="C94" s="31"/>
      <c r="D94" s="31"/>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row>
    <row r="95" spans="1:66" ht="20" customHeight="1">
      <c r="A95" s="30"/>
      <c r="B95" s="30"/>
      <c r="C95" s="31"/>
      <c r="D95" s="31"/>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row>
    <row r="96" spans="1:66" ht="20" customHeight="1">
      <c r="A96" s="30"/>
      <c r="B96" s="30"/>
      <c r="C96" s="31"/>
      <c r="D96" s="31"/>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row>
    <row r="97" spans="1:66" ht="20" customHeight="1">
      <c r="A97" s="30"/>
      <c r="B97" s="30"/>
      <c r="C97" s="31"/>
      <c r="D97" s="31"/>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row>
    <row r="98" spans="1:66" ht="20" customHeight="1">
      <c r="A98" s="30"/>
      <c r="B98" s="30"/>
      <c r="C98" s="31"/>
      <c r="D98" s="31"/>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row>
    <row r="99" spans="1:66" ht="20" customHeight="1">
      <c r="A99" s="30"/>
      <c r="B99" s="30"/>
      <c r="C99" s="31"/>
      <c r="D99" s="31"/>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row>
    <row r="100" spans="1:66" ht="20" customHeight="1">
      <c r="A100" s="30"/>
      <c r="B100" s="30"/>
      <c r="C100" s="31"/>
      <c r="D100" s="31"/>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row>
    <row r="101" spans="1:66" ht="20" customHeight="1">
      <c r="A101" s="30"/>
      <c r="B101" s="30"/>
      <c r="C101" s="31"/>
      <c r="D101" s="31"/>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row>
    <row r="102" spans="1:66" ht="20" customHeight="1">
      <c r="A102" s="30"/>
      <c r="B102" s="30"/>
      <c r="C102" s="31"/>
      <c r="D102" s="31"/>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row>
    <row r="103" spans="1:66" ht="20" customHeight="1">
      <c r="A103" s="30"/>
      <c r="B103" s="30"/>
      <c r="C103" s="31"/>
      <c r="D103" s="31"/>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row>
    <row r="104" spans="1:66" ht="20" customHeight="1">
      <c r="A104" s="30"/>
      <c r="B104" s="30"/>
      <c r="C104" s="31"/>
      <c r="D104" s="31"/>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row>
    <row r="105" spans="1:66" ht="20" customHeight="1">
      <c r="A105" s="30"/>
      <c r="B105" s="30"/>
      <c r="C105" s="31"/>
      <c r="D105" s="31"/>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row>
    <row r="106" spans="1:66" ht="20" customHeight="1">
      <c r="A106" s="30"/>
      <c r="B106" s="30"/>
      <c r="C106" s="31"/>
      <c r="D106" s="31"/>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row>
    <row r="107" spans="1:66" ht="20" customHeight="1">
      <c r="A107" s="30"/>
      <c r="B107" s="30"/>
      <c r="C107" s="31"/>
      <c r="D107" s="31"/>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row>
    <row r="108" spans="1:66" ht="20" customHeight="1">
      <c r="A108" s="30"/>
      <c r="B108" s="30"/>
      <c r="C108" s="31"/>
      <c r="D108" s="31"/>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row>
    <row r="109" spans="1:66" ht="20" customHeight="1">
      <c r="A109" s="30"/>
      <c r="B109" s="30"/>
      <c r="C109" s="31"/>
      <c r="D109" s="31"/>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row>
    <row r="110" spans="1:66" ht="20" customHeight="1">
      <c r="A110" s="30"/>
      <c r="B110" s="30"/>
      <c r="C110" s="31"/>
      <c r="D110" s="31"/>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row>
    <row r="111" spans="1:66" ht="20" customHeight="1">
      <c r="A111" s="30"/>
      <c r="B111" s="30"/>
      <c r="C111" s="31"/>
      <c r="D111" s="31"/>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row>
    <row r="112" spans="1:66" ht="20" customHeight="1">
      <c r="A112" s="30"/>
      <c r="B112" s="30"/>
      <c r="C112" s="31"/>
      <c r="D112" s="31"/>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row>
    <row r="113" spans="1:66" ht="20" customHeight="1">
      <c r="A113" s="30"/>
      <c r="B113" s="30"/>
      <c r="C113" s="31"/>
      <c r="D113" s="31"/>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row>
    <row r="114" spans="1:66" ht="20" customHeight="1">
      <c r="A114" s="30"/>
      <c r="B114" s="30"/>
      <c r="C114" s="31"/>
      <c r="D114" s="31"/>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row>
    <row r="115" spans="1:66" ht="20" customHeight="1">
      <c r="A115" s="30"/>
      <c r="B115" s="30"/>
      <c r="C115" s="31"/>
      <c r="D115" s="31"/>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row>
    <row r="116" spans="1:66" ht="20" customHeight="1">
      <c r="A116" s="30"/>
      <c r="B116" s="30"/>
      <c r="C116" s="31"/>
      <c r="D116" s="31"/>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row>
    <row r="117" spans="1:66" ht="20" customHeight="1">
      <c r="A117" s="30"/>
      <c r="B117" s="30"/>
      <c r="C117" s="31"/>
      <c r="D117" s="31"/>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row>
    <row r="118" spans="1:66" ht="20" customHeight="1">
      <c r="A118" s="30"/>
      <c r="B118" s="30"/>
      <c r="C118" s="31"/>
      <c r="D118" s="31"/>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row>
    <row r="119" spans="1:66" ht="20" customHeight="1">
      <c r="A119" s="30"/>
      <c r="B119" s="30"/>
      <c r="C119" s="31"/>
      <c r="D119" s="31"/>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row>
    <row r="120" spans="1:66" ht="20" customHeight="1">
      <c r="A120" s="30"/>
      <c r="B120" s="30"/>
      <c r="C120" s="31"/>
      <c r="D120" s="31"/>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row>
    <row r="121" spans="1:66" ht="20" customHeight="1">
      <c r="A121" s="30"/>
      <c r="B121" s="30"/>
      <c r="C121" s="31"/>
      <c r="D121" s="31"/>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row>
    <row r="122" spans="1:66" ht="20" customHeight="1">
      <c r="A122" s="30"/>
      <c r="B122" s="30"/>
      <c r="C122" s="31"/>
      <c r="D122" s="31"/>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row>
    <row r="123" spans="1:66" ht="20" customHeight="1">
      <c r="A123" s="30"/>
      <c r="B123" s="30"/>
      <c r="C123" s="31"/>
      <c r="D123" s="31"/>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row>
    <row r="124" spans="1:66" ht="20" customHeight="1">
      <c r="A124" s="30"/>
      <c r="B124" s="30"/>
      <c r="C124" s="31"/>
      <c r="D124" s="31"/>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row>
    <row r="125" spans="1:66" ht="20" customHeight="1">
      <c r="A125" s="30"/>
      <c r="B125" s="30"/>
      <c r="C125" s="31"/>
      <c r="D125" s="31"/>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row>
    <row r="126" spans="1:66" ht="20" customHeight="1">
      <c r="A126" s="30"/>
      <c r="B126" s="30"/>
      <c r="C126" s="31"/>
      <c r="D126" s="31"/>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row>
    <row r="127" spans="1:66" ht="20" customHeight="1">
      <c r="A127" s="30"/>
      <c r="B127" s="30"/>
      <c r="C127" s="31"/>
      <c r="D127" s="31"/>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row>
    <row r="128" spans="1:66" ht="20" customHeight="1">
      <c r="A128" s="30"/>
      <c r="B128" s="30"/>
      <c r="C128" s="31"/>
      <c r="D128" s="31"/>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row>
    <row r="129" spans="1:66" ht="20" customHeight="1">
      <c r="A129" s="30"/>
      <c r="B129" s="30"/>
      <c r="C129" s="31"/>
      <c r="D129" s="31"/>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row>
    <row r="130" spans="1:66" ht="20" customHeight="1">
      <c r="A130" s="30"/>
      <c r="B130" s="30"/>
      <c r="C130" s="31"/>
      <c r="D130" s="31"/>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row>
    <row r="131" spans="1:66" ht="20" customHeight="1">
      <c r="A131" s="30"/>
      <c r="B131" s="30"/>
      <c r="C131" s="31"/>
      <c r="D131" s="31"/>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row>
    <row r="132" spans="1:66" ht="20" customHeight="1">
      <c r="A132" s="30"/>
      <c r="B132" s="30"/>
      <c r="C132" s="31"/>
      <c r="D132" s="31"/>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row>
    <row r="133" spans="1:66" ht="20" customHeight="1">
      <c r="A133" s="30"/>
      <c r="B133" s="30"/>
      <c r="C133" s="31"/>
      <c r="D133" s="31"/>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row>
    <row r="134" spans="1:66" ht="20" customHeight="1">
      <c r="A134" s="30"/>
      <c r="B134" s="30"/>
      <c r="C134" s="31"/>
      <c r="D134" s="31"/>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row>
    <row r="135" spans="1:66" ht="20" customHeight="1">
      <c r="A135" s="30"/>
      <c r="B135" s="30"/>
      <c r="C135" s="31"/>
      <c r="D135" s="31"/>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row>
    <row r="136" spans="1:66" ht="20" customHeight="1">
      <c r="A136" s="30"/>
      <c r="B136" s="30"/>
      <c r="C136" s="31"/>
      <c r="D136" s="31"/>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row>
    <row r="137" spans="1:66" ht="20" customHeight="1">
      <c r="A137" s="30"/>
      <c r="B137" s="30"/>
      <c r="C137" s="31"/>
      <c r="D137" s="31"/>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row>
    <row r="138" spans="1:66" ht="20" customHeight="1">
      <c r="A138" s="30"/>
      <c r="B138" s="30"/>
      <c r="C138" s="31"/>
      <c r="D138" s="31"/>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row>
    <row r="139" spans="1:66" ht="20" customHeight="1">
      <c r="A139" s="30"/>
      <c r="B139" s="30"/>
      <c r="C139" s="31"/>
      <c r="D139" s="31"/>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row>
    <row r="140" spans="1:66" ht="20" customHeight="1">
      <c r="A140" s="30"/>
      <c r="B140" s="30"/>
      <c r="C140" s="31"/>
      <c r="D140" s="31"/>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row>
    <row r="141" spans="1:66" ht="20" customHeight="1">
      <c r="A141" s="30"/>
      <c r="B141" s="30"/>
      <c r="C141" s="31"/>
      <c r="D141" s="31"/>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row>
    <row r="142" spans="1:66" ht="20" customHeight="1">
      <c r="A142" s="30"/>
      <c r="B142" s="30"/>
      <c r="C142" s="31"/>
      <c r="D142" s="31"/>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row>
    <row r="143" spans="1:66" ht="20" customHeight="1">
      <c r="A143" s="30"/>
      <c r="B143" s="30"/>
      <c r="C143" s="31"/>
      <c r="D143" s="31"/>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row>
    <row r="144" spans="1:66" ht="20" customHeight="1">
      <c r="A144" s="30"/>
      <c r="B144" s="30"/>
      <c r="C144" s="31"/>
      <c r="D144" s="31"/>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row>
    <row r="145" spans="1:66" ht="20" customHeight="1">
      <c r="A145" s="30"/>
      <c r="B145" s="30"/>
      <c r="C145" s="31"/>
      <c r="D145" s="31"/>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row>
    <row r="146" spans="1:66" ht="20" customHeight="1">
      <c r="A146" s="30"/>
      <c r="B146" s="30"/>
      <c r="C146" s="31"/>
      <c r="D146" s="31"/>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row>
    <row r="147" spans="1:66" ht="20" customHeight="1">
      <c r="A147" s="30"/>
      <c r="B147" s="30"/>
      <c r="C147" s="31"/>
      <c r="D147" s="31"/>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row>
    <row r="148" spans="1:66" ht="20" customHeight="1">
      <c r="A148" s="30"/>
      <c r="B148" s="30"/>
      <c r="C148" s="31"/>
      <c r="D148" s="31"/>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row>
    <row r="149" spans="1:66" ht="20" customHeight="1">
      <c r="A149" s="30"/>
      <c r="B149" s="30"/>
      <c r="C149" s="31"/>
      <c r="D149" s="31"/>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row>
    <row r="150" spans="1:66" ht="20" customHeight="1">
      <c r="A150" s="30"/>
      <c r="B150" s="30"/>
      <c r="C150" s="31"/>
      <c r="D150" s="31"/>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row>
    <row r="151" spans="1:66" ht="20" customHeight="1">
      <c r="A151" s="30"/>
      <c r="B151" s="30"/>
      <c r="C151" s="31"/>
      <c r="D151" s="31"/>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row>
    <row r="152" spans="1:66" ht="20" customHeight="1">
      <c r="A152" s="30"/>
      <c r="B152" s="30"/>
      <c r="C152" s="31"/>
      <c r="D152" s="31"/>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row>
    <row r="153" spans="1:66" ht="20" customHeight="1">
      <c r="A153" s="30"/>
      <c r="B153" s="30"/>
      <c r="C153" s="31"/>
      <c r="D153" s="31"/>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row>
    <row r="154" spans="1:66" ht="20" customHeight="1">
      <c r="A154" s="30"/>
      <c r="B154" s="30"/>
      <c r="C154" s="31"/>
      <c r="D154" s="31"/>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row>
    <row r="155" spans="1:66" ht="20" customHeight="1">
      <c r="A155" s="30"/>
      <c r="B155" s="30"/>
      <c r="C155" s="31"/>
      <c r="D155" s="31"/>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row>
    <row r="156" spans="1:66" ht="20" customHeight="1">
      <c r="A156" s="30"/>
      <c r="B156" s="30"/>
      <c r="C156" s="31"/>
      <c r="D156" s="31"/>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row>
    <row r="157" spans="1:66" ht="20" customHeight="1">
      <c r="A157" s="30"/>
      <c r="B157" s="30"/>
      <c r="C157" s="31"/>
      <c r="D157" s="31"/>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row>
    <row r="158" spans="1:66" ht="20" customHeight="1">
      <c r="A158" s="30"/>
      <c r="B158" s="30"/>
      <c r="C158" s="31"/>
      <c r="D158" s="31"/>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row>
    <row r="159" spans="1:66" ht="20" customHeight="1">
      <c r="A159" s="30"/>
      <c r="B159" s="30"/>
      <c r="C159" s="31"/>
      <c r="D159" s="31"/>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row>
    <row r="160" spans="1:66" ht="20" customHeight="1">
      <c r="A160" s="30"/>
      <c r="B160" s="30"/>
      <c r="C160" s="31"/>
      <c r="D160" s="31"/>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row>
    <row r="161" spans="1:66" ht="20" customHeight="1">
      <c r="A161" s="30"/>
      <c r="B161" s="30"/>
      <c r="C161" s="31"/>
      <c r="D161" s="31"/>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row>
    <row r="162" spans="1:66" ht="20" customHeight="1">
      <c r="A162" s="30"/>
      <c r="B162" s="30"/>
      <c r="C162" s="31"/>
      <c r="D162" s="31"/>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row>
    <row r="163" spans="1:66" ht="20" customHeight="1">
      <c r="A163" s="30"/>
      <c r="B163" s="30"/>
      <c r="C163" s="31"/>
      <c r="D163" s="31"/>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row>
    <row r="164" spans="1:66" ht="20" customHeight="1">
      <c r="A164" s="30"/>
      <c r="B164" s="30"/>
      <c r="C164" s="31"/>
      <c r="D164" s="31"/>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row>
    <row r="165" spans="1:66" ht="20" customHeight="1">
      <c r="A165" s="30"/>
      <c r="B165" s="30"/>
      <c r="C165" s="31"/>
      <c r="D165" s="31"/>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row>
    <row r="166" spans="1:66" ht="20" customHeight="1">
      <c r="A166" s="30"/>
      <c r="B166" s="30"/>
      <c r="C166" s="31"/>
      <c r="D166" s="31"/>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row>
    <row r="167" spans="1:66" ht="20" customHeight="1">
      <c r="A167" s="30"/>
      <c r="B167" s="30"/>
      <c r="C167" s="31"/>
      <c r="D167" s="31"/>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row>
    <row r="168" spans="1:66" ht="20" customHeight="1">
      <c r="A168" s="30"/>
      <c r="B168" s="30"/>
      <c r="C168" s="31"/>
      <c r="D168" s="31"/>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row>
    <row r="169" spans="1:66" ht="20" customHeight="1">
      <c r="A169" s="30"/>
      <c r="B169" s="30"/>
      <c r="C169" s="31"/>
      <c r="D169" s="31"/>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row>
    <row r="170" spans="1:66" ht="20" customHeight="1">
      <c r="A170" s="30"/>
      <c r="B170" s="30"/>
      <c r="C170" s="31"/>
      <c r="D170" s="31"/>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row>
    <row r="171" spans="1:66" ht="20" customHeight="1">
      <c r="A171" s="30"/>
      <c r="B171" s="30"/>
      <c r="C171" s="31"/>
      <c r="D171" s="31"/>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row>
    <row r="172" spans="1:66" ht="20" customHeight="1">
      <c r="A172" s="30"/>
      <c r="B172" s="30"/>
      <c r="C172" s="31"/>
      <c r="D172" s="31"/>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row>
    <row r="173" spans="1:66" ht="20" customHeight="1">
      <c r="A173" s="30"/>
      <c r="B173" s="30"/>
      <c r="C173" s="31"/>
      <c r="D173" s="31"/>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row>
    <row r="174" spans="1:66" ht="20" customHeight="1">
      <c r="A174" s="30"/>
      <c r="B174" s="30"/>
      <c r="C174" s="31"/>
      <c r="D174" s="31"/>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row>
    <row r="175" spans="1:66" ht="20" customHeight="1">
      <c r="A175" s="30"/>
      <c r="B175" s="30"/>
      <c r="C175" s="31"/>
      <c r="D175" s="31"/>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row>
    <row r="176" spans="1:66" ht="20" customHeight="1">
      <c r="A176" s="30"/>
      <c r="B176" s="30"/>
      <c r="C176" s="31"/>
      <c r="D176" s="31"/>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row>
    <row r="177" spans="1:66" ht="20" customHeight="1">
      <c r="A177" s="30"/>
      <c r="B177" s="30"/>
      <c r="C177" s="31"/>
      <c r="D177" s="31"/>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row>
    <row r="178" spans="1:66" ht="20" customHeight="1">
      <c r="A178" s="30"/>
      <c r="B178" s="30"/>
      <c r="C178" s="31"/>
      <c r="D178" s="31"/>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row>
    <row r="179" spans="1:66" ht="20" customHeight="1">
      <c r="A179" s="30"/>
      <c r="B179" s="30"/>
      <c r="C179" s="31"/>
      <c r="D179" s="31"/>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row>
    <row r="180" spans="1:66" ht="20" customHeight="1">
      <c r="A180" s="30"/>
      <c r="B180" s="30"/>
      <c r="C180" s="31"/>
      <c r="D180" s="31"/>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row>
    <row r="181" spans="1:66" ht="20" customHeight="1">
      <c r="A181" s="30"/>
      <c r="B181" s="30"/>
      <c r="C181" s="31"/>
      <c r="D181" s="31"/>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row>
    <row r="182" spans="1:66" ht="20" customHeight="1">
      <c r="A182" s="30"/>
      <c r="B182" s="30"/>
      <c r="C182" s="31"/>
      <c r="D182" s="31"/>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row>
    <row r="183" spans="1:66" ht="20" customHeight="1">
      <c r="A183" s="30"/>
      <c r="B183" s="30"/>
      <c r="C183" s="31"/>
      <c r="D183" s="31"/>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row>
    <row r="184" spans="1:66" ht="20" customHeight="1">
      <c r="A184" s="30"/>
      <c r="B184" s="30"/>
      <c r="C184" s="31"/>
      <c r="D184" s="31"/>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row>
    <row r="185" spans="1:66" ht="20" customHeight="1">
      <c r="A185" s="30"/>
      <c r="B185" s="30"/>
      <c r="C185" s="31"/>
      <c r="D185" s="31"/>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row>
    <row r="186" spans="1:66" ht="20" customHeight="1">
      <c r="A186" s="30"/>
      <c r="B186" s="30"/>
      <c r="C186" s="31"/>
      <c r="D186" s="31"/>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row>
    <row r="187" spans="1:66" ht="20" customHeight="1">
      <c r="A187" s="30"/>
      <c r="B187" s="30"/>
      <c r="C187" s="31"/>
      <c r="D187" s="31"/>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row>
    <row r="188" spans="1:66" ht="20" customHeight="1">
      <c r="A188" s="30"/>
      <c r="B188" s="30"/>
      <c r="C188" s="31"/>
      <c r="D188" s="31"/>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row>
    <row r="189" spans="1:66" ht="20" customHeight="1">
      <c r="A189" s="30"/>
      <c r="B189" s="30"/>
      <c r="C189" s="31"/>
      <c r="D189" s="31"/>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row>
    <row r="190" spans="1:66" ht="20" customHeight="1">
      <c r="A190" s="30"/>
      <c r="B190" s="30"/>
      <c r="C190" s="31"/>
      <c r="D190" s="31"/>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row>
    <row r="191" spans="1:66" ht="20" customHeight="1">
      <c r="A191" s="30"/>
      <c r="B191" s="30"/>
      <c r="C191" s="31"/>
      <c r="D191" s="31"/>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row>
    <row r="192" spans="1:66" ht="20" customHeight="1">
      <c r="A192" s="30"/>
      <c r="B192" s="30"/>
      <c r="C192" s="31"/>
      <c r="D192" s="31"/>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row>
    <row r="193" spans="1:66" ht="20" customHeight="1">
      <c r="A193" s="30"/>
      <c r="B193" s="30"/>
      <c r="C193" s="31"/>
      <c r="D193" s="31"/>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row>
    <row r="194" spans="1:66" ht="20" customHeight="1">
      <c r="A194" s="30"/>
      <c r="B194" s="30"/>
      <c r="C194" s="31"/>
      <c r="D194" s="31"/>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row>
    <row r="195" spans="1:66" ht="20" customHeight="1">
      <c r="A195" s="30"/>
      <c r="B195" s="30"/>
      <c r="C195" s="31"/>
      <c r="D195" s="31"/>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row>
    <row r="196" spans="1:66" ht="20" customHeight="1">
      <c r="A196" s="30"/>
      <c r="B196" s="30"/>
      <c r="C196" s="31"/>
      <c r="D196" s="31"/>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row>
    <row r="197" spans="1:66" ht="20" customHeight="1">
      <c r="A197" s="30"/>
      <c r="B197" s="30"/>
      <c r="C197" s="31"/>
      <c r="D197" s="31"/>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row>
    <row r="198" spans="1:66" ht="20" customHeight="1">
      <c r="A198" s="30"/>
      <c r="B198" s="30"/>
      <c r="C198" s="31"/>
      <c r="D198" s="31"/>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row>
    <row r="199" spans="1:66" ht="20" customHeight="1">
      <c r="A199" s="30"/>
      <c r="B199" s="30"/>
      <c r="C199" s="31"/>
      <c r="D199" s="31"/>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row>
    <row r="200" spans="1:66" ht="20" customHeight="1">
      <c r="A200" s="30"/>
      <c r="B200" s="30"/>
      <c r="C200" s="31"/>
      <c r="D200" s="31"/>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607483"/>
  </sheetPr>
  <dimension ref="A1:BN200"/>
  <sheetViews>
    <sheetView showGridLines="0" workbookViewId="0">
      <pane xSplit="4" ySplit="7" topLeftCell="E8" activePane="bottomRight" state="frozen"/>
      <selection pane="topRight"/>
      <selection pane="bottomLeft"/>
      <selection pane="bottomRight" activeCell="E8" sqref="E8"/>
    </sheetView>
  </sheetViews>
  <sheetFormatPr baseColWidth="10" defaultColWidth="8.83203125" defaultRowHeight="14"/>
  <cols>
    <col min="1" max="2" width="2" customWidth="1"/>
    <col min="3" max="3" width="48" customWidth="1"/>
    <col min="4" max="4" width="3" customWidth="1"/>
    <col min="5" max="66" width="14" customWidth="1"/>
  </cols>
  <sheetData>
    <row r="1" spans="1:66" ht="20" customHeight="1">
      <c r="A1" s="30"/>
      <c r="B1" s="30"/>
      <c r="C1" s="31"/>
      <c r="D1" s="31"/>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row>
    <row r="2" spans="1:66" ht="20" customHeight="1">
      <c r="A2" s="30"/>
      <c r="B2" s="30"/>
      <c r="C2" s="33" t="s">
        <v>281</v>
      </c>
      <c r="D2" s="31"/>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row>
    <row r="3" spans="1:66" ht="20" customHeight="1">
      <c r="A3" s="30"/>
      <c r="B3" s="30"/>
      <c r="C3" s="34" t="s">
        <v>49</v>
      </c>
      <c r="D3" s="31"/>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row>
    <row r="4" spans="1:66" ht="20" customHeight="1">
      <c r="A4" s="30"/>
      <c r="B4" s="30"/>
      <c r="C4" s="31" t="s">
        <v>2</v>
      </c>
      <c r="D4" s="31"/>
      <c r="E4" s="35" t="str">
        <f>CHOOSE(Assumptions!$E$5,"Base","Downside","Upside")</f>
        <v>Base</v>
      </c>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row>
    <row r="5" spans="1:66" ht="20" customHeight="1">
      <c r="A5" s="30"/>
      <c r="B5" s="30"/>
      <c r="C5" s="31"/>
      <c r="D5" s="31"/>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row>
    <row r="6" spans="1:66" ht="20" customHeight="1">
      <c r="A6" s="30"/>
      <c r="B6" s="30"/>
      <c r="C6" s="31"/>
      <c r="D6" s="31"/>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row>
    <row r="7" spans="1:66" ht="24" customHeight="1">
      <c r="A7" s="30"/>
      <c r="B7" s="30"/>
      <c r="C7" s="36" t="s">
        <v>214</v>
      </c>
      <c r="D7" s="36"/>
      <c r="E7" s="45">
        <v>46204</v>
      </c>
      <c r="F7" s="45">
        <v>46235</v>
      </c>
      <c r="G7" s="45">
        <v>46266</v>
      </c>
      <c r="H7" s="45">
        <v>46296</v>
      </c>
      <c r="I7" s="45">
        <v>46327</v>
      </c>
      <c r="J7" s="45">
        <v>46357</v>
      </c>
      <c r="K7" s="45">
        <v>46388</v>
      </c>
      <c r="L7" s="45">
        <v>46419</v>
      </c>
      <c r="M7" s="45">
        <v>46447</v>
      </c>
      <c r="N7" s="45">
        <v>46478</v>
      </c>
      <c r="O7" s="45">
        <v>46508</v>
      </c>
      <c r="P7" s="45">
        <v>46539</v>
      </c>
      <c r="Q7" s="45">
        <v>46569</v>
      </c>
      <c r="R7" s="45">
        <v>46600</v>
      </c>
      <c r="S7" s="45">
        <v>46631</v>
      </c>
      <c r="T7" s="45">
        <v>46661</v>
      </c>
      <c r="U7" s="45">
        <v>46692</v>
      </c>
      <c r="V7" s="45">
        <v>46722</v>
      </c>
      <c r="W7" s="45">
        <v>46753</v>
      </c>
      <c r="X7" s="45">
        <v>46784</v>
      </c>
      <c r="Y7" s="45">
        <v>46813</v>
      </c>
      <c r="Z7" s="45">
        <v>46844</v>
      </c>
      <c r="AA7" s="45">
        <v>46874</v>
      </c>
      <c r="AB7" s="45">
        <v>46905</v>
      </c>
      <c r="AC7" s="45">
        <v>46935</v>
      </c>
      <c r="AD7" s="45">
        <v>46966</v>
      </c>
      <c r="AE7" s="45">
        <v>46997</v>
      </c>
      <c r="AF7" s="45">
        <v>47027</v>
      </c>
      <c r="AG7" s="45">
        <v>47058</v>
      </c>
      <c r="AH7" s="45">
        <v>47088</v>
      </c>
      <c r="AI7" s="45">
        <v>47119</v>
      </c>
      <c r="AJ7" s="45">
        <v>47150</v>
      </c>
      <c r="AK7" s="45">
        <v>47178</v>
      </c>
      <c r="AL7" s="45">
        <v>47209</v>
      </c>
      <c r="AM7" s="45">
        <v>47239</v>
      </c>
      <c r="AN7" s="45">
        <v>47270</v>
      </c>
      <c r="AO7" s="45">
        <v>47300</v>
      </c>
      <c r="AP7" s="45">
        <v>47331</v>
      </c>
      <c r="AQ7" s="45">
        <v>47362</v>
      </c>
      <c r="AR7" s="45">
        <v>47392</v>
      </c>
      <c r="AS7" s="45">
        <v>47423</v>
      </c>
      <c r="AT7" s="45">
        <v>47453</v>
      </c>
      <c r="AU7" s="45">
        <v>47484</v>
      </c>
      <c r="AV7" s="45">
        <v>47515</v>
      </c>
      <c r="AW7" s="45">
        <v>47543</v>
      </c>
      <c r="AX7" s="45">
        <v>47574</v>
      </c>
      <c r="AY7" s="45">
        <v>47604</v>
      </c>
      <c r="AZ7" s="45">
        <v>47635</v>
      </c>
      <c r="BA7" s="45">
        <v>47665</v>
      </c>
      <c r="BB7" s="45">
        <v>47696</v>
      </c>
      <c r="BC7" s="45">
        <v>47727</v>
      </c>
      <c r="BD7" s="45">
        <v>47757</v>
      </c>
      <c r="BE7" s="45">
        <v>47788</v>
      </c>
      <c r="BF7" s="45">
        <v>47818</v>
      </c>
      <c r="BG7" s="45">
        <v>47849</v>
      </c>
      <c r="BH7" s="45">
        <v>47880</v>
      </c>
      <c r="BI7" s="45">
        <v>47908</v>
      </c>
      <c r="BJ7" s="45">
        <v>47939</v>
      </c>
      <c r="BK7" s="45">
        <v>47969</v>
      </c>
      <c r="BL7" s="45">
        <v>48000</v>
      </c>
      <c r="BM7" s="32"/>
      <c r="BN7" s="32"/>
    </row>
    <row r="8" spans="1:66" ht="20" customHeight="1">
      <c r="A8" s="30"/>
      <c r="B8" s="30"/>
      <c r="C8" s="31" t="s">
        <v>282</v>
      </c>
      <c r="D8" s="31"/>
      <c r="E8" s="35">
        <f>Historical!G79</f>
        <v>67.245999999999995</v>
      </c>
      <c r="F8" s="46">
        <f t="shared" ref="F8:AK8" si="0">E33</f>
        <v>179.80621303258144</v>
      </c>
      <c r="G8" s="46">
        <f t="shared" si="0"/>
        <v>223.97222452960264</v>
      </c>
      <c r="H8" s="46">
        <f t="shared" si="0"/>
        <v>146.74129522627058</v>
      </c>
      <c r="I8" s="46">
        <f t="shared" si="0"/>
        <v>25</v>
      </c>
      <c r="J8" s="46">
        <f t="shared" si="0"/>
        <v>25</v>
      </c>
      <c r="K8" s="46">
        <f t="shared" si="0"/>
        <v>25</v>
      </c>
      <c r="L8" s="46">
        <f t="shared" si="0"/>
        <v>25</v>
      </c>
      <c r="M8" s="46">
        <f t="shared" si="0"/>
        <v>25</v>
      </c>
      <c r="N8" s="46">
        <f t="shared" si="0"/>
        <v>25</v>
      </c>
      <c r="O8" s="46">
        <f t="shared" si="0"/>
        <v>25</v>
      </c>
      <c r="P8" s="46">
        <f t="shared" si="0"/>
        <v>25</v>
      </c>
      <c r="Q8" s="46">
        <f t="shared" si="0"/>
        <v>25</v>
      </c>
      <c r="R8" s="46">
        <f t="shared" si="0"/>
        <v>25</v>
      </c>
      <c r="S8" s="46">
        <f t="shared" si="0"/>
        <v>25</v>
      </c>
      <c r="T8" s="46">
        <f t="shared" si="0"/>
        <v>25</v>
      </c>
      <c r="U8" s="46">
        <f t="shared" si="0"/>
        <v>25</v>
      </c>
      <c r="V8" s="46">
        <f t="shared" si="0"/>
        <v>25</v>
      </c>
      <c r="W8" s="46">
        <f t="shared" si="0"/>
        <v>25</v>
      </c>
      <c r="X8" s="46">
        <f t="shared" si="0"/>
        <v>25</v>
      </c>
      <c r="Y8" s="46">
        <f t="shared" si="0"/>
        <v>25</v>
      </c>
      <c r="Z8" s="46">
        <f t="shared" si="0"/>
        <v>25</v>
      </c>
      <c r="AA8" s="46">
        <f t="shared" si="0"/>
        <v>25</v>
      </c>
      <c r="AB8" s="46">
        <f t="shared" si="0"/>
        <v>25</v>
      </c>
      <c r="AC8" s="46">
        <f t="shared" si="0"/>
        <v>25</v>
      </c>
      <c r="AD8" s="46">
        <f t="shared" si="0"/>
        <v>25</v>
      </c>
      <c r="AE8" s="46">
        <f t="shared" si="0"/>
        <v>25</v>
      </c>
      <c r="AF8" s="46">
        <f t="shared" si="0"/>
        <v>25</v>
      </c>
      <c r="AG8" s="46">
        <f t="shared" si="0"/>
        <v>25</v>
      </c>
      <c r="AH8" s="46">
        <f t="shared" si="0"/>
        <v>25</v>
      </c>
      <c r="AI8" s="46">
        <f t="shared" si="0"/>
        <v>25</v>
      </c>
      <c r="AJ8" s="46">
        <f t="shared" si="0"/>
        <v>25</v>
      </c>
      <c r="AK8" s="46">
        <f t="shared" si="0"/>
        <v>25</v>
      </c>
      <c r="AL8" s="46">
        <f t="shared" ref="AL8:BL8" si="1">AK33</f>
        <v>25</v>
      </c>
      <c r="AM8" s="46">
        <f t="shared" si="1"/>
        <v>25</v>
      </c>
      <c r="AN8" s="46">
        <f t="shared" si="1"/>
        <v>25</v>
      </c>
      <c r="AO8" s="46">
        <f t="shared" si="1"/>
        <v>25</v>
      </c>
      <c r="AP8" s="46">
        <f t="shared" si="1"/>
        <v>24.999999999999996</v>
      </c>
      <c r="AQ8" s="46">
        <f t="shared" si="1"/>
        <v>25</v>
      </c>
      <c r="AR8" s="46">
        <f t="shared" si="1"/>
        <v>25</v>
      </c>
      <c r="AS8" s="46">
        <f t="shared" si="1"/>
        <v>25</v>
      </c>
      <c r="AT8" s="46">
        <f t="shared" si="1"/>
        <v>25</v>
      </c>
      <c r="AU8" s="46">
        <f t="shared" si="1"/>
        <v>25</v>
      </c>
      <c r="AV8" s="46">
        <f t="shared" si="1"/>
        <v>25</v>
      </c>
      <c r="AW8" s="46">
        <f t="shared" si="1"/>
        <v>25</v>
      </c>
      <c r="AX8" s="46">
        <f t="shared" si="1"/>
        <v>25</v>
      </c>
      <c r="AY8" s="46">
        <f t="shared" si="1"/>
        <v>25</v>
      </c>
      <c r="AZ8" s="46">
        <f t="shared" si="1"/>
        <v>25</v>
      </c>
      <c r="BA8" s="46">
        <f t="shared" si="1"/>
        <v>25</v>
      </c>
      <c r="BB8" s="46">
        <f t="shared" si="1"/>
        <v>25.000000000000004</v>
      </c>
      <c r="BC8" s="46">
        <f t="shared" si="1"/>
        <v>25</v>
      </c>
      <c r="BD8" s="46">
        <f t="shared" si="1"/>
        <v>25</v>
      </c>
      <c r="BE8" s="46">
        <f t="shared" si="1"/>
        <v>25</v>
      </c>
      <c r="BF8" s="46">
        <f t="shared" si="1"/>
        <v>25</v>
      </c>
      <c r="BG8" s="46">
        <f t="shared" si="1"/>
        <v>25</v>
      </c>
      <c r="BH8" s="46">
        <f t="shared" si="1"/>
        <v>25</v>
      </c>
      <c r="BI8" s="46">
        <f t="shared" si="1"/>
        <v>25</v>
      </c>
      <c r="BJ8" s="46">
        <f t="shared" si="1"/>
        <v>25</v>
      </c>
      <c r="BK8" s="46">
        <f t="shared" si="1"/>
        <v>25</v>
      </c>
      <c r="BL8" s="46">
        <f t="shared" si="1"/>
        <v>25</v>
      </c>
      <c r="BM8" s="32"/>
      <c r="BN8" s="32"/>
    </row>
    <row r="9" spans="1:66" ht="20" customHeight="1">
      <c r="A9" s="30"/>
      <c r="B9" s="30"/>
      <c r="C9" s="31" t="s">
        <v>283</v>
      </c>
      <c r="D9" s="31"/>
      <c r="E9" s="35">
        <f>'Revenue costs'!E22-'Revenue costs'!E29-'Revenue costs'!E30-E56</f>
        <v>17.916666666666664</v>
      </c>
      <c r="F9" s="35">
        <f>'Revenue costs'!F22-'Revenue costs'!F29-'Revenue costs'!F30-F56</f>
        <v>17.916666666666664</v>
      </c>
      <c r="G9" s="35">
        <f>'Revenue costs'!G22-'Revenue costs'!G29-'Revenue costs'!G30-G56</f>
        <v>17.916666666666664</v>
      </c>
      <c r="H9" s="35">
        <f>'Revenue costs'!H22-'Revenue costs'!H29-'Revenue costs'!H30-H56</f>
        <v>17.916666666666664</v>
      </c>
      <c r="I9" s="35">
        <f>'Revenue costs'!I22-'Revenue costs'!I29-'Revenue costs'!I30-I56</f>
        <v>17.916666666666664</v>
      </c>
      <c r="J9" s="35">
        <f>'Revenue costs'!J22-'Revenue costs'!J29-'Revenue costs'!J30-J56</f>
        <v>17.916666666666664</v>
      </c>
      <c r="K9" s="35">
        <f>'Revenue costs'!K22-'Revenue costs'!K29-'Revenue costs'!K30-K56</f>
        <v>17.916666666666664</v>
      </c>
      <c r="L9" s="35">
        <f>'Revenue costs'!L22-'Revenue costs'!L29-'Revenue costs'!L30-L56</f>
        <v>17.916666666666664</v>
      </c>
      <c r="M9" s="35">
        <f>'Revenue costs'!M22-'Revenue costs'!M29-'Revenue costs'!M30-M56</f>
        <v>17.916666666666664</v>
      </c>
      <c r="N9" s="35">
        <f>'Revenue costs'!N22-'Revenue costs'!N29-'Revenue costs'!N30-N56</f>
        <v>17.916666666666664</v>
      </c>
      <c r="O9" s="35">
        <f>'Revenue costs'!O22-'Revenue costs'!O29-'Revenue costs'!O30-O56</f>
        <v>17.916666666666664</v>
      </c>
      <c r="P9" s="35">
        <f>'Revenue costs'!P22-'Revenue costs'!P29-'Revenue costs'!P30-P56</f>
        <v>10.354666666666663</v>
      </c>
      <c r="Q9" s="35">
        <f>'Revenue costs'!Q22-'Revenue costs'!Q29-'Revenue costs'!Q30-Q56</f>
        <v>13.983333333333338</v>
      </c>
      <c r="R9" s="35">
        <f>'Revenue costs'!R22-'Revenue costs'!R29-'Revenue costs'!R30-R56</f>
        <v>13.983333333333338</v>
      </c>
      <c r="S9" s="35">
        <f>'Revenue costs'!S22-'Revenue costs'!S29-'Revenue costs'!S30-S56</f>
        <v>13.983333333333338</v>
      </c>
      <c r="T9" s="35">
        <f>'Revenue costs'!T22-'Revenue costs'!T29-'Revenue costs'!T30-T56</f>
        <v>13.983333333333338</v>
      </c>
      <c r="U9" s="35">
        <f>'Revenue costs'!U22-'Revenue costs'!U29-'Revenue costs'!U30-U56</f>
        <v>13.983333333333338</v>
      </c>
      <c r="V9" s="35">
        <f>'Revenue costs'!V22-'Revenue costs'!V29-'Revenue costs'!V30-V56</f>
        <v>13.983333333333338</v>
      </c>
      <c r="W9" s="35">
        <f>'Revenue costs'!W22-'Revenue costs'!W29-'Revenue costs'!W30-W56</f>
        <v>13.983333333333338</v>
      </c>
      <c r="X9" s="35">
        <f>'Revenue costs'!X22-'Revenue costs'!X29-'Revenue costs'!X30-X56</f>
        <v>13.983333333333338</v>
      </c>
      <c r="Y9" s="35">
        <f>'Revenue costs'!Y22-'Revenue costs'!Y29-'Revenue costs'!Y30-Y56</f>
        <v>13.983333333333338</v>
      </c>
      <c r="Z9" s="35">
        <f>'Revenue costs'!Z22-'Revenue costs'!Z29-'Revenue costs'!Z30-Z56</f>
        <v>13.983333333333338</v>
      </c>
      <c r="AA9" s="35">
        <f>'Revenue costs'!AA22-'Revenue costs'!AA29-'Revenue costs'!AA30-AA56</f>
        <v>13.983333333333338</v>
      </c>
      <c r="AB9" s="35">
        <f>'Revenue costs'!AB22-'Revenue costs'!AB29-'Revenue costs'!AB30-AB56</f>
        <v>13.983333333333338</v>
      </c>
      <c r="AC9" s="35">
        <f>'Revenue costs'!AC22-'Revenue costs'!AC29-'Revenue costs'!AC30-AC56</f>
        <v>15.358416666666667</v>
      </c>
      <c r="AD9" s="35">
        <f>'Revenue costs'!AD22-'Revenue costs'!AD29-'Revenue costs'!AD30-AD56</f>
        <v>15.358416666666667</v>
      </c>
      <c r="AE9" s="35">
        <f>'Revenue costs'!AE22-'Revenue costs'!AE29-'Revenue costs'!AE30-AE56</f>
        <v>15.358416666666667</v>
      </c>
      <c r="AF9" s="35">
        <f>'Revenue costs'!AF22-'Revenue costs'!AF29-'Revenue costs'!AF30-AF56</f>
        <v>15.358416666666667</v>
      </c>
      <c r="AG9" s="35">
        <f>'Revenue costs'!AG22-'Revenue costs'!AG29-'Revenue costs'!AG30-AG56</f>
        <v>15.358416666666667</v>
      </c>
      <c r="AH9" s="35">
        <f>'Revenue costs'!AH22-'Revenue costs'!AH29-'Revenue costs'!AH30-AH56</f>
        <v>15.358416666666667</v>
      </c>
      <c r="AI9" s="35">
        <f>'Revenue costs'!AI22-'Revenue costs'!AI29-'Revenue costs'!AI30-AI56</f>
        <v>15.358416666666667</v>
      </c>
      <c r="AJ9" s="35">
        <f>'Revenue costs'!AJ22-'Revenue costs'!AJ29-'Revenue costs'!AJ30-AJ56</f>
        <v>15.358416666666667</v>
      </c>
      <c r="AK9" s="35">
        <f>'Revenue costs'!AK22-'Revenue costs'!AK29-'Revenue costs'!AK30-AK56</f>
        <v>15.358416666666667</v>
      </c>
      <c r="AL9" s="35">
        <f>'Revenue costs'!AL22-'Revenue costs'!AL29-'Revenue costs'!AL30-AL56</f>
        <v>15.358416666666667</v>
      </c>
      <c r="AM9" s="35">
        <f>'Revenue costs'!AM22-'Revenue costs'!AM29-'Revenue costs'!AM30-AM56</f>
        <v>15.358416666666667</v>
      </c>
      <c r="AN9" s="35">
        <f>'Revenue costs'!AN22-'Revenue costs'!AN29-'Revenue costs'!AN30-AN56</f>
        <v>15.358416666666667</v>
      </c>
      <c r="AO9" s="35">
        <f>'Revenue costs'!AO22-'Revenue costs'!AO29-'Revenue costs'!AO30-AO56</f>
        <v>15.5233475</v>
      </c>
      <c r="AP9" s="35">
        <f>'Revenue costs'!AP22-'Revenue costs'!AP29-'Revenue costs'!AP30-AP56</f>
        <v>15.5233475</v>
      </c>
      <c r="AQ9" s="35">
        <f>'Revenue costs'!AQ22-'Revenue costs'!AQ29-'Revenue costs'!AQ30-AQ56</f>
        <v>15.5233475</v>
      </c>
      <c r="AR9" s="35">
        <f>'Revenue costs'!AR22-'Revenue costs'!AR29-'Revenue costs'!AR30-AR56</f>
        <v>15.5233475</v>
      </c>
      <c r="AS9" s="35">
        <f>'Revenue costs'!AS22-'Revenue costs'!AS29-'Revenue costs'!AS30-AS56</f>
        <v>15.5233475</v>
      </c>
      <c r="AT9" s="35">
        <f>'Revenue costs'!AT22-'Revenue costs'!AT29-'Revenue costs'!AT30-AT56</f>
        <v>15.5233475</v>
      </c>
      <c r="AU9" s="35">
        <f>'Revenue costs'!AU22-'Revenue costs'!AU29-'Revenue costs'!AU30-AU56</f>
        <v>15.5233475</v>
      </c>
      <c r="AV9" s="35">
        <f>'Revenue costs'!AV22-'Revenue costs'!AV29-'Revenue costs'!AV30-AV56</f>
        <v>15.5233475</v>
      </c>
      <c r="AW9" s="35">
        <f>'Revenue costs'!AW22-'Revenue costs'!AW29-'Revenue costs'!AW30-AW56</f>
        <v>15.5233475</v>
      </c>
      <c r="AX9" s="35">
        <f>'Revenue costs'!AX22-'Revenue costs'!AX29-'Revenue costs'!AX30-AX56</f>
        <v>15.5233475</v>
      </c>
      <c r="AY9" s="35">
        <f>'Revenue costs'!AY22-'Revenue costs'!AY29-'Revenue costs'!AY30-AY56</f>
        <v>15.5233475</v>
      </c>
      <c r="AZ9" s="35">
        <f>'Revenue costs'!AZ22-'Revenue costs'!AZ29-'Revenue costs'!AZ30-AZ56</f>
        <v>15.5233475</v>
      </c>
      <c r="BA9" s="35">
        <f>'Revenue costs'!BA22-'Revenue costs'!BA29-'Revenue costs'!BA30-BA56</f>
        <v>15.304193158333323</v>
      </c>
      <c r="BB9" s="35">
        <f>'Revenue costs'!BB22-'Revenue costs'!BB29-'Revenue costs'!BB30-BB56</f>
        <v>15.304193158333323</v>
      </c>
      <c r="BC9" s="35">
        <f>'Revenue costs'!BC22-'Revenue costs'!BC29-'Revenue costs'!BC30-BC56</f>
        <v>15.304193158333323</v>
      </c>
      <c r="BD9" s="35">
        <f>'Revenue costs'!BD22-'Revenue costs'!BD29-'Revenue costs'!BD30-BD56</f>
        <v>15.304193158333323</v>
      </c>
      <c r="BE9" s="35">
        <f>'Revenue costs'!BE22-'Revenue costs'!BE29-'Revenue costs'!BE30-BE56</f>
        <v>15.304193158333323</v>
      </c>
      <c r="BF9" s="35">
        <f>'Revenue costs'!BF22-'Revenue costs'!BF29-'Revenue costs'!BF30-BF56</f>
        <v>15.304193158333323</v>
      </c>
      <c r="BG9" s="35">
        <f>'Revenue costs'!BG22-'Revenue costs'!BG29-'Revenue costs'!BG30-BG56</f>
        <v>15.304193158333323</v>
      </c>
      <c r="BH9" s="35">
        <f>'Revenue costs'!BH22-'Revenue costs'!BH29-'Revenue costs'!BH30-BH56</f>
        <v>15.304193158333323</v>
      </c>
      <c r="BI9" s="35">
        <f>'Revenue costs'!BI22-'Revenue costs'!BI29-'Revenue costs'!BI30-BI56</f>
        <v>15.304193158333323</v>
      </c>
      <c r="BJ9" s="35">
        <f>'Revenue costs'!BJ22-'Revenue costs'!BJ29-'Revenue costs'!BJ30-BJ56</f>
        <v>15.304193158333323</v>
      </c>
      <c r="BK9" s="35">
        <f>'Revenue costs'!BK22-'Revenue costs'!BK29-'Revenue costs'!BK30-BK56</f>
        <v>15.304193158333323</v>
      </c>
      <c r="BL9" s="35">
        <f>'Revenue costs'!BL22-'Revenue costs'!BL29-'Revenue costs'!BL30-BL56</f>
        <v>15.304193158333323</v>
      </c>
      <c r="BM9" s="32"/>
      <c r="BN9" s="32"/>
    </row>
    <row r="10" spans="1:66" ht="20" customHeight="1">
      <c r="A10" s="30"/>
      <c r="B10" s="30"/>
      <c r="C10" s="31" t="s">
        <v>284</v>
      </c>
      <c r="D10" s="31"/>
      <c r="E10" s="35">
        <f>MAX('Revenue costs'!E28,E54*Assumptions!E309)</f>
        <v>8.3333333333333329E-2</v>
      </c>
      <c r="F10" s="35">
        <f>MAX('Revenue costs'!F28,F54*Assumptions!E309)</f>
        <v>4.3358682022269326</v>
      </c>
      <c r="G10" s="35">
        <f>MAX('Revenue costs'!G28,G54*Assumptions!E309)</f>
        <v>3.7870756692468266</v>
      </c>
      <c r="H10" s="35">
        <f>MAX('Revenue costs'!H28,H54*Assumptions!E309)</f>
        <v>8.3333333333333329E-2</v>
      </c>
      <c r="I10" s="35">
        <f>MAX('Revenue costs'!I28,I54*Assumptions!E309)</f>
        <v>8.3333333333333329E-2</v>
      </c>
      <c r="J10" s="35">
        <f>MAX('Revenue costs'!J28,J54*Assumptions!E309)</f>
        <v>8.3333333333333329E-2</v>
      </c>
      <c r="K10" s="35">
        <f>MAX('Revenue costs'!K28,K54*Assumptions!E309)</f>
        <v>8.3333333333333329E-2</v>
      </c>
      <c r="L10" s="35">
        <f>MAX('Revenue costs'!L28,L54*Assumptions!E309)</f>
        <v>8.3333333333333329E-2</v>
      </c>
      <c r="M10" s="35">
        <f>MAX('Revenue costs'!M28,M54*Assumptions!E309)</f>
        <v>8.3333333333333329E-2</v>
      </c>
      <c r="N10" s="35">
        <f>MAX('Revenue costs'!N28,N54*Assumptions!E309)</f>
        <v>8.3333333333333329E-2</v>
      </c>
      <c r="O10" s="35">
        <f>MAX('Revenue costs'!O28,O54*Assumptions!E309)</f>
        <v>8.3333333333333329E-2</v>
      </c>
      <c r="P10" s="35">
        <f>MAX('Revenue costs'!P28,P54*Assumptions!E309)</f>
        <v>8.3333333333333329E-2</v>
      </c>
      <c r="Q10" s="35">
        <f>MAX('Revenue costs'!Q28,Q54*Assumptions!F309)</f>
        <v>8.3333333333333329E-2</v>
      </c>
      <c r="R10" s="35">
        <f>MAX('Revenue costs'!R28,R54*Assumptions!F309)</f>
        <v>8.3333333333333329E-2</v>
      </c>
      <c r="S10" s="35">
        <f>MAX('Revenue costs'!S28,S54*Assumptions!F309)</f>
        <v>8.3333333333333329E-2</v>
      </c>
      <c r="T10" s="35">
        <f>MAX('Revenue costs'!T28,T54*Assumptions!F309)</f>
        <v>8.3333333333333329E-2</v>
      </c>
      <c r="U10" s="35">
        <f>MAX('Revenue costs'!U28,U54*Assumptions!F309)</f>
        <v>8.3333333333333329E-2</v>
      </c>
      <c r="V10" s="35">
        <f>MAX('Revenue costs'!V28,V54*Assumptions!F309)</f>
        <v>8.3333333333333329E-2</v>
      </c>
      <c r="W10" s="35">
        <f>MAX('Revenue costs'!W28,W54*Assumptions!F309)</f>
        <v>8.3333333333333329E-2</v>
      </c>
      <c r="X10" s="35">
        <f>MAX('Revenue costs'!X28,X54*Assumptions!F309)</f>
        <v>8.3333333333333329E-2</v>
      </c>
      <c r="Y10" s="35">
        <f>MAX('Revenue costs'!Y28,Y54*Assumptions!F309)</f>
        <v>8.3333333333333329E-2</v>
      </c>
      <c r="Z10" s="35">
        <f>MAX('Revenue costs'!Z28,Z54*Assumptions!F309)</f>
        <v>8.3333333333333329E-2</v>
      </c>
      <c r="AA10" s="35">
        <f>MAX('Revenue costs'!AA28,AA54*Assumptions!F309)</f>
        <v>8.3333333333333329E-2</v>
      </c>
      <c r="AB10" s="35">
        <f>MAX('Revenue costs'!AB28,AB54*Assumptions!F309)</f>
        <v>8.3333333333333329E-2</v>
      </c>
      <c r="AC10" s="35">
        <f>MAX('Revenue costs'!AC28,AC54*Assumptions!G309)</f>
        <v>8.3333333333333329E-2</v>
      </c>
      <c r="AD10" s="35">
        <f>MAX('Revenue costs'!AD28,AD54*Assumptions!G309)</f>
        <v>8.3333333333333329E-2</v>
      </c>
      <c r="AE10" s="35">
        <f>MAX('Revenue costs'!AE28,AE54*Assumptions!G309)</f>
        <v>8.3333333333333329E-2</v>
      </c>
      <c r="AF10" s="35">
        <f>MAX('Revenue costs'!AF28,AF54*Assumptions!G309)</f>
        <v>8.3333333333333329E-2</v>
      </c>
      <c r="AG10" s="35">
        <f>MAX('Revenue costs'!AG28,AG54*Assumptions!G309)</f>
        <v>8.3333333333333329E-2</v>
      </c>
      <c r="AH10" s="35">
        <f>MAX('Revenue costs'!AH28,AH54*Assumptions!G309)</f>
        <v>8.3333333333333329E-2</v>
      </c>
      <c r="AI10" s="35">
        <f>MAX('Revenue costs'!AI28,AI54*Assumptions!G309)</f>
        <v>8.3333333333333329E-2</v>
      </c>
      <c r="AJ10" s="35">
        <f>MAX('Revenue costs'!AJ28,AJ54*Assumptions!G309)</f>
        <v>8.3333333333333329E-2</v>
      </c>
      <c r="AK10" s="35">
        <f>MAX('Revenue costs'!AK28,AK54*Assumptions!G309)</f>
        <v>8.3333333333333329E-2</v>
      </c>
      <c r="AL10" s="35">
        <f>MAX('Revenue costs'!AL28,AL54*Assumptions!G309)</f>
        <v>8.3333333333333329E-2</v>
      </c>
      <c r="AM10" s="35">
        <f>MAX('Revenue costs'!AM28,AM54*Assumptions!G309)</f>
        <v>8.3333333333333329E-2</v>
      </c>
      <c r="AN10" s="35">
        <f>MAX('Revenue costs'!AN28,AN54*Assumptions!G309)</f>
        <v>8.3333333333333329E-2</v>
      </c>
      <c r="AO10" s="35">
        <f>MAX('Revenue costs'!AO28,AO54*Assumptions!H309)</f>
        <v>8.3333333333333329E-2</v>
      </c>
      <c r="AP10" s="35">
        <f>MAX('Revenue costs'!AP28,AP54*Assumptions!H309)</f>
        <v>8.3333333333333329E-2</v>
      </c>
      <c r="AQ10" s="35">
        <f>MAX('Revenue costs'!AQ28,AQ54*Assumptions!H309)</f>
        <v>8.3333333333333329E-2</v>
      </c>
      <c r="AR10" s="35">
        <f>MAX('Revenue costs'!AR28,AR54*Assumptions!H309)</f>
        <v>8.3333333333333329E-2</v>
      </c>
      <c r="AS10" s="35">
        <f>MAX('Revenue costs'!AS28,AS54*Assumptions!H309)</f>
        <v>8.3333333333333329E-2</v>
      </c>
      <c r="AT10" s="35">
        <f>MAX('Revenue costs'!AT28,AT54*Assumptions!H309)</f>
        <v>8.3333333333333329E-2</v>
      </c>
      <c r="AU10" s="35">
        <f>MAX('Revenue costs'!AU28,AU54*Assumptions!H309)</f>
        <v>8.3333333333333329E-2</v>
      </c>
      <c r="AV10" s="35">
        <f>MAX('Revenue costs'!AV28,AV54*Assumptions!H309)</f>
        <v>8.3333333333333329E-2</v>
      </c>
      <c r="AW10" s="35">
        <f>MAX('Revenue costs'!AW28,AW54*Assumptions!H309)</f>
        <v>8.3333333333333329E-2</v>
      </c>
      <c r="AX10" s="35">
        <f>MAX('Revenue costs'!AX28,AX54*Assumptions!H309)</f>
        <v>8.3333333333333329E-2</v>
      </c>
      <c r="AY10" s="35">
        <f>MAX('Revenue costs'!AY28,AY54*Assumptions!H309)</f>
        <v>8.3333333333333329E-2</v>
      </c>
      <c r="AZ10" s="35">
        <f>MAX('Revenue costs'!AZ28,AZ54*Assumptions!H309)</f>
        <v>8.3333333333333329E-2</v>
      </c>
      <c r="BA10" s="35">
        <f>MAX('Revenue costs'!BA28,BA54*Assumptions!I309)</f>
        <v>8.3333333333333329E-2</v>
      </c>
      <c r="BB10" s="35">
        <f>MAX('Revenue costs'!BB28,BB54*Assumptions!I309)</f>
        <v>8.3333333333333329E-2</v>
      </c>
      <c r="BC10" s="35">
        <f>MAX('Revenue costs'!BC28,BC54*Assumptions!I309)</f>
        <v>8.3333333333333329E-2</v>
      </c>
      <c r="BD10" s="35">
        <f>MAX('Revenue costs'!BD28,BD54*Assumptions!I309)</f>
        <v>8.3333333333333329E-2</v>
      </c>
      <c r="BE10" s="35">
        <f>MAX('Revenue costs'!BE28,BE54*Assumptions!I309)</f>
        <v>8.3333333333333329E-2</v>
      </c>
      <c r="BF10" s="35">
        <f>MAX('Revenue costs'!BF28,BF54*Assumptions!I309)</f>
        <v>8.3333333333333329E-2</v>
      </c>
      <c r="BG10" s="35">
        <f>MAX('Revenue costs'!BG28,BG54*Assumptions!I309)</f>
        <v>8.3333333333333329E-2</v>
      </c>
      <c r="BH10" s="35">
        <f>MAX('Revenue costs'!BH28,BH54*Assumptions!I309)</f>
        <v>0.15712556951762952</v>
      </c>
      <c r="BI10" s="35">
        <f>MAX('Revenue costs'!BI28,BI54*Assumptions!I309)</f>
        <v>0.521092741291316</v>
      </c>
      <c r="BJ10" s="35">
        <f>MAX('Revenue costs'!BJ28,BJ54*Assumptions!I309)</f>
        <v>0.53633832349027288</v>
      </c>
      <c r="BK10" s="35">
        <f>MAX('Revenue costs'!BK28,BK54*Assumptions!I309)</f>
        <v>0.551645972980225</v>
      </c>
      <c r="BL10" s="35">
        <f>MAX('Revenue costs'!BL28,BL54*Assumptions!I309)</f>
        <v>0.56701594244778808</v>
      </c>
      <c r="BM10" s="32"/>
      <c r="BN10" s="32"/>
    </row>
    <row r="11" spans="1:66" ht="20" customHeight="1">
      <c r="A11" s="30"/>
      <c r="B11" s="30"/>
      <c r="C11" s="31" t="s">
        <v>285</v>
      </c>
      <c r="D11" s="31"/>
      <c r="E11" s="35">
        <f>Transfers!E16</f>
        <v>0</v>
      </c>
      <c r="F11" s="35">
        <f>Transfers!F16</f>
        <v>0</v>
      </c>
      <c r="G11" s="35">
        <f>Transfers!G16</f>
        <v>77.852400000000003</v>
      </c>
      <c r="H11" s="35">
        <f>Transfers!H16</f>
        <v>0</v>
      </c>
      <c r="I11" s="35">
        <f>Transfers!I16</f>
        <v>0</v>
      </c>
      <c r="J11" s="35">
        <f>Transfers!J16</f>
        <v>223.76163918118317</v>
      </c>
      <c r="K11" s="35">
        <f>Transfers!K16</f>
        <v>5</v>
      </c>
      <c r="L11" s="35">
        <f>Transfers!L16</f>
        <v>0</v>
      </c>
      <c r="M11" s="35">
        <f>Transfers!M16</f>
        <v>0</v>
      </c>
      <c r="N11" s="35">
        <f>Transfers!N16</f>
        <v>0</v>
      </c>
      <c r="O11" s="35">
        <f>Transfers!O16</f>
        <v>0</v>
      </c>
      <c r="P11" s="35">
        <f>Transfers!P16</f>
        <v>0</v>
      </c>
      <c r="Q11" s="35">
        <f>Transfers!Q16</f>
        <v>29</v>
      </c>
      <c r="R11" s="35">
        <f>Transfers!R16</f>
        <v>0</v>
      </c>
      <c r="S11" s="35">
        <f>Transfers!S16</f>
        <v>38.346200000000003</v>
      </c>
      <c r="T11" s="35">
        <f>Transfers!T16</f>
        <v>0</v>
      </c>
      <c r="U11" s="35">
        <f>Transfers!U16</f>
        <v>0</v>
      </c>
      <c r="V11" s="35">
        <f>Transfers!V16</f>
        <v>112.74023135133261</v>
      </c>
      <c r="W11" s="35">
        <f>Transfers!W16</f>
        <v>0</v>
      </c>
      <c r="X11" s="35">
        <f>Transfers!X16</f>
        <v>0</v>
      </c>
      <c r="Y11" s="35">
        <f>Transfers!Y16</f>
        <v>0</v>
      </c>
      <c r="Z11" s="35">
        <f>Transfers!Z16</f>
        <v>0</v>
      </c>
      <c r="AA11" s="35">
        <f>Transfers!AA16</f>
        <v>0</v>
      </c>
      <c r="AB11" s="35">
        <f>Transfers!AB16</f>
        <v>0</v>
      </c>
      <c r="AC11" s="35">
        <f>Transfers!AC16</f>
        <v>47</v>
      </c>
      <c r="AD11" s="35">
        <f>Transfers!AD16</f>
        <v>0</v>
      </c>
      <c r="AE11" s="35">
        <f>Transfers!AE16</f>
        <v>28.759649999999997</v>
      </c>
      <c r="AF11" s="35">
        <f>Transfers!AF16</f>
        <v>0</v>
      </c>
      <c r="AG11" s="35">
        <f>Transfers!AG16</f>
        <v>0</v>
      </c>
      <c r="AH11" s="35">
        <f>Transfers!AH16</f>
        <v>19.536733860870878</v>
      </c>
      <c r="AI11" s="35">
        <f>Transfers!AI16</f>
        <v>0</v>
      </c>
      <c r="AJ11" s="35">
        <f>Transfers!AJ16</f>
        <v>0</v>
      </c>
      <c r="AK11" s="35">
        <f>Transfers!AK16</f>
        <v>0</v>
      </c>
      <c r="AL11" s="35">
        <f>Transfers!AL16</f>
        <v>0</v>
      </c>
      <c r="AM11" s="35">
        <f>Transfers!AM16</f>
        <v>0</v>
      </c>
      <c r="AN11" s="35">
        <f>Transfers!AN16</f>
        <v>0</v>
      </c>
      <c r="AO11" s="35">
        <f>Transfers!AO16</f>
        <v>59</v>
      </c>
      <c r="AP11" s="35">
        <f>Transfers!AP16</f>
        <v>0</v>
      </c>
      <c r="AQ11" s="35">
        <f>Transfers!AQ16</f>
        <v>28.759649999999997</v>
      </c>
      <c r="AR11" s="35">
        <f>Transfers!AR16</f>
        <v>0</v>
      </c>
      <c r="AS11" s="35">
        <f>Transfers!AS16</f>
        <v>0</v>
      </c>
      <c r="AT11" s="35">
        <f>Transfers!AT16</f>
        <v>20.513570553914423</v>
      </c>
      <c r="AU11" s="35">
        <f>Transfers!AU16</f>
        <v>0</v>
      </c>
      <c r="AV11" s="35">
        <f>Transfers!AV16</f>
        <v>0</v>
      </c>
      <c r="AW11" s="35">
        <f>Transfers!AW16</f>
        <v>0</v>
      </c>
      <c r="AX11" s="35">
        <f>Transfers!AX16</f>
        <v>0</v>
      </c>
      <c r="AY11" s="35">
        <f>Transfers!AY16</f>
        <v>0</v>
      </c>
      <c r="AZ11" s="35">
        <f>Transfers!AZ16</f>
        <v>0</v>
      </c>
      <c r="BA11" s="35">
        <f>Transfers!BA16</f>
        <v>65</v>
      </c>
      <c r="BB11" s="35">
        <f>Transfers!BB16</f>
        <v>0</v>
      </c>
      <c r="BC11" s="35">
        <f>Transfers!BC16</f>
        <v>19.173100000000002</v>
      </c>
      <c r="BD11" s="35">
        <f>Transfers!BD16</f>
        <v>0</v>
      </c>
      <c r="BE11" s="35">
        <f>Transfers!BE16</f>
        <v>0</v>
      </c>
      <c r="BF11" s="35">
        <f>Transfers!BF16</f>
        <v>21.539249081610141</v>
      </c>
      <c r="BG11" s="35">
        <f>Transfers!BG16</f>
        <v>0</v>
      </c>
      <c r="BH11" s="35">
        <f>Transfers!BH16</f>
        <v>0</v>
      </c>
      <c r="BI11" s="35">
        <f>Transfers!BI16</f>
        <v>0</v>
      </c>
      <c r="BJ11" s="35">
        <f>Transfers!BJ16</f>
        <v>0</v>
      </c>
      <c r="BK11" s="35">
        <f>Transfers!BK16</f>
        <v>0</v>
      </c>
      <c r="BL11" s="35">
        <f>Transfers!BL16</f>
        <v>0</v>
      </c>
      <c r="BM11" s="32"/>
      <c r="BN11" s="32"/>
    </row>
    <row r="12" spans="1:66" ht="20" customHeight="1">
      <c r="A12" s="30"/>
      <c r="B12" s="30"/>
      <c r="C12" s="31" t="s">
        <v>286</v>
      </c>
      <c r="D12" s="31"/>
      <c r="E12" s="35">
        <f>Transfers!E28</f>
        <v>0</v>
      </c>
      <c r="F12" s="35">
        <f>Transfers!F28</f>
        <v>15</v>
      </c>
      <c r="G12" s="35">
        <f>Transfers!G28</f>
        <v>21.015000000000001</v>
      </c>
      <c r="H12" s="35">
        <f>Transfers!H28</f>
        <v>0</v>
      </c>
      <c r="I12" s="35">
        <f>Transfers!I28</f>
        <v>0</v>
      </c>
      <c r="J12" s="35">
        <f>Transfers!J28</f>
        <v>25.639920206584108</v>
      </c>
      <c r="K12" s="35">
        <f>Transfers!K28</f>
        <v>0</v>
      </c>
      <c r="L12" s="35">
        <f>Transfers!L28</f>
        <v>0</v>
      </c>
      <c r="M12" s="35">
        <f>Transfers!M28</f>
        <v>0</v>
      </c>
      <c r="N12" s="35">
        <f>Transfers!N28</f>
        <v>0</v>
      </c>
      <c r="O12" s="35">
        <f>Transfers!O28</f>
        <v>0</v>
      </c>
      <c r="P12" s="35">
        <f>Transfers!P28</f>
        <v>0</v>
      </c>
      <c r="Q12" s="35">
        <f>Transfers!Q28</f>
        <v>0</v>
      </c>
      <c r="R12" s="35">
        <f>Transfers!R28</f>
        <v>34</v>
      </c>
      <c r="S12" s="35">
        <f>Transfers!S28</f>
        <v>0</v>
      </c>
      <c r="T12" s="35">
        <f>Transfers!T28</f>
        <v>0</v>
      </c>
      <c r="U12" s="35">
        <f>Transfers!U28</f>
        <v>0</v>
      </c>
      <c r="V12" s="35">
        <f>Transfers!V28</f>
        <v>23.08568840653027</v>
      </c>
      <c r="W12" s="35">
        <f>Transfers!W28</f>
        <v>0</v>
      </c>
      <c r="X12" s="35">
        <f>Transfers!X28</f>
        <v>0</v>
      </c>
      <c r="Y12" s="35">
        <f>Transfers!Y28</f>
        <v>0</v>
      </c>
      <c r="Z12" s="35">
        <f>Transfers!Z28</f>
        <v>0</v>
      </c>
      <c r="AA12" s="35">
        <f>Transfers!AA28</f>
        <v>0</v>
      </c>
      <c r="AB12" s="35">
        <f>Transfers!AB28</f>
        <v>0</v>
      </c>
      <c r="AC12" s="35">
        <f>Transfers!AC28</f>
        <v>0</v>
      </c>
      <c r="AD12" s="35">
        <f>Transfers!AD28</f>
        <v>46</v>
      </c>
      <c r="AE12" s="35">
        <f>Transfers!AE28</f>
        <v>0</v>
      </c>
      <c r="AF12" s="35">
        <f>Transfers!AF28</f>
        <v>0</v>
      </c>
      <c r="AG12" s="35">
        <f>Transfers!AG28</f>
        <v>0</v>
      </c>
      <c r="AH12" s="35">
        <f>Transfers!AH28</f>
        <v>24.239972826856789</v>
      </c>
      <c r="AI12" s="35">
        <f>Transfers!AI28</f>
        <v>0</v>
      </c>
      <c r="AJ12" s="35">
        <f>Transfers!AJ28</f>
        <v>0</v>
      </c>
      <c r="AK12" s="35">
        <f>Transfers!AK28</f>
        <v>0</v>
      </c>
      <c r="AL12" s="35">
        <f>Transfers!AL28</f>
        <v>0</v>
      </c>
      <c r="AM12" s="35">
        <f>Transfers!AM28</f>
        <v>0</v>
      </c>
      <c r="AN12" s="35">
        <f>Transfers!AN28</f>
        <v>0</v>
      </c>
      <c r="AO12" s="35">
        <f>Transfers!AO28</f>
        <v>0</v>
      </c>
      <c r="AP12" s="35">
        <f>Transfers!AP28</f>
        <v>50</v>
      </c>
      <c r="AQ12" s="35">
        <f>Transfers!AQ28</f>
        <v>0</v>
      </c>
      <c r="AR12" s="35">
        <f>Transfers!AR28</f>
        <v>0</v>
      </c>
      <c r="AS12" s="35">
        <f>Transfers!AS28</f>
        <v>0</v>
      </c>
      <c r="AT12" s="35">
        <f>Transfers!AT28</f>
        <v>0</v>
      </c>
      <c r="AU12" s="35">
        <f>Transfers!AU28</f>
        <v>0</v>
      </c>
      <c r="AV12" s="35">
        <f>Transfers!AV28</f>
        <v>0</v>
      </c>
      <c r="AW12" s="35">
        <f>Transfers!AW28</f>
        <v>0</v>
      </c>
      <c r="AX12" s="35">
        <f>Transfers!AX28</f>
        <v>0</v>
      </c>
      <c r="AY12" s="35">
        <f>Transfers!AY28</f>
        <v>0</v>
      </c>
      <c r="AZ12" s="35">
        <f>Transfers!AZ28</f>
        <v>0</v>
      </c>
      <c r="BA12" s="35">
        <f>Transfers!BA28</f>
        <v>0</v>
      </c>
      <c r="BB12" s="35">
        <f>Transfers!BB28</f>
        <v>50</v>
      </c>
      <c r="BC12" s="35">
        <f>Transfers!BC28</f>
        <v>0</v>
      </c>
      <c r="BD12" s="35">
        <f>Transfers!BD28</f>
        <v>0</v>
      </c>
      <c r="BE12" s="35">
        <f>Transfers!BE28</f>
        <v>0</v>
      </c>
      <c r="BF12" s="35">
        <f>Transfers!BF28</f>
        <v>0</v>
      </c>
      <c r="BG12" s="35">
        <f>Transfers!BG28</f>
        <v>0</v>
      </c>
      <c r="BH12" s="35">
        <f>Transfers!BH28</f>
        <v>0</v>
      </c>
      <c r="BI12" s="35">
        <f>Transfers!BI28</f>
        <v>0</v>
      </c>
      <c r="BJ12" s="35">
        <f>Transfers!BJ28</f>
        <v>0</v>
      </c>
      <c r="BK12" s="35">
        <f>Transfers!BK28</f>
        <v>0</v>
      </c>
      <c r="BL12" s="35">
        <f>Transfers!BL28</f>
        <v>0</v>
      </c>
      <c r="BM12" s="32"/>
      <c r="BN12" s="32"/>
    </row>
    <row r="13" spans="1:66" ht="20" customHeight="1">
      <c r="A13" s="30"/>
      <c r="B13" s="30"/>
      <c r="C13" s="31" t="s">
        <v>287</v>
      </c>
      <c r="D13" s="31"/>
      <c r="E13" s="35">
        <f>'Revenue costs'!E26+'Revenue costs'!E27</f>
        <v>2.3666666666666667</v>
      </c>
      <c r="F13" s="35">
        <f>'Revenue costs'!F26+'Revenue costs'!F27</f>
        <v>2.3666666666666667</v>
      </c>
      <c r="G13" s="35">
        <f>'Revenue costs'!G26+'Revenue costs'!G27</f>
        <v>2.3666666666666667</v>
      </c>
      <c r="H13" s="35">
        <f>'Revenue costs'!H26+'Revenue costs'!H27</f>
        <v>2.3666666666666667</v>
      </c>
      <c r="I13" s="35">
        <f>'Revenue costs'!I26+'Revenue costs'!I27</f>
        <v>2.3666666666666667</v>
      </c>
      <c r="J13" s="35">
        <f>'Revenue costs'!J26+'Revenue costs'!J27</f>
        <v>2.3666666666666667</v>
      </c>
      <c r="K13" s="35">
        <f>'Revenue costs'!K26+'Revenue costs'!K27</f>
        <v>2.3666666666666667</v>
      </c>
      <c r="L13" s="35">
        <f>'Revenue costs'!L26+'Revenue costs'!L27</f>
        <v>2.3666666666666667</v>
      </c>
      <c r="M13" s="35">
        <f>'Revenue costs'!M26+'Revenue costs'!M27</f>
        <v>2.3666666666666667</v>
      </c>
      <c r="N13" s="35">
        <f>'Revenue costs'!N26+'Revenue costs'!N27</f>
        <v>2.3666666666666667</v>
      </c>
      <c r="O13" s="35">
        <f>'Revenue costs'!O26+'Revenue costs'!O27</f>
        <v>2.3666666666666667</v>
      </c>
      <c r="P13" s="35">
        <f>'Revenue costs'!P26+'Revenue costs'!P27</f>
        <v>2.3666666666666667</v>
      </c>
      <c r="Q13" s="35">
        <f>'Revenue costs'!Q26+'Revenue costs'!Q27</f>
        <v>2.3666666666666667</v>
      </c>
      <c r="R13" s="35">
        <f>'Revenue costs'!R26+'Revenue costs'!R27</f>
        <v>2.3666666666666667</v>
      </c>
      <c r="S13" s="35">
        <f>'Revenue costs'!S26+'Revenue costs'!S27</f>
        <v>2.3666666666666667</v>
      </c>
      <c r="T13" s="35">
        <f>'Revenue costs'!T26+'Revenue costs'!T27</f>
        <v>2.3666666666666667</v>
      </c>
      <c r="U13" s="35">
        <f>'Revenue costs'!U26+'Revenue costs'!U27</f>
        <v>2.3666666666666667</v>
      </c>
      <c r="V13" s="35">
        <f>'Revenue costs'!V26+'Revenue costs'!V27</f>
        <v>2.3666666666666667</v>
      </c>
      <c r="W13" s="35">
        <f>'Revenue costs'!W26+'Revenue costs'!W27</f>
        <v>2.3666666666666667</v>
      </c>
      <c r="X13" s="35">
        <f>'Revenue costs'!X26+'Revenue costs'!X27</f>
        <v>2.3666666666666667</v>
      </c>
      <c r="Y13" s="35">
        <f>'Revenue costs'!Y26+'Revenue costs'!Y27</f>
        <v>2.3666666666666667</v>
      </c>
      <c r="Z13" s="35">
        <f>'Revenue costs'!Z26+'Revenue costs'!Z27</f>
        <v>2.3666666666666667</v>
      </c>
      <c r="AA13" s="35">
        <f>'Revenue costs'!AA26+'Revenue costs'!AA27</f>
        <v>2.3666666666666667</v>
      </c>
      <c r="AB13" s="35">
        <f>'Revenue costs'!AB26+'Revenue costs'!AB27</f>
        <v>2.3666666666666667</v>
      </c>
      <c r="AC13" s="35">
        <f>'Revenue costs'!AC26+'Revenue costs'!AC27</f>
        <v>2.3666666666666667</v>
      </c>
      <c r="AD13" s="35">
        <f>'Revenue costs'!AD26+'Revenue costs'!AD27</f>
        <v>2.3666666666666667</v>
      </c>
      <c r="AE13" s="35">
        <f>'Revenue costs'!AE26+'Revenue costs'!AE27</f>
        <v>2.3666666666666667</v>
      </c>
      <c r="AF13" s="35">
        <f>'Revenue costs'!AF26+'Revenue costs'!AF27</f>
        <v>2.3666666666666667</v>
      </c>
      <c r="AG13" s="35">
        <f>'Revenue costs'!AG26+'Revenue costs'!AG27</f>
        <v>2.3666666666666667</v>
      </c>
      <c r="AH13" s="35">
        <f>'Revenue costs'!AH26+'Revenue costs'!AH27</f>
        <v>2.3666666666666667</v>
      </c>
      <c r="AI13" s="35">
        <f>'Revenue costs'!AI26+'Revenue costs'!AI27</f>
        <v>2.3666666666666667</v>
      </c>
      <c r="AJ13" s="35">
        <f>'Revenue costs'!AJ26+'Revenue costs'!AJ27</f>
        <v>2.3666666666666667</v>
      </c>
      <c r="AK13" s="35">
        <f>'Revenue costs'!AK26+'Revenue costs'!AK27</f>
        <v>2.3666666666666667</v>
      </c>
      <c r="AL13" s="35">
        <f>'Revenue costs'!AL26+'Revenue costs'!AL27</f>
        <v>2.3666666666666667</v>
      </c>
      <c r="AM13" s="35">
        <f>'Revenue costs'!AM26+'Revenue costs'!AM27</f>
        <v>2.3666666666666667</v>
      </c>
      <c r="AN13" s="35">
        <f>'Revenue costs'!AN26+'Revenue costs'!AN27</f>
        <v>2.3666666666666667</v>
      </c>
      <c r="AO13" s="35">
        <f>'Revenue costs'!AO26+'Revenue costs'!AO27</f>
        <v>2.3666666666666667</v>
      </c>
      <c r="AP13" s="35">
        <f>'Revenue costs'!AP26+'Revenue costs'!AP27</f>
        <v>2.3666666666666667</v>
      </c>
      <c r="AQ13" s="35">
        <f>'Revenue costs'!AQ26+'Revenue costs'!AQ27</f>
        <v>2.3666666666666667</v>
      </c>
      <c r="AR13" s="35">
        <f>'Revenue costs'!AR26+'Revenue costs'!AR27</f>
        <v>2.3666666666666667</v>
      </c>
      <c r="AS13" s="35">
        <f>'Revenue costs'!AS26+'Revenue costs'!AS27</f>
        <v>2.3666666666666667</v>
      </c>
      <c r="AT13" s="35">
        <f>'Revenue costs'!AT26+'Revenue costs'!AT27</f>
        <v>2.3666666666666667</v>
      </c>
      <c r="AU13" s="35">
        <f>'Revenue costs'!AU26+'Revenue costs'!AU27</f>
        <v>2.3666666666666667</v>
      </c>
      <c r="AV13" s="35">
        <f>'Revenue costs'!AV26+'Revenue costs'!AV27</f>
        <v>2.3666666666666667</v>
      </c>
      <c r="AW13" s="35">
        <f>'Revenue costs'!AW26+'Revenue costs'!AW27</f>
        <v>2.3666666666666667</v>
      </c>
      <c r="AX13" s="35">
        <f>'Revenue costs'!AX26+'Revenue costs'!AX27</f>
        <v>2.3666666666666667</v>
      </c>
      <c r="AY13" s="35">
        <f>'Revenue costs'!AY26+'Revenue costs'!AY27</f>
        <v>2.3666666666666667</v>
      </c>
      <c r="AZ13" s="35">
        <f>'Revenue costs'!AZ26+'Revenue costs'!AZ27</f>
        <v>2.3666666666666667</v>
      </c>
      <c r="BA13" s="35">
        <f>'Revenue costs'!BA26+'Revenue costs'!BA27</f>
        <v>2.3666666666666667</v>
      </c>
      <c r="BB13" s="35">
        <f>'Revenue costs'!BB26+'Revenue costs'!BB27</f>
        <v>2.3666666666666667</v>
      </c>
      <c r="BC13" s="35">
        <f>'Revenue costs'!BC26+'Revenue costs'!BC27</f>
        <v>2.3666666666666667</v>
      </c>
      <c r="BD13" s="35">
        <f>'Revenue costs'!BD26+'Revenue costs'!BD27</f>
        <v>2.3666666666666667</v>
      </c>
      <c r="BE13" s="35">
        <f>'Revenue costs'!BE26+'Revenue costs'!BE27</f>
        <v>2.3666666666666667</v>
      </c>
      <c r="BF13" s="35">
        <f>'Revenue costs'!BF26+'Revenue costs'!BF27</f>
        <v>2.3666666666666667</v>
      </c>
      <c r="BG13" s="35">
        <f>'Revenue costs'!BG26+'Revenue costs'!BG27</f>
        <v>2.3666666666666667</v>
      </c>
      <c r="BH13" s="35">
        <f>'Revenue costs'!BH26+'Revenue costs'!BH27</f>
        <v>2.3666666666666667</v>
      </c>
      <c r="BI13" s="35">
        <f>'Revenue costs'!BI26+'Revenue costs'!BI27</f>
        <v>2.3666666666666667</v>
      </c>
      <c r="BJ13" s="35">
        <f>'Revenue costs'!BJ26+'Revenue costs'!BJ27</f>
        <v>2.3666666666666667</v>
      </c>
      <c r="BK13" s="35">
        <f>'Revenue costs'!BK26+'Revenue costs'!BK27</f>
        <v>2.3666666666666667</v>
      </c>
      <c r="BL13" s="35">
        <f>'Revenue costs'!BL26+'Revenue costs'!BL27</f>
        <v>2.3666666666666667</v>
      </c>
      <c r="BM13" s="32"/>
      <c r="BN13" s="32"/>
    </row>
    <row r="14" spans="1:66" ht="20" customHeight="1">
      <c r="A14" s="30"/>
      <c r="B14" s="30"/>
      <c r="C14" s="31" t="s">
        <v>196</v>
      </c>
      <c r="D14" s="31"/>
      <c r="E14" s="35">
        <f>MIN(Historical!G81,1.2/12)</f>
        <v>9.9999999999999992E-2</v>
      </c>
      <c r="F14" s="46">
        <f t="shared" ref="F14:AK14" si="2">MIN(E41,1.2/12)</f>
        <v>9.9999999999999992E-2</v>
      </c>
      <c r="G14" s="46">
        <f t="shared" si="2"/>
        <v>9.9999999999999992E-2</v>
      </c>
      <c r="H14" s="46">
        <f t="shared" si="2"/>
        <v>9.9999999999999992E-2</v>
      </c>
      <c r="I14" s="46">
        <f t="shared" si="2"/>
        <v>9.9999999999999992E-2</v>
      </c>
      <c r="J14" s="46">
        <f t="shared" si="2"/>
        <v>9.9999999999999992E-2</v>
      </c>
      <c r="K14" s="46">
        <f t="shared" si="2"/>
        <v>9.9999999999999992E-2</v>
      </c>
      <c r="L14" s="46">
        <f t="shared" si="2"/>
        <v>9.9999999999999992E-2</v>
      </c>
      <c r="M14" s="46">
        <f t="shared" si="2"/>
        <v>9.9999999999999992E-2</v>
      </c>
      <c r="N14" s="46">
        <f t="shared" si="2"/>
        <v>9.9999999999999992E-2</v>
      </c>
      <c r="O14" s="46">
        <f t="shared" si="2"/>
        <v>9.9999999999999992E-2</v>
      </c>
      <c r="P14" s="46">
        <f t="shared" si="2"/>
        <v>9.9999999999999992E-2</v>
      </c>
      <c r="Q14" s="46">
        <f t="shared" si="2"/>
        <v>9.9999999999999992E-2</v>
      </c>
      <c r="R14" s="46">
        <f t="shared" si="2"/>
        <v>9.9999999999999992E-2</v>
      </c>
      <c r="S14" s="46">
        <f t="shared" si="2"/>
        <v>9.9999999999999992E-2</v>
      </c>
      <c r="T14" s="46">
        <f t="shared" si="2"/>
        <v>9.9999999999999992E-2</v>
      </c>
      <c r="U14" s="46">
        <f t="shared" si="2"/>
        <v>9.9999999999999992E-2</v>
      </c>
      <c r="V14" s="46">
        <f t="shared" si="2"/>
        <v>9.9999999999999992E-2</v>
      </c>
      <c r="W14" s="46">
        <f t="shared" si="2"/>
        <v>9.9999999999999992E-2</v>
      </c>
      <c r="X14" s="46">
        <f t="shared" si="2"/>
        <v>9.9999999999999992E-2</v>
      </c>
      <c r="Y14" s="46">
        <f t="shared" si="2"/>
        <v>9.9999999999999992E-2</v>
      </c>
      <c r="Z14" s="46">
        <f t="shared" si="2"/>
        <v>9.9999999999999992E-2</v>
      </c>
      <c r="AA14" s="46">
        <f t="shared" si="2"/>
        <v>9.9999999999999992E-2</v>
      </c>
      <c r="AB14" s="46">
        <f t="shared" si="2"/>
        <v>9.9999999999999992E-2</v>
      </c>
      <c r="AC14" s="46">
        <f t="shared" si="2"/>
        <v>9.9999999999999992E-2</v>
      </c>
      <c r="AD14" s="46">
        <f t="shared" si="2"/>
        <v>9.9999999999999992E-2</v>
      </c>
      <c r="AE14" s="46">
        <f t="shared" si="2"/>
        <v>9.9999999999999992E-2</v>
      </c>
      <c r="AF14" s="46">
        <f t="shared" si="2"/>
        <v>9.9999999999999992E-2</v>
      </c>
      <c r="AG14" s="46">
        <f t="shared" si="2"/>
        <v>9.9999999999999992E-2</v>
      </c>
      <c r="AH14" s="46">
        <f t="shared" si="2"/>
        <v>9.9999999999999992E-2</v>
      </c>
      <c r="AI14" s="46">
        <f t="shared" si="2"/>
        <v>9.9999999999999992E-2</v>
      </c>
      <c r="AJ14" s="46">
        <f t="shared" si="2"/>
        <v>9.9999999999999992E-2</v>
      </c>
      <c r="AK14" s="46">
        <f t="shared" si="2"/>
        <v>6.9999999999998272E-2</v>
      </c>
      <c r="AL14" s="46">
        <f t="shared" ref="AL14:BL14" si="3">MIN(AK41,1.2/12)</f>
        <v>0</v>
      </c>
      <c r="AM14" s="46">
        <f t="shared" si="3"/>
        <v>0</v>
      </c>
      <c r="AN14" s="46">
        <f t="shared" si="3"/>
        <v>0</v>
      </c>
      <c r="AO14" s="46">
        <f t="shared" si="3"/>
        <v>0</v>
      </c>
      <c r="AP14" s="46">
        <f t="shared" si="3"/>
        <v>0</v>
      </c>
      <c r="AQ14" s="46">
        <f t="shared" si="3"/>
        <v>0</v>
      </c>
      <c r="AR14" s="46">
        <f t="shared" si="3"/>
        <v>0</v>
      </c>
      <c r="AS14" s="46">
        <f t="shared" si="3"/>
        <v>0</v>
      </c>
      <c r="AT14" s="46">
        <f t="shared" si="3"/>
        <v>0</v>
      </c>
      <c r="AU14" s="46">
        <f t="shared" si="3"/>
        <v>0</v>
      </c>
      <c r="AV14" s="46">
        <f t="shared" si="3"/>
        <v>0</v>
      </c>
      <c r="AW14" s="46">
        <f t="shared" si="3"/>
        <v>0</v>
      </c>
      <c r="AX14" s="46">
        <f t="shared" si="3"/>
        <v>0</v>
      </c>
      <c r="AY14" s="46">
        <f t="shared" si="3"/>
        <v>0</v>
      </c>
      <c r="AZ14" s="46">
        <f t="shared" si="3"/>
        <v>0</v>
      </c>
      <c r="BA14" s="46">
        <f t="shared" si="3"/>
        <v>0</v>
      </c>
      <c r="BB14" s="46">
        <f t="shared" si="3"/>
        <v>0</v>
      </c>
      <c r="BC14" s="46">
        <f t="shared" si="3"/>
        <v>0</v>
      </c>
      <c r="BD14" s="46">
        <f t="shared" si="3"/>
        <v>0</v>
      </c>
      <c r="BE14" s="46">
        <f t="shared" si="3"/>
        <v>0</v>
      </c>
      <c r="BF14" s="46">
        <f t="shared" si="3"/>
        <v>0</v>
      </c>
      <c r="BG14" s="46">
        <f t="shared" si="3"/>
        <v>0</v>
      </c>
      <c r="BH14" s="46">
        <f t="shared" si="3"/>
        <v>0</v>
      </c>
      <c r="BI14" s="46">
        <f t="shared" si="3"/>
        <v>0</v>
      </c>
      <c r="BJ14" s="46">
        <f t="shared" si="3"/>
        <v>0</v>
      </c>
      <c r="BK14" s="46">
        <f t="shared" si="3"/>
        <v>0</v>
      </c>
      <c r="BL14" s="46">
        <f t="shared" si="3"/>
        <v>0</v>
      </c>
      <c r="BM14" s="32"/>
      <c r="BN14" s="32"/>
    </row>
    <row r="15" spans="1:66" ht="20" customHeight="1">
      <c r="A15" s="30"/>
      <c r="B15" s="30"/>
      <c r="C15" s="31" t="s">
        <v>288</v>
      </c>
      <c r="D15" s="31"/>
      <c r="E15" s="46">
        <f t="shared" ref="E15:AJ15" si="4">E9-E10-E11+E12-E13-E14</f>
        <v>15.366666666666665</v>
      </c>
      <c r="F15" s="46">
        <f t="shared" si="4"/>
        <v>26.114131797773062</v>
      </c>
      <c r="G15" s="46">
        <f t="shared" si="4"/>
        <v>-45.174475669246831</v>
      </c>
      <c r="H15" s="46">
        <f t="shared" si="4"/>
        <v>15.366666666666665</v>
      </c>
      <c r="I15" s="46">
        <f t="shared" si="4"/>
        <v>15.366666666666665</v>
      </c>
      <c r="J15" s="46">
        <f t="shared" si="4"/>
        <v>-182.7550523079324</v>
      </c>
      <c r="K15" s="46">
        <f t="shared" si="4"/>
        <v>10.366666666666665</v>
      </c>
      <c r="L15" s="46">
        <f t="shared" si="4"/>
        <v>15.366666666666665</v>
      </c>
      <c r="M15" s="46">
        <f t="shared" si="4"/>
        <v>15.366666666666665</v>
      </c>
      <c r="N15" s="46">
        <f t="shared" si="4"/>
        <v>15.366666666666665</v>
      </c>
      <c r="O15" s="46">
        <f t="shared" si="4"/>
        <v>15.366666666666665</v>
      </c>
      <c r="P15" s="46">
        <f t="shared" si="4"/>
        <v>7.8046666666666624</v>
      </c>
      <c r="Q15" s="46">
        <f t="shared" si="4"/>
        <v>-17.566666666666663</v>
      </c>
      <c r="R15" s="46">
        <f t="shared" si="4"/>
        <v>45.433333333333337</v>
      </c>
      <c r="S15" s="46">
        <f t="shared" si="4"/>
        <v>-26.912866666666666</v>
      </c>
      <c r="T15" s="46">
        <f t="shared" si="4"/>
        <v>11.433333333333337</v>
      </c>
      <c r="U15" s="46">
        <f t="shared" si="4"/>
        <v>11.433333333333337</v>
      </c>
      <c r="V15" s="46">
        <f t="shared" si="4"/>
        <v>-78.221209611468993</v>
      </c>
      <c r="W15" s="46">
        <f t="shared" si="4"/>
        <v>11.433333333333337</v>
      </c>
      <c r="X15" s="46">
        <f t="shared" si="4"/>
        <v>11.433333333333337</v>
      </c>
      <c r="Y15" s="46">
        <f t="shared" si="4"/>
        <v>11.433333333333337</v>
      </c>
      <c r="Z15" s="46">
        <f t="shared" si="4"/>
        <v>11.433333333333337</v>
      </c>
      <c r="AA15" s="46">
        <f t="shared" si="4"/>
        <v>11.433333333333337</v>
      </c>
      <c r="AB15" s="46">
        <f t="shared" si="4"/>
        <v>11.433333333333337</v>
      </c>
      <c r="AC15" s="46">
        <f t="shared" si="4"/>
        <v>-34.191583333333334</v>
      </c>
      <c r="AD15" s="46">
        <f t="shared" si="4"/>
        <v>58.808416666666666</v>
      </c>
      <c r="AE15" s="46">
        <f t="shared" si="4"/>
        <v>-15.951233333333331</v>
      </c>
      <c r="AF15" s="46">
        <f t="shared" si="4"/>
        <v>12.808416666666666</v>
      </c>
      <c r="AG15" s="46">
        <f t="shared" si="4"/>
        <v>12.808416666666666</v>
      </c>
      <c r="AH15" s="46">
        <f t="shared" si="4"/>
        <v>17.511655632652577</v>
      </c>
      <c r="AI15" s="46">
        <f t="shared" si="4"/>
        <v>12.808416666666666</v>
      </c>
      <c r="AJ15" s="46">
        <f t="shared" si="4"/>
        <v>12.808416666666666</v>
      </c>
      <c r="AK15" s="46">
        <f t="shared" ref="AK15:BP15" si="5">AK9-AK10-AK11+AK12-AK13-AK14</f>
        <v>12.838416666666667</v>
      </c>
      <c r="AL15" s="46">
        <f t="shared" si="5"/>
        <v>12.908416666666666</v>
      </c>
      <c r="AM15" s="46">
        <f t="shared" si="5"/>
        <v>12.908416666666666</v>
      </c>
      <c r="AN15" s="46">
        <f t="shared" si="5"/>
        <v>12.908416666666666</v>
      </c>
      <c r="AO15" s="46">
        <f t="shared" si="5"/>
        <v>-45.926652500000003</v>
      </c>
      <c r="AP15" s="46">
        <f t="shared" si="5"/>
        <v>63.073347500000004</v>
      </c>
      <c r="AQ15" s="46">
        <f t="shared" si="5"/>
        <v>-15.686302499999998</v>
      </c>
      <c r="AR15" s="46">
        <f t="shared" si="5"/>
        <v>13.073347499999999</v>
      </c>
      <c r="AS15" s="46">
        <f t="shared" si="5"/>
        <v>13.073347499999999</v>
      </c>
      <c r="AT15" s="46">
        <f t="shared" si="5"/>
        <v>-7.4402230539144245</v>
      </c>
      <c r="AU15" s="46">
        <f t="shared" si="5"/>
        <v>13.073347499999999</v>
      </c>
      <c r="AV15" s="46">
        <f t="shared" si="5"/>
        <v>13.073347499999999</v>
      </c>
      <c r="AW15" s="46">
        <f t="shared" si="5"/>
        <v>13.073347499999999</v>
      </c>
      <c r="AX15" s="46">
        <f t="shared" si="5"/>
        <v>13.073347499999999</v>
      </c>
      <c r="AY15" s="46">
        <f t="shared" si="5"/>
        <v>13.073347499999999</v>
      </c>
      <c r="AZ15" s="46">
        <f t="shared" si="5"/>
        <v>13.073347499999999</v>
      </c>
      <c r="BA15" s="46">
        <f t="shared" si="5"/>
        <v>-52.145806841666676</v>
      </c>
      <c r="BB15" s="46">
        <f t="shared" si="5"/>
        <v>62.854193158333324</v>
      </c>
      <c r="BC15" s="46">
        <f t="shared" si="5"/>
        <v>-6.3189068416666796</v>
      </c>
      <c r="BD15" s="46">
        <f t="shared" si="5"/>
        <v>12.854193158333322</v>
      </c>
      <c r="BE15" s="46">
        <f t="shared" si="5"/>
        <v>12.854193158333322</v>
      </c>
      <c r="BF15" s="46">
        <f t="shared" si="5"/>
        <v>-8.6850559232768187</v>
      </c>
      <c r="BG15" s="46">
        <f t="shared" si="5"/>
        <v>12.854193158333322</v>
      </c>
      <c r="BH15" s="46">
        <f t="shared" si="5"/>
        <v>12.780400922149026</v>
      </c>
      <c r="BI15" s="46">
        <f t="shared" si="5"/>
        <v>12.41643375037534</v>
      </c>
      <c r="BJ15" s="46">
        <f t="shared" si="5"/>
        <v>12.401188168176382</v>
      </c>
      <c r="BK15" s="46">
        <f t="shared" si="5"/>
        <v>12.385880518686431</v>
      </c>
      <c r="BL15" s="46">
        <f t="shared" si="5"/>
        <v>12.370510549218867</v>
      </c>
      <c r="BM15" s="32"/>
      <c r="BN15" s="32"/>
    </row>
    <row r="16" spans="1:66" ht="20" customHeight="1">
      <c r="A16" s="30"/>
      <c r="B16" s="30"/>
      <c r="C16" s="31"/>
      <c r="D16" s="31"/>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row>
    <row r="17" spans="1:66" ht="20" customHeight="1">
      <c r="A17" s="30"/>
      <c r="B17" s="30"/>
      <c r="C17" s="31" t="s">
        <v>289</v>
      </c>
      <c r="D17" s="31"/>
      <c r="E17" s="46">
        <f>110</f>
        <v>110</v>
      </c>
      <c r="F17" s="46">
        <f t="shared" ref="F17:AK17" si="6">E32</f>
        <v>210</v>
      </c>
      <c r="G17" s="46">
        <f t="shared" si="6"/>
        <v>230</v>
      </c>
      <c r="H17" s="46">
        <f t="shared" si="6"/>
        <v>200</v>
      </c>
      <c r="I17" s="46">
        <f t="shared" si="6"/>
        <v>64.785991741147967</v>
      </c>
      <c r="J17" s="46">
        <f t="shared" si="6"/>
        <v>50.5808694971644</v>
      </c>
      <c r="K17" s="46">
        <f t="shared" si="6"/>
        <v>245.50322858254228</v>
      </c>
      <c r="L17" s="46">
        <f t="shared" si="6"/>
        <v>237.27699137144958</v>
      </c>
      <c r="M17" s="46">
        <f t="shared" si="6"/>
        <v>224.00619537546348</v>
      </c>
      <c r="N17" s="46">
        <f t="shared" si="6"/>
        <v>210.66351590116579</v>
      </c>
      <c r="O17" s="46">
        <f t="shared" si="6"/>
        <v>197.24856357971566</v>
      </c>
      <c r="P17" s="46">
        <f t="shared" si="6"/>
        <v>183.76094693319101</v>
      </c>
      <c r="Q17" s="46">
        <f t="shared" si="6"/>
        <v>188.84497913008164</v>
      </c>
      <c r="R17" s="46">
        <f t="shared" si="6"/>
        <v>208.24517640112146</v>
      </c>
      <c r="S17" s="46">
        <f t="shared" si="6"/>
        <v>164.75045807404607</v>
      </c>
      <c r="T17" s="46">
        <f t="shared" si="6"/>
        <v>193.36634335603236</v>
      </c>
      <c r="U17" s="46">
        <f t="shared" si="6"/>
        <v>183.79103134996274</v>
      </c>
      <c r="V17" s="46">
        <f t="shared" si="6"/>
        <v>174.1638530705269</v>
      </c>
      <c r="W17" s="46">
        <f t="shared" si="6"/>
        <v>265.22177728713041</v>
      </c>
      <c r="X17" s="46">
        <f t="shared" si="6"/>
        <v>256.03568221485426</v>
      </c>
      <c r="Y17" s="46">
        <f t="shared" si="6"/>
        <v>246.79982912760326</v>
      </c>
      <c r="Z17" s="46">
        <f t="shared" si="6"/>
        <v>237.51394850279632</v>
      </c>
      <c r="AA17" s="46">
        <f t="shared" si="6"/>
        <v>228.17776935793836</v>
      </c>
      <c r="AB17" s="46">
        <f t="shared" si="6"/>
        <v>218.79101924271239</v>
      </c>
      <c r="AC17" s="46">
        <f t="shared" si="6"/>
        <v>220.43613099794626</v>
      </c>
      <c r="AD17" s="46">
        <f t="shared" si="6"/>
        <v>256.63236367493704</v>
      </c>
      <c r="AE17" s="46">
        <f t="shared" si="6"/>
        <v>200.02465927892817</v>
      </c>
      <c r="AF17" s="46">
        <f t="shared" si="6"/>
        <v>217.86997981744091</v>
      </c>
      <c r="AG17" s="46">
        <f t="shared" si="6"/>
        <v>207.05231250887059</v>
      </c>
      <c r="AH17" s="46">
        <f t="shared" si="6"/>
        <v>196.17604950237885</v>
      </c>
      <c r="AI17" s="46">
        <f t="shared" si="6"/>
        <v>191.62034120553332</v>
      </c>
      <c r="AJ17" s="46">
        <f t="shared" si="6"/>
        <v>180.66048835448186</v>
      </c>
      <c r="AK17" s="46">
        <f t="shared" si="6"/>
        <v>169.64126963382051</v>
      </c>
      <c r="AL17" s="46">
        <f t="shared" ref="AL17:BL17" si="7">AK32</f>
        <v>158.53236347842227</v>
      </c>
      <c r="AM17" s="46">
        <f t="shared" si="7"/>
        <v>147.29328408134893</v>
      </c>
      <c r="AN17" s="46">
        <f t="shared" si="7"/>
        <v>135.99332633754145</v>
      </c>
      <c r="AO17" s="46">
        <f t="shared" si="7"/>
        <v>135.71486725620565</v>
      </c>
      <c r="AP17" s="46">
        <f t="shared" si="7"/>
        <v>183.18726225459531</v>
      </c>
      <c r="AQ17" s="46">
        <f t="shared" si="7"/>
        <v>121.91679939255958</v>
      </c>
      <c r="AR17" s="46">
        <f t="shared" si="7"/>
        <v>139.07410485668782</v>
      </c>
      <c r="AS17" s="46">
        <f t="shared" si="7"/>
        <v>127.56469572541343</v>
      </c>
      <c r="AT17" s="46">
        <f t="shared" si="7"/>
        <v>115.99294396134464</v>
      </c>
      <c r="AU17" s="46">
        <f t="shared" si="7"/>
        <v>135.95478919605219</v>
      </c>
      <c r="AV17" s="46">
        <f t="shared" si="7"/>
        <v>124.42848377161602</v>
      </c>
      <c r="AW17" s="46">
        <f t="shared" si="7"/>
        <v>112.83974419279748</v>
      </c>
      <c r="AX17" s="46">
        <f t="shared" si="7"/>
        <v>101.18823227459369</v>
      </c>
      <c r="AY17" s="46">
        <f t="shared" si="7"/>
        <v>89.47360800016628</v>
      </c>
      <c r="AZ17" s="46">
        <f t="shared" si="7"/>
        <v>77.695529510919073</v>
      </c>
      <c r="BA17" s="46">
        <f t="shared" si="7"/>
        <v>76.936359863439066</v>
      </c>
      <c r="BB17" s="46">
        <f t="shared" si="7"/>
        <v>130.30952562178459</v>
      </c>
      <c r="BC17" s="46">
        <f t="shared" si="7"/>
        <v>68.971796027987807</v>
      </c>
      <c r="BD17" s="46">
        <f t="shared" si="7"/>
        <v>76.4749203988913</v>
      </c>
      <c r="BE17" s="46">
        <f t="shared" si="7"/>
        <v>64.845586693470523</v>
      </c>
      <c r="BF17" s="46">
        <f t="shared" si="7"/>
        <v>53.153260763812042</v>
      </c>
      <c r="BG17" s="46">
        <f t="shared" si="7"/>
        <v>74.019557250562016</v>
      </c>
      <c r="BH17" s="46">
        <f t="shared" si="7"/>
        <v>62.376923661421117</v>
      </c>
      <c r="BI17" s="46">
        <f t="shared" si="7"/>
        <v>50.745018043190001</v>
      </c>
      <c r="BJ17" s="46">
        <f t="shared" si="7"/>
        <v>39.414073441300488</v>
      </c>
      <c r="BK17" s="46">
        <f t="shared" si="7"/>
        <v>28.036998471683027</v>
      </c>
      <c r="BL17" s="46">
        <f t="shared" si="7"/>
        <v>16.613605328803423</v>
      </c>
      <c r="BM17" s="32"/>
      <c r="BN17" s="32"/>
    </row>
    <row r="18" spans="1:66" ht="20" customHeight="1">
      <c r="A18" s="30"/>
      <c r="B18" s="30"/>
      <c r="C18" s="31" t="s">
        <v>290</v>
      </c>
      <c r="D18" s="31"/>
      <c r="E18" s="35">
        <f>775/Assumptions!E208</f>
        <v>582.70676691729318</v>
      </c>
      <c r="F18" s="35">
        <f>775/Assumptions!E208</f>
        <v>582.70676691729318</v>
      </c>
      <c r="G18" s="35">
        <f>775/Assumptions!E208</f>
        <v>582.70676691729318</v>
      </c>
      <c r="H18" s="35">
        <f>775/Assumptions!E208</f>
        <v>582.70676691729318</v>
      </c>
      <c r="I18" s="35">
        <f>775/Assumptions!E208</f>
        <v>582.70676691729318</v>
      </c>
      <c r="J18" s="35">
        <f>775/Assumptions!E208</f>
        <v>582.70676691729318</v>
      </c>
      <c r="K18" s="35">
        <f>775/Assumptions!E208</f>
        <v>582.70676691729318</v>
      </c>
      <c r="L18" s="35">
        <f>775/Assumptions!E208</f>
        <v>582.70676691729318</v>
      </c>
      <c r="M18" s="35">
        <f>775/Assumptions!E208</f>
        <v>582.70676691729318</v>
      </c>
      <c r="N18" s="35">
        <f>775/Assumptions!E208</f>
        <v>582.70676691729318</v>
      </c>
      <c r="O18" s="35">
        <f>775/Assumptions!E208</f>
        <v>582.70676691729318</v>
      </c>
      <c r="P18" s="35">
        <f>775/Assumptions!E208</f>
        <v>582.70676691729318</v>
      </c>
      <c r="Q18" s="35">
        <f>775/Assumptions!F208</f>
        <v>582.70676691729318</v>
      </c>
      <c r="R18" s="35">
        <f>775/Assumptions!F208</f>
        <v>582.70676691729318</v>
      </c>
      <c r="S18" s="35">
        <f>775/Assumptions!F208</f>
        <v>582.70676691729318</v>
      </c>
      <c r="T18" s="35">
        <f>775/Assumptions!F208</f>
        <v>582.70676691729318</v>
      </c>
      <c r="U18" s="35">
        <f>775/Assumptions!F208</f>
        <v>582.70676691729318</v>
      </c>
      <c r="V18" s="35">
        <f>775/Assumptions!F208</f>
        <v>582.70676691729318</v>
      </c>
      <c r="W18" s="35">
        <f>775/Assumptions!F208</f>
        <v>582.70676691729318</v>
      </c>
      <c r="X18" s="35">
        <f>775/Assumptions!F208</f>
        <v>582.70676691729318</v>
      </c>
      <c r="Y18" s="35">
        <f>775/Assumptions!F208</f>
        <v>582.70676691729318</v>
      </c>
      <c r="Z18" s="35">
        <f>775/Assumptions!F208</f>
        <v>582.70676691729318</v>
      </c>
      <c r="AA18" s="35">
        <f>775/Assumptions!F208</f>
        <v>582.70676691729318</v>
      </c>
      <c r="AB18" s="35">
        <f>775/Assumptions!F208</f>
        <v>582.70676691729318</v>
      </c>
      <c r="AC18" s="35">
        <f>775/Assumptions!G208</f>
        <v>582.70676691729318</v>
      </c>
      <c r="AD18" s="35">
        <f>775/Assumptions!G208</f>
        <v>582.70676691729318</v>
      </c>
      <c r="AE18" s="35">
        <f>775/Assumptions!G208</f>
        <v>582.70676691729318</v>
      </c>
      <c r="AF18" s="35">
        <f>775/Assumptions!G208</f>
        <v>582.70676691729318</v>
      </c>
      <c r="AG18" s="35">
        <f>775/Assumptions!G208</f>
        <v>582.70676691729318</v>
      </c>
      <c r="AH18" s="35">
        <f>775/Assumptions!G208</f>
        <v>582.70676691729318</v>
      </c>
      <c r="AI18" s="35">
        <f>775/Assumptions!G208</f>
        <v>582.70676691729318</v>
      </c>
      <c r="AJ18" s="35">
        <f>775/Assumptions!G208</f>
        <v>582.70676691729318</v>
      </c>
      <c r="AK18" s="35">
        <f>775/Assumptions!G208</f>
        <v>582.70676691729318</v>
      </c>
      <c r="AL18" s="35">
        <f>775/Assumptions!G208</f>
        <v>582.70676691729318</v>
      </c>
      <c r="AM18" s="35">
        <f>775/Assumptions!G208</f>
        <v>582.70676691729318</v>
      </c>
      <c r="AN18" s="35">
        <f>775/Assumptions!G208</f>
        <v>582.70676691729318</v>
      </c>
      <c r="AO18" s="35">
        <f>775/Assumptions!H208</f>
        <v>582.70676691729318</v>
      </c>
      <c r="AP18" s="35">
        <f>775/Assumptions!H208</f>
        <v>582.70676691729318</v>
      </c>
      <c r="AQ18" s="35">
        <f>775/Assumptions!H208</f>
        <v>582.70676691729318</v>
      </c>
      <c r="AR18" s="35">
        <f>775/Assumptions!H208</f>
        <v>582.70676691729318</v>
      </c>
      <c r="AS18" s="35">
        <f>775/Assumptions!H208</f>
        <v>582.70676691729318</v>
      </c>
      <c r="AT18" s="35">
        <f>775/Assumptions!H208</f>
        <v>582.70676691729318</v>
      </c>
      <c r="AU18" s="35">
        <f>775/Assumptions!H208</f>
        <v>582.70676691729318</v>
      </c>
      <c r="AV18" s="35">
        <f>775/Assumptions!H208</f>
        <v>582.70676691729318</v>
      </c>
      <c r="AW18" s="35">
        <f>775/Assumptions!H208</f>
        <v>582.70676691729318</v>
      </c>
      <c r="AX18" s="35">
        <f>775/Assumptions!H208</f>
        <v>582.70676691729318</v>
      </c>
      <c r="AY18" s="35">
        <f>775/Assumptions!H208</f>
        <v>582.70676691729318</v>
      </c>
      <c r="AZ18" s="35">
        <f>775/Assumptions!H208</f>
        <v>582.70676691729318</v>
      </c>
      <c r="BA18" s="35">
        <f>775/Assumptions!I208</f>
        <v>582.70676691729318</v>
      </c>
      <c r="BB18" s="35">
        <f>775/Assumptions!I208</f>
        <v>582.70676691729318</v>
      </c>
      <c r="BC18" s="35">
        <f>775/Assumptions!I208</f>
        <v>582.70676691729318</v>
      </c>
      <c r="BD18" s="35">
        <f>775/Assumptions!I208</f>
        <v>582.70676691729318</v>
      </c>
      <c r="BE18" s="35">
        <f>775/Assumptions!I208</f>
        <v>582.70676691729318</v>
      </c>
      <c r="BF18" s="35">
        <f>775/Assumptions!I208</f>
        <v>582.70676691729318</v>
      </c>
      <c r="BG18" s="35">
        <f>775/Assumptions!I208</f>
        <v>582.70676691729318</v>
      </c>
      <c r="BH18" s="35">
        <f>775/Assumptions!I208</f>
        <v>582.70676691729318</v>
      </c>
      <c r="BI18" s="35">
        <f>775/Assumptions!I208</f>
        <v>582.70676691729318</v>
      </c>
      <c r="BJ18" s="35">
        <f>775/Assumptions!I208</f>
        <v>582.70676691729318</v>
      </c>
      <c r="BK18" s="35">
        <f>775/Assumptions!I208</f>
        <v>582.70676691729318</v>
      </c>
      <c r="BL18" s="35">
        <f>775/Assumptions!I208</f>
        <v>582.70676691729318</v>
      </c>
      <c r="BM18" s="32"/>
      <c r="BN18" s="32"/>
    </row>
    <row r="19" spans="1:66" ht="20" customHeight="1">
      <c r="A19" s="30"/>
      <c r="B19" s="30"/>
      <c r="C19" s="31" t="s">
        <v>291</v>
      </c>
      <c r="D19" s="31"/>
      <c r="E19" s="35">
        <f>E18-Historical!$G$134</f>
        <v>-1.2192330827068645</v>
      </c>
      <c r="F19" s="46">
        <f t="shared" ref="F19:AK19" si="8">F18-E18</f>
        <v>0</v>
      </c>
      <c r="G19" s="46">
        <f t="shared" si="8"/>
        <v>0</v>
      </c>
      <c r="H19" s="46">
        <f t="shared" si="8"/>
        <v>0</v>
      </c>
      <c r="I19" s="46">
        <f t="shared" si="8"/>
        <v>0</v>
      </c>
      <c r="J19" s="46">
        <f t="shared" si="8"/>
        <v>0</v>
      </c>
      <c r="K19" s="46">
        <f t="shared" si="8"/>
        <v>0</v>
      </c>
      <c r="L19" s="46">
        <f t="shared" si="8"/>
        <v>0</v>
      </c>
      <c r="M19" s="46">
        <f t="shared" si="8"/>
        <v>0</v>
      </c>
      <c r="N19" s="46">
        <f t="shared" si="8"/>
        <v>0</v>
      </c>
      <c r="O19" s="46">
        <f t="shared" si="8"/>
        <v>0</v>
      </c>
      <c r="P19" s="46">
        <f t="shared" si="8"/>
        <v>0</v>
      </c>
      <c r="Q19" s="46">
        <f t="shared" si="8"/>
        <v>0</v>
      </c>
      <c r="R19" s="46">
        <f t="shared" si="8"/>
        <v>0</v>
      </c>
      <c r="S19" s="46">
        <f t="shared" si="8"/>
        <v>0</v>
      </c>
      <c r="T19" s="46">
        <f t="shared" si="8"/>
        <v>0</v>
      </c>
      <c r="U19" s="46">
        <f t="shared" si="8"/>
        <v>0</v>
      </c>
      <c r="V19" s="46">
        <f t="shared" si="8"/>
        <v>0</v>
      </c>
      <c r="W19" s="46">
        <f t="shared" si="8"/>
        <v>0</v>
      </c>
      <c r="X19" s="46">
        <f t="shared" si="8"/>
        <v>0</v>
      </c>
      <c r="Y19" s="46">
        <f t="shared" si="8"/>
        <v>0</v>
      </c>
      <c r="Z19" s="46">
        <f t="shared" si="8"/>
        <v>0</v>
      </c>
      <c r="AA19" s="46">
        <f t="shared" si="8"/>
        <v>0</v>
      </c>
      <c r="AB19" s="46">
        <f t="shared" si="8"/>
        <v>0</v>
      </c>
      <c r="AC19" s="46">
        <f t="shared" si="8"/>
        <v>0</v>
      </c>
      <c r="AD19" s="46">
        <f t="shared" si="8"/>
        <v>0</v>
      </c>
      <c r="AE19" s="46">
        <f t="shared" si="8"/>
        <v>0</v>
      </c>
      <c r="AF19" s="46">
        <f t="shared" si="8"/>
        <v>0</v>
      </c>
      <c r="AG19" s="46">
        <f t="shared" si="8"/>
        <v>0</v>
      </c>
      <c r="AH19" s="46">
        <f t="shared" si="8"/>
        <v>0</v>
      </c>
      <c r="AI19" s="46">
        <f t="shared" si="8"/>
        <v>0</v>
      </c>
      <c r="AJ19" s="46">
        <f t="shared" si="8"/>
        <v>0</v>
      </c>
      <c r="AK19" s="46">
        <f t="shared" si="8"/>
        <v>0</v>
      </c>
      <c r="AL19" s="46">
        <f t="shared" ref="AL19:BQ19" si="9">AL18-AK18</f>
        <v>0</v>
      </c>
      <c r="AM19" s="46">
        <f t="shared" si="9"/>
        <v>0</v>
      </c>
      <c r="AN19" s="46">
        <f t="shared" si="9"/>
        <v>0</v>
      </c>
      <c r="AO19" s="46">
        <f t="shared" si="9"/>
        <v>0</v>
      </c>
      <c r="AP19" s="46">
        <f t="shared" si="9"/>
        <v>0</v>
      </c>
      <c r="AQ19" s="46">
        <f t="shared" si="9"/>
        <v>0</v>
      </c>
      <c r="AR19" s="46">
        <f t="shared" si="9"/>
        <v>0</v>
      </c>
      <c r="AS19" s="46">
        <f t="shared" si="9"/>
        <v>0</v>
      </c>
      <c r="AT19" s="46">
        <f t="shared" si="9"/>
        <v>0</v>
      </c>
      <c r="AU19" s="46">
        <f t="shared" si="9"/>
        <v>0</v>
      </c>
      <c r="AV19" s="46">
        <f t="shared" si="9"/>
        <v>0</v>
      </c>
      <c r="AW19" s="46">
        <f t="shared" si="9"/>
        <v>0</v>
      </c>
      <c r="AX19" s="46">
        <f t="shared" si="9"/>
        <v>0</v>
      </c>
      <c r="AY19" s="46">
        <f t="shared" si="9"/>
        <v>0</v>
      </c>
      <c r="AZ19" s="46">
        <f t="shared" si="9"/>
        <v>0</v>
      </c>
      <c r="BA19" s="46">
        <f t="shared" si="9"/>
        <v>0</v>
      </c>
      <c r="BB19" s="46">
        <f t="shared" si="9"/>
        <v>0</v>
      </c>
      <c r="BC19" s="46">
        <f t="shared" si="9"/>
        <v>0</v>
      </c>
      <c r="BD19" s="46">
        <f t="shared" si="9"/>
        <v>0</v>
      </c>
      <c r="BE19" s="46">
        <f t="shared" si="9"/>
        <v>0</v>
      </c>
      <c r="BF19" s="46">
        <f t="shared" si="9"/>
        <v>0</v>
      </c>
      <c r="BG19" s="46">
        <f t="shared" si="9"/>
        <v>0</v>
      </c>
      <c r="BH19" s="46">
        <f t="shared" si="9"/>
        <v>0</v>
      </c>
      <c r="BI19" s="46">
        <f t="shared" si="9"/>
        <v>0</v>
      </c>
      <c r="BJ19" s="46">
        <f t="shared" si="9"/>
        <v>0</v>
      </c>
      <c r="BK19" s="46">
        <f t="shared" si="9"/>
        <v>0</v>
      </c>
      <c r="BL19" s="46">
        <f t="shared" si="9"/>
        <v>0</v>
      </c>
      <c r="BM19" s="32"/>
      <c r="BN19" s="32"/>
    </row>
    <row r="20" spans="1:66" ht="20" customHeight="1">
      <c r="A20" s="30"/>
      <c r="B20" s="30"/>
      <c r="C20" s="31" t="s">
        <v>292</v>
      </c>
      <c r="D20" s="31"/>
      <c r="E20" s="35">
        <f>225*(Assumptions!E213+Capacity!$E$12+Assumptions!E218)/Assumptions!E208/12+E49</f>
        <v>0.81062030075187963</v>
      </c>
      <c r="F20" s="35">
        <f>225*(Assumptions!E213+Capacity!$E$12+Assumptions!E218)/Assumptions!E208/12+F49</f>
        <v>0.81062030075187963</v>
      </c>
      <c r="G20" s="35">
        <f>225*(Assumptions!E213+Capacity!$E$12+Assumptions!E218)/Assumptions!E208/12+G49</f>
        <v>0.81062030075187963</v>
      </c>
      <c r="H20" s="35">
        <f>225*(Assumptions!E213+Capacity!$E$12+Assumptions!E218)/Assumptions!E208/12+H49</f>
        <v>0.81062030075187963</v>
      </c>
      <c r="I20" s="35">
        <f>225*(Assumptions!E213+Capacity!$E$12+Assumptions!E218)/Assumptions!E208/12+I49</f>
        <v>0.81062030075187963</v>
      </c>
      <c r="J20" s="35">
        <f>225*(Assumptions!E213+Capacity!$E$12+Assumptions!E218)/Assumptions!E208/12+J49</f>
        <v>11.893327067669173</v>
      </c>
      <c r="K20" s="35">
        <f>225*(Assumptions!E213+Capacity!$E$12+Assumptions!E218)/Assumptions!E208/12+K49</f>
        <v>0.81062030075187963</v>
      </c>
      <c r="L20" s="35">
        <f>225*(Assumptions!E213+Capacity!$E$12+Assumptions!E218)/Assumptions!E208/12+L49</f>
        <v>0.81062030075187963</v>
      </c>
      <c r="M20" s="35">
        <f>225*(Assumptions!E213+Capacity!$E$12+Assumptions!E218)/Assumptions!E208/12+M49</f>
        <v>0.81062030075187963</v>
      </c>
      <c r="N20" s="35">
        <f>225*(Assumptions!E213+Capacity!$E$12+Assumptions!E218)/Assumptions!E208/12+N49</f>
        <v>0.81062030075187963</v>
      </c>
      <c r="O20" s="35">
        <f>225*(Assumptions!E213+Capacity!$E$12+Assumptions!E218)/Assumptions!E208/12+O49</f>
        <v>0.81062030075187963</v>
      </c>
      <c r="P20" s="35">
        <f>225*(Assumptions!E213+Capacity!$E$12+Assumptions!E218)/Assumptions!E208/12+P49</f>
        <v>11.893327067669173</v>
      </c>
      <c r="Q20" s="35">
        <f>225*(Assumptions!F213+Capacity!$E$12+Assumptions!F218)/Assumptions!F208/12+Q49</f>
        <v>0.81062030075187963</v>
      </c>
      <c r="R20" s="35">
        <f>225*(Assumptions!F213+Capacity!$E$12+Assumptions!F218)/Assumptions!F208/12+R49</f>
        <v>0.81062030075187963</v>
      </c>
      <c r="S20" s="35">
        <f>225*(Assumptions!F213+Capacity!$E$12+Assumptions!F218)/Assumptions!F208/12+S49</f>
        <v>0.81062030075187963</v>
      </c>
      <c r="T20" s="35">
        <f>225*(Assumptions!F213+Capacity!$E$12+Assumptions!F218)/Assumptions!F208/12+T49</f>
        <v>0.81062030075187963</v>
      </c>
      <c r="U20" s="35">
        <f>225*(Assumptions!F213+Capacity!$E$12+Assumptions!F218)/Assumptions!F208/12+U49</f>
        <v>0.81062030075187963</v>
      </c>
      <c r="V20" s="35">
        <f>225*(Assumptions!F213+Capacity!$E$12+Assumptions!F218)/Assumptions!F208/12+V49</f>
        <v>11.893327067669173</v>
      </c>
      <c r="W20" s="35">
        <f>225*(Assumptions!F213+Capacity!$E$12+Assumptions!F218)/Assumptions!F208/12+W49</f>
        <v>0.81062030075187963</v>
      </c>
      <c r="X20" s="35">
        <f>225*(Assumptions!F213+Capacity!$E$12+Assumptions!F218)/Assumptions!F208/12+X49</f>
        <v>0.81062030075187963</v>
      </c>
      <c r="Y20" s="35">
        <f>225*(Assumptions!F213+Capacity!$E$12+Assumptions!F218)/Assumptions!F208/12+Y49</f>
        <v>0.81062030075187963</v>
      </c>
      <c r="Z20" s="35">
        <f>225*(Assumptions!F213+Capacity!$E$12+Assumptions!F218)/Assumptions!F208/12+Z49</f>
        <v>0.81062030075187963</v>
      </c>
      <c r="AA20" s="35">
        <f>225*(Assumptions!F213+Capacity!$E$12+Assumptions!F218)/Assumptions!F208/12+AA49</f>
        <v>0.81062030075187963</v>
      </c>
      <c r="AB20" s="35">
        <f>225*(Assumptions!F213+Capacity!$E$12+Assumptions!F218)/Assumptions!F208/12+AB49</f>
        <v>11.893327067669173</v>
      </c>
      <c r="AC20" s="35">
        <f>225*(Assumptions!G213+Capacity!$E$12+Assumptions!G218)/Assumptions!G208/12+AC49</f>
        <v>0.81062030075187963</v>
      </c>
      <c r="AD20" s="35">
        <f>225*(Assumptions!G213+Capacity!$E$12+Assumptions!G218)/Assumptions!G208/12+AD49</f>
        <v>0.81062030075187963</v>
      </c>
      <c r="AE20" s="35">
        <f>225*(Assumptions!G213+Capacity!$E$12+Assumptions!G218)/Assumptions!G208/12+AE49</f>
        <v>0.81062030075187963</v>
      </c>
      <c r="AF20" s="35">
        <f>225*(Assumptions!G213+Capacity!$E$12+Assumptions!G218)/Assumptions!G208/12+AF49</f>
        <v>0.81062030075187963</v>
      </c>
      <c r="AG20" s="35">
        <f>225*(Assumptions!G213+Capacity!$E$12+Assumptions!G218)/Assumptions!G208/12+AG49</f>
        <v>0.81062030075187963</v>
      </c>
      <c r="AH20" s="35">
        <f>225*(Assumptions!G213+Capacity!$E$12+Assumptions!G218)/Assumptions!G208/12+AH49</f>
        <v>11.893327067669173</v>
      </c>
      <c r="AI20" s="35">
        <f>225*(Assumptions!G213+Capacity!$E$12+Assumptions!G218)/Assumptions!G208/12+AI49</f>
        <v>0.81062030075187963</v>
      </c>
      <c r="AJ20" s="35">
        <f>225*(Assumptions!G213+Capacity!$E$12+Assumptions!G218)/Assumptions!G208/12+AJ49</f>
        <v>0.81062030075187963</v>
      </c>
      <c r="AK20" s="35">
        <f>225*(Assumptions!G213+Capacity!$E$12+Assumptions!G218)/Assumptions!G208/12+AK49</f>
        <v>0.81062030075187963</v>
      </c>
      <c r="AL20" s="35">
        <f>225*(Assumptions!G213+Capacity!$E$12+Assumptions!G218)/Assumptions!G208/12+AL49</f>
        <v>0.81062030075187963</v>
      </c>
      <c r="AM20" s="35">
        <f>225*(Assumptions!G213+Capacity!$E$12+Assumptions!G218)/Assumptions!G208/12+AM49</f>
        <v>0.81062030075187963</v>
      </c>
      <c r="AN20" s="35">
        <f>225*(Assumptions!G213+Capacity!$E$12+Assumptions!G218)/Assumptions!G208/12+AN49</f>
        <v>11.893327067669173</v>
      </c>
      <c r="AO20" s="35">
        <f>225*(Assumptions!H213+Capacity!$E$12+Assumptions!H218)/Assumptions!H208/12+AO49</f>
        <v>0.81062030075187963</v>
      </c>
      <c r="AP20" s="35">
        <f>225*(Assumptions!H213+Capacity!$E$12+Assumptions!H218)/Assumptions!H208/12+AP49</f>
        <v>0.81062030075187963</v>
      </c>
      <c r="AQ20" s="35">
        <f>225*(Assumptions!H213+Capacity!$E$12+Assumptions!H218)/Assumptions!H208/12+AQ49</f>
        <v>0.81062030075187963</v>
      </c>
      <c r="AR20" s="35">
        <f>225*(Assumptions!H213+Capacity!$E$12+Assumptions!H218)/Assumptions!H208/12+AR49</f>
        <v>0.81062030075187963</v>
      </c>
      <c r="AS20" s="35">
        <f>225*(Assumptions!H213+Capacity!$E$12+Assumptions!H218)/Assumptions!H208/12+AS49</f>
        <v>0.81062030075187963</v>
      </c>
      <c r="AT20" s="35">
        <f>225*(Assumptions!H213+Capacity!$E$12+Assumptions!H218)/Assumptions!H208/12+AT49</f>
        <v>11.893327067669173</v>
      </c>
      <c r="AU20" s="35">
        <f>225*(Assumptions!H213+Capacity!$E$12+Assumptions!H218)/Assumptions!H208/12+AU49</f>
        <v>0.81062030075187963</v>
      </c>
      <c r="AV20" s="35">
        <f>225*(Assumptions!H213+Capacity!$E$12+Assumptions!H218)/Assumptions!H208/12+AV49</f>
        <v>0.81062030075187963</v>
      </c>
      <c r="AW20" s="35">
        <f>225*(Assumptions!H213+Capacity!$E$12+Assumptions!H218)/Assumptions!H208/12+AW49</f>
        <v>0.81062030075187963</v>
      </c>
      <c r="AX20" s="35">
        <f>225*(Assumptions!H213+Capacity!$E$12+Assumptions!H218)/Assumptions!H208/12+AX49</f>
        <v>0.81062030075187963</v>
      </c>
      <c r="AY20" s="35">
        <f>225*(Assumptions!H213+Capacity!$E$12+Assumptions!H218)/Assumptions!H208/12+AY49</f>
        <v>0.81062030075187963</v>
      </c>
      <c r="AZ20" s="35">
        <f>225*(Assumptions!H213+Capacity!$E$12+Assumptions!H218)/Assumptions!H208/12+AZ49</f>
        <v>11.893327067669173</v>
      </c>
      <c r="BA20" s="35">
        <f>225*(Assumptions!I213+Capacity!$E$12+Assumptions!I218)/Assumptions!I208/12+BA49</f>
        <v>0.81062030075187963</v>
      </c>
      <c r="BB20" s="35">
        <f>225*(Assumptions!I213+Capacity!$E$12+Assumptions!I218)/Assumptions!I208/12+BB49</f>
        <v>0.81062030075187963</v>
      </c>
      <c r="BC20" s="35">
        <f>225*(Assumptions!I213+Capacity!$E$12+Assumptions!I218)/Assumptions!I208/12+BC49</f>
        <v>0.81062030075187963</v>
      </c>
      <c r="BD20" s="35">
        <f>225*(Assumptions!I213+Capacity!$E$12+Assumptions!I218)/Assumptions!I208/12+BD49</f>
        <v>0.81062030075187963</v>
      </c>
      <c r="BE20" s="35">
        <f>225*(Assumptions!I213+Capacity!$E$12+Assumptions!I218)/Assumptions!I208/12+BE49</f>
        <v>0.81062030075187963</v>
      </c>
      <c r="BF20" s="35">
        <f>225*(Assumptions!I213+Capacity!$E$12+Assumptions!I218)/Assumptions!I208/12+BF49</f>
        <v>11.893327067669173</v>
      </c>
      <c r="BG20" s="35">
        <f>225*(Assumptions!I213+Capacity!$E$12+Assumptions!I218)/Assumptions!I208/12+BG49</f>
        <v>0.81062030075187963</v>
      </c>
      <c r="BH20" s="35">
        <f>225*(Assumptions!I213+Capacity!$E$12+Assumptions!I218)/Assumptions!I208/12+BH49</f>
        <v>0.81062030075187963</v>
      </c>
      <c r="BI20" s="35">
        <f>225*(Assumptions!I213+Capacity!$E$12+Assumptions!I218)/Assumptions!I208/12+BI49</f>
        <v>0.81062030075187963</v>
      </c>
      <c r="BJ20" s="35">
        <f>225*(Assumptions!I213+Capacity!$E$12+Assumptions!I218)/Assumptions!I208/12+BJ49</f>
        <v>0.81062030075187963</v>
      </c>
      <c r="BK20" s="35">
        <f>225*(Assumptions!I213+Capacity!$E$12+Assumptions!I218)/Assumptions!I208/12+BK49</f>
        <v>0.81062030075187963</v>
      </c>
      <c r="BL20" s="35">
        <f>225*(Assumptions!I213+Capacity!$E$12+Assumptions!I218)/Assumptions!I208/12+BL49</f>
        <v>11.893327067669173</v>
      </c>
      <c r="BM20" s="32"/>
      <c r="BN20" s="32"/>
    </row>
    <row r="21" spans="1:66" ht="20" customHeight="1">
      <c r="A21" s="30"/>
      <c r="B21" s="30"/>
      <c r="C21" s="31" t="s">
        <v>293</v>
      </c>
      <c r="D21" s="31"/>
      <c r="E21" s="35">
        <f>E17*(Assumptions!E213+Capacity!$E$12+Assumptions!E223)/12</f>
        <v>0.59583333333333333</v>
      </c>
      <c r="F21" s="35">
        <f>F17*(Assumptions!E213+Capacity!$E$12+Assumptions!E223)/12</f>
        <v>1.1375</v>
      </c>
      <c r="G21" s="35">
        <f>G17*(Assumptions!E213+Capacity!$E$12+Assumptions!E223)/12</f>
        <v>1.2458333333333333</v>
      </c>
      <c r="H21" s="35">
        <f>H17*(Assumptions!E213+Capacity!$E$12+Assumptions!E223)/12</f>
        <v>1.0833333333333333</v>
      </c>
      <c r="I21" s="35">
        <f>I17*(Assumptions!E213+Capacity!$E$12+Assumptions!E223)/12</f>
        <v>0.35092412193121819</v>
      </c>
      <c r="J21" s="35">
        <f>J17*(Assumptions!E213+Capacity!$E$12+Assumptions!E223)/12</f>
        <v>0.2739797097763072</v>
      </c>
      <c r="K21" s="35">
        <f>K17*(Assumptions!E213+Capacity!$E$12+Assumptions!E223)/12</f>
        <v>1.329809154822104</v>
      </c>
      <c r="L21" s="35">
        <f>L17*(Assumptions!E213+Capacity!$E$12+Assumptions!E223)/12</f>
        <v>1.2852503699286852</v>
      </c>
      <c r="M21" s="35">
        <f>M17*(Assumptions!E213+Capacity!$E$12+Assumptions!E223)/12</f>
        <v>1.2133668916170939</v>
      </c>
      <c r="N21" s="35">
        <f>N17*(Assumptions!E213+Capacity!$E$12+Assumptions!E223)/12</f>
        <v>1.141094044464648</v>
      </c>
      <c r="O21" s="35">
        <f>O17*(Assumptions!E213+Capacity!$E$12+Assumptions!E223)/12</f>
        <v>1.0684297193901264</v>
      </c>
      <c r="P21" s="35">
        <f>P17*(Assumptions!E213+Capacity!$E$12+Assumptions!E223)/12</f>
        <v>0.99537179588811797</v>
      </c>
      <c r="Q21" s="35">
        <f>Q17*(Assumptions!F213+Capacity!$E$12+Assumptions!F223)/12</f>
        <v>1.0229103036212754</v>
      </c>
      <c r="R21" s="35">
        <f>R17*(Assumptions!F213+Capacity!$E$12+Assumptions!F223)/12</f>
        <v>1.1279947055060746</v>
      </c>
      <c r="S21" s="35">
        <f>S17*(Assumptions!F213+Capacity!$E$12+Assumptions!F223)/12</f>
        <v>0.89239831456774954</v>
      </c>
      <c r="T21" s="35">
        <f>T17*(Assumptions!F213+Capacity!$E$12+Assumptions!F223)/12</f>
        <v>1.0474010265118421</v>
      </c>
      <c r="U21" s="35">
        <f>U17*(Assumptions!F213+Capacity!$E$12+Assumptions!F223)/12</f>
        <v>0.99553475314563145</v>
      </c>
      <c r="V21" s="35">
        <f>V17*(Assumptions!F213+Capacity!$E$12+Assumptions!F223)/12</f>
        <v>0.94338753746535409</v>
      </c>
      <c r="W21" s="35">
        <f>W17*(Assumptions!F213+Capacity!$E$12+Assumptions!F223)/12</f>
        <v>1.4366179603052898</v>
      </c>
      <c r="X21" s="35">
        <f>X17*(Assumptions!F213+Capacity!$E$12+Assumptions!F223)/12</f>
        <v>1.3868599453304606</v>
      </c>
      <c r="Y21" s="35">
        <f>Y17*(Assumptions!F213+Capacity!$E$12+Assumptions!F223)/12</f>
        <v>1.3368324077745177</v>
      </c>
      <c r="Z21" s="35">
        <f>Z17*(Assumptions!F213+Capacity!$E$12+Assumptions!F223)/12</f>
        <v>1.2865338877234802</v>
      </c>
      <c r="AA21" s="35">
        <f>AA17*(Assumptions!F213+Capacity!$E$12+Assumptions!F223)/12</f>
        <v>1.2359629173554996</v>
      </c>
      <c r="AB21" s="35">
        <f>AB17*(Assumptions!F213+Capacity!$E$12+Assumptions!F223)/12</f>
        <v>1.1851180208980254</v>
      </c>
      <c r="AC21" s="35">
        <f>AC17*(Assumptions!G213+Capacity!$E$12+Assumptions!G223)/12</f>
        <v>1.1940290429055422</v>
      </c>
      <c r="AD21" s="35">
        <f>AD17*(Assumptions!G213+Capacity!$E$12+Assumptions!G223)/12</f>
        <v>1.3900919699059091</v>
      </c>
      <c r="AE21" s="35">
        <f>AE17*(Assumptions!G213+Capacity!$E$12+Assumptions!G223)/12</f>
        <v>1.0834669044275276</v>
      </c>
      <c r="AF21" s="35">
        <f>AF17*(Assumptions!G213+Capacity!$E$12+Assumptions!G223)/12</f>
        <v>1.1801290573444716</v>
      </c>
      <c r="AG21" s="35">
        <f>AG17*(Assumptions!G213+Capacity!$E$12+Assumptions!G223)/12</f>
        <v>1.121533359423049</v>
      </c>
      <c r="AH21" s="35">
        <f>AH17*(Assumptions!G213+Capacity!$E$12+Assumptions!G223)/12</f>
        <v>1.0626202681378853</v>
      </c>
      <c r="AI21" s="35">
        <f>AI17*(Assumptions!G213+Capacity!$E$12+Assumptions!G223)/12</f>
        <v>1.0379435148633054</v>
      </c>
      <c r="AJ21" s="35">
        <f>AJ17*(Assumptions!G213+Capacity!$E$12+Assumptions!G223)/12</f>
        <v>0.97857764525344348</v>
      </c>
      <c r="AK21" s="35">
        <f>AK17*(Assumptions!G213+Capacity!$E$12+Assumptions!G223)/12</f>
        <v>0.91889021051652786</v>
      </c>
      <c r="AL21" s="35">
        <f>AL17*(Assumptions!G213+Capacity!$E$12+Assumptions!G223)/12</f>
        <v>0.85871696884145399</v>
      </c>
      <c r="AM21" s="35">
        <f>AM17*(Assumptions!G213+Capacity!$E$12+Assumptions!G223)/12</f>
        <v>0.79783862210730672</v>
      </c>
      <c r="AN21" s="35">
        <f>AN17*(Assumptions!G213+Capacity!$E$12+Assumptions!G223)/12</f>
        <v>0.73663051766168286</v>
      </c>
      <c r="AO21" s="35">
        <f>AO17*(Assumptions!H213+Capacity!$E$12+Assumptions!H223)/12</f>
        <v>0.73512219763778053</v>
      </c>
      <c r="AP21" s="35">
        <f>AP17*(Assumptions!H213+Capacity!$E$12+Assumptions!H223)/12</f>
        <v>0.99226433721239127</v>
      </c>
      <c r="AQ21" s="35">
        <f>AQ17*(Assumptions!H213+Capacity!$E$12+Assumptions!H223)/12</f>
        <v>0.66038266337636442</v>
      </c>
      <c r="AR21" s="35">
        <f>AR17*(Assumptions!H213+Capacity!$E$12+Assumptions!H223)/12</f>
        <v>0.7533180679737258</v>
      </c>
      <c r="AS21" s="35">
        <f>AS17*(Assumptions!H213+Capacity!$E$12+Assumptions!H223)/12</f>
        <v>0.69097543517932269</v>
      </c>
      <c r="AT21" s="35">
        <f>AT17*(Assumptions!H213+Capacity!$E$12+Assumptions!H223)/12</f>
        <v>0.62829511312395014</v>
      </c>
      <c r="AU21" s="35">
        <f>AU17*(Assumptions!H213+Capacity!$E$12+Assumptions!H223)/12</f>
        <v>0.73642177481194937</v>
      </c>
      <c r="AV21" s="35">
        <f>AV17*(Assumptions!H213+Capacity!$E$12+Assumptions!H223)/12</f>
        <v>0.67398762042958671</v>
      </c>
      <c r="AW21" s="35">
        <f>AW17*(Assumptions!H213+Capacity!$E$12+Assumptions!H223)/12</f>
        <v>0.61121528104431977</v>
      </c>
      <c r="AX21" s="35">
        <f>AX17*(Assumptions!H213+Capacity!$E$12+Assumptions!H223)/12</f>
        <v>0.54810292482071576</v>
      </c>
      <c r="AY21" s="35">
        <f>AY17*(Assumptions!H213+Capacity!$E$12+Assumptions!H223)/12</f>
        <v>0.48464871000090071</v>
      </c>
      <c r="AZ21" s="35">
        <f>AZ17*(Assumptions!H213+Capacity!$E$12+Assumptions!H223)/12</f>
        <v>0.42085078485081168</v>
      </c>
      <c r="BA21" s="35">
        <f>BA17*(Assumptions!I213+Capacity!$E$12+Assumptions!I223)/12</f>
        <v>0.41673861592696165</v>
      </c>
      <c r="BB21" s="35">
        <f>BB17*(Assumptions!I213+Capacity!$E$12+Assumptions!I223)/12</f>
        <v>0.70584326378466644</v>
      </c>
      <c r="BC21" s="35">
        <f>BC17*(Assumptions!I213+Capacity!$E$12+Assumptions!I223)/12</f>
        <v>0.37359722848493399</v>
      </c>
      <c r="BD21" s="35">
        <f>BD17*(Assumptions!I213+Capacity!$E$12+Assumptions!I223)/12</f>
        <v>0.41423915216066121</v>
      </c>
      <c r="BE21" s="35">
        <f>BE17*(Assumptions!I213+Capacity!$E$12+Assumptions!I223)/12</f>
        <v>0.35124692792296536</v>
      </c>
      <c r="BF21" s="35">
        <f>BF17*(Assumptions!I213+Capacity!$E$12+Assumptions!I223)/12</f>
        <v>0.2879134958039819</v>
      </c>
      <c r="BG21" s="35">
        <f>BG17*(Assumptions!I213+Capacity!$E$12+Assumptions!I223)/12</f>
        <v>0.40093926844054423</v>
      </c>
      <c r="BH21" s="35">
        <f>BH17*(Assumptions!I213+Capacity!$E$12+Assumptions!I223)/12</f>
        <v>0.33787500316603108</v>
      </c>
      <c r="BI21" s="35">
        <f>BI17*(Assumptions!I213+Capacity!$E$12+Assumptions!I223)/12</f>
        <v>0.27486884773394588</v>
      </c>
      <c r="BJ21" s="35">
        <f>BJ17*(Assumptions!I213+Capacity!$E$12+Assumptions!I223)/12</f>
        <v>0.21349289780704431</v>
      </c>
      <c r="BK21" s="35">
        <f>BK17*(Assumptions!I213+Capacity!$E$12+Assumptions!I223)/12</f>
        <v>0.15186707505494973</v>
      </c>
      <c r="BL21" s="35">
        <f>BL17*(Assumptions!I213+Capacity!$E$12+Assumptions!I223)/12</f>
        <v>8.9990362197685206E-2</v>
      </c>
      <c r="BM21" s="32"/>
      <c r="BN21" s="32"/>
    </row>
    <row r="22" spans="1:66" ht="20" customHeight="1">
      <c r="A22" s="30"/>
      <c r="B22" s="30"/>
      <c r="C22" s="31" t="s">
        <v>294</v>
      </c>
      <c r="D22" s="31"/>
      <c r="E22" s="35">
        <f t="shared" ref="E22:AJ22" si="10">E20+E21+E57</f>
        <v>2.8064536340852131</v>
      </c>
      <c r="F22" s="35">
        <f t="shared" si="10"/>
        <v>1.9481203007518797</v>
      </c>
      <c r="G22" s="35">
        <f t="shared" si="10"/>
        <v>2.0564536340852131</v>
      </c>
      <c r="H22" s="35">
        <f t="shared" si="10"/>
        <v>1.893953634085213</v>
      </c>
      <c r="I22" s="35">
        <f t="shared" si="10"/>
        <v>1.1615444226830978</v>
      </c>
      <c r="J22" s="35">
        <f t="shared" si="10"/>
        <v>12.16730677744548</v>
      </c>
      <c r="K22" s="35">
        <f t="shared" si="10"/>
        <v>2.1404294555739836</v>
      </c>
      <c r="L22" s="35">
        <f t="shared" si="10"/>
        <v>2.095870670680565</v>
      </c>
      <c r="M22" s="35">
        <f t="shared" si="10"/>
        <v>2.0239871923689736</v>
      </c>
      <c r="N22" s="35">
        <f t="shared" si="10"/>
        <v>1.9517143452165278</v>
      </c>
      <c r="O22" s="35">
        <f t="shared" si="10"/>
        <v>1.8790500201420062</v>
      </c>
      <c r="P22" s="35">
        <f t="shared" si="10"/>
        <v>12.888698863557291</v>
      </c>
      <c r="Q22" s="35">
        <f t="shared" si="10"/>
        <v>1.8335306043731552</v>
      </c>
      <c r="R22" s="35">
        <f t="shared" si="10"/>
        <v>1.9386150062579541</v>
      </c>
      <c r="S22" s="35">
        <f t="shared" si="10"/>
        <v>1.7030186153196292</v>
      </c>
      <c r="T22" s="35">
        <f t="shared" si="10"/>
        <v>1.8580213272637218</v>
      </c>
      <c r="U22" s="35">
        <f t="shared" si="10"/>
        <v>1.8061550538975111</v>
      </c>
      <c r="V22" s="35">
        <f t="shared" si="10"/>
        <v>12.836714605134526</v>
      </c>
      <c r="W22" s="35">
        <f t="shared" si="10"/>
        <v>2.2472382610571695</v>
      </c>
      <c r="X22" s="35">
        <f t="shared" si="10"/>
        <v>2.1974802460823404</v>
      </c>
      <c r="Y22" s="35">
        <f t="shared" si="10"/>
        <v>2.1474527085263975</v>
      </c>
      <c r="Z22" s="35">
        <f t="shared" si="10"/>
        <v>2.0971541884753599</v>
      </c>
      <c r="AA22" s="35">
        <f t="shared" si="10"/>
        <v>2.0465832181073793</v>
      </c>
      <c r="AB22" s="35">
        <f t="shared" si="10"/>
        <v>13.078445088567198</v>
      </c>
      <c r="AC22" s="35">
        <f t="shared" si="10"/>
        <v>2.0046493436574218</v>
      </c>
      <c r="AD22" s="35">
        <f t="shared" si="10"/>
        <v>2.2007122706577888</v>
      </c>
      <c r="AE22" s="35">
        <f t="shared" si="10"/>
        <v>1.8940872051794071</v>
      </c>
      <c r="AF22" s="35">
        <f t="shared" si="10"/>
        <v>1.9907493580963513</v>
      </c>
      <c r="AG22" s="35">
        <f t="shared" si="10"/>
        <v>1.9321536601749285</v>
      </c>
      <c r="AH22" s="35">
        <f t="shared" si="10"/>
        <v>12.955947335807059</v>
      </c>
      <c r="AI22" s="35">
        <f t="shared" si="10"/>
        <v>1.8485638156151851</v>
      </c>
      <c r="AJ22" s="35">
        <f t="shared" si="10"/>
        <v>1.7891979460053231</v>
      </c>
      <c r="AK22" s="35">
        <f t="shared" ref="AK22:BP22" si="11">AK20+AK21+AK57</f>
        <v>1.7295105112684075</v>
      </c>
      <c r="AL22" s="35">
        <f t="shared" si="11"/>
        <v>1.6693372695933335</v>
      </c>
      <c r="AM22" s="35">
        <f t="shared" si="11"/>
        <v>1.6084589228591863</v>
      </c>
      <c r="AN22" s="35">
        <f t="shared" si="11"/>
        <v>12.629957585330855</v>
      </c>
      <c r="AO22" s="35">
        <f t="shared" si="11"/>
        <v>1.5457424983896602</v>
      </c>
      <c r="AP22" s="35">
        <f t="shared" si="11"/>
        <v>1.8028846379642709</v>
      </c>
      <c r="AQ22" s="35">
        <f t="shared" si="11"/>
        <v>1.4710029641282441</v>
      </c>
      <c r="AR22" s="35">
        <f t="shared" si="11"/>
        <v>1.5639383687256054</v>
      </c>
      <c r="AS22" s="35">
        <f t="shared" si="11"/>
        <v>1.5015957359312022</v>
      </c>
      <c r="AT22" s="35">
        <f t="shared" si="11"/>
        <v>12.521622180793123</v>
      </c>
      <c r="AU22" s="35">
        <f t="shared" si="11"/>
        <v>1.547042075563829</v>
      </c>
      <c r="AV22" s="35">
        <f t="shared" si="11"/>
        <v>1.4846079211814662</v>
      </c>
      <c r="AW22" s="35">
        <f t="shared" si="11"/>
        <v>1.4218355817961994</v>
      </c>
      <c r="AX22" s="35">
        <f t="shared" si="11"/>
        <v>1.3587232255725954</v>
      </c>
      <c r="AY22" s="35">
        <f t="shared" si="11"/>
        <v>1.2952690107527802</v>
      </c>
      <c r="AZ22" s="35">
        <f t="shared" si="11"/>
        <v>12.314177852519984</v>
      </c>
      <c r="BA22" s="35">
        <f t="shared" si="11"/>
        <v>1.2273589166788412</v>
      </c>
      <c r="BB22" s="35">
        <f t="shared" si="11"/>
        <v>1.5164635645365461</v>
      </c>
      <c r="BC22" s="35">
        <f t="shared" si="11"/>
        <v>1.1842175292368136</v>
      </c>
      <c r="BD22" s="35">
        <f t="shared" si="11"/>
        <v>1.2248594529125407</v>
      </c>
      <c r="BE22" s="35">
        <f t="shared" si="11"/>
        <v>1.161867228674845</v>
      </c>
      <c r="BF22" s="35">
        <f t="shared" si="11"/>
        <v>12.181240563473155</v>
      </c>
      <c r="BG22" s="35">
        <f t="shared" si="11"/>
        <v>1.2115595691924239</v>
      </c>
      <c r="BH22" s="35">
        <f t="shared" si="11"/>
        <v>1.1484953039179107</v>
      </c>
      <c r="BI22" s="35">
        <f t="shared" si="11"/>
        <v>1.0854891484858256</v>
      </c>
      <c r="BJ22" s="35">
        <f t="shared" si="11"/>
        <v>1.024113198558924</v>
      </c>
      <c r="BK22" s="35">
        <f t="shared" si="11"/>
        <v>0.9624873758068293</v>
      </c>
      <c r="BL22" s="35">
        <f t="shared" si="11"/>
        <v>11.983317429866858</v>
      </c>
      <c r="BM22" s="32"/>
      <c r="BN22" s="32"/>
    </row>
    <row r="23" spans="1:66" ht="20" customHeight="1">
      <c r="A23" s="30"/>
      <c r="B23" s="30"/>
      <c r="C23" s="31" t="s">
        <v>295</v>
      </c>
      <c r="D23" s="31"/>
      <c r="E23" s="35">
        <f>Historical!$G$135/60</f>
        <v>0.1062</v>
      </c>
      <c r="F23" s="35">
        <f>Historical!$G$135/60</f>
        <v>0.1062</v>
      </c>
      <c r="G23" s="35">
        <f>Historical!$G$135/60</f>
        <v>0.1062</v>
      </c>
      <c r="H23" s="35">
        <f>Historical!$G$135/60</f>
        <v>0.1062</v>
      </c>
      <c r="I23" s="35">
        <f>Historical!$G$135/60</f>
        <v>0.1062</v>
      </c>
      <c r="J23" s="35">
        <f>Historical!$G$135/60</f>
        <v>0.1062</v>
      </c>
      <c r="K23" s="35">
        <f>Historical!$G$135/60</f>
        <v>0.1062</v>
      </c>
      <c r="L23" s="35">
        <f>Historical!$G$135/60</f>
        <v>0.1062</v>
      </c>
      <c r="M23" s="35">
        <f>Historical!$G$135/60</f>
        <v>0.1062</v>
      </c>
      <c r="N23" s="35">
        <f>Historical!$G$135/60</f>
        <v>0.1062</v>
      </c>
      <c r="O23" s="35">
        <f>Historical!$G$135/60</f>
        <v>0.1062</v>
      </c>
      <c r="P23" s="35">
        <f>Historical!$G$135/60</f>
        <v>0.1062</v>
      </c>
      <c r="Q23" s="35">
        <f>Historical!$G$135/60</f>
        <v>0.1062</v>
      </c>
      <c r="R23" s="35">
        <f>Historical!$G$135/60</f>
        <v>0.1062</v>
      </c>
      <c r="S23" s="35">
        <f>Historical!$G$135/60</f>
        <v>0.1062</v>
      </c>
      <c r="T23" s="35">
        <f>Historical!$G$135/60</f>
        <v>0.1062</v>
      </c>
      <c r="U23" s="35">
        <f>Historical!$G$135/60</f>
        <v>0.1062</v>
      </c>
      <c r="V23" s="35">
        <f>Historical!$G$135/60</f>
        <v>0.1062</v>
      </c>
      <c r="W23" s="35">
        <f>Historical!$G$135/60</f>
        <v>0.1062</v>
      </c>
      <c r="X23" s="35">
        <f>Historical!$G$135/60</f>
        <v>0.1062</v>
      </c>
      <c r="Y23" s="35">
        <f>Historical!$G$135/60</f>
        <v>0.1062</v>
      </c>
      <c r="Z23" s="35">
        <f>Historical!$G$135/60</f>
        <v>0.1062</v>
      </c>
      <c r="AA23" s="35">
        <f>Historical!$G$135/60</f>
        <v>0.1062</v>
      </c>
      <c r="AB23" s="35">
        <f>Historical!$G$135/60</f>
        <v>0.1062</v>
      </c>
      <c r="AC23" s="35">
        <f>Historical!$G$135/60</f>
        <v>0.1062</v>
      </c>
      <c r="AD23" s="35">
        <f>Historical!$G$135/60</f>
        <v>0.1062</v>
      </c>
      <c r="AE23" s="35">
        <f>Historical!$G$135/60</f>
        <v>0.1062</v>
      </c>
      <c r="AF23" s="35">
        <f>Historical!$G$135/60</f>
        <v>0.1062</v>
      </c>
      <c r="AG23" s="35">
        <f>Historical!$G$135/60</f>
        <v>0.1062</v>
      </c>
      <c r="AH23" s="35">
        <f>Historical!$G$135/60</f>
        <v>0.1062</v>
      </c>
      <c r="AI23" s="35">
        <f>Historical!$G$135/60</f>
        <v>0.1062</v>
      </c>
      <c r="AJ23" s="35">
        <f>Historical!$G$135/60</f>
        <v>0.1062</v>
      </c>
      <c r="AK23" s="35">
        <f>Historical!$G$135/60</f>
        <v>0.1062</v>
      </c>
      <c r="AL23" s="35">
        <f>Historical!$G$135/60</f>
        <v>0.1062</v>
      </c>
      <c r="AM23" s="35">
        <f>Historical!$G$135/60</f>
        <v>0.1062</v>
      </c>
      <c r="AN23" s="35">
        <f>Historical!$G$135/60</f>
        <v>0.1062</v>
      </c>
      <c r="AO23" s="35">
        <f>Historical!$G$135/60</f>
        <v>0.1062</v>
      </c>
      <c r="AP23" s="35">
        <f>Historical!$G$135/60</f>
        <v>0.1062</v>
      </c>
      <c r="AQ23" s="35">
        <f>Historical!$G$135/60</f>
        <v>0.1062</v>
      </c>
      <c r="AR23" s="35">
        <f>Historical!$G$135/60</f>
        <v>0.1062</v>
      </c>
      <c r="AS23" s="35">
        <f>Historical!$G$135/60</f>
        <v>0.1062</v>
      </c>
      <c r="AT23" s="35">
        <f>Historical!$G$135/60</f>
        <v>0.1062</v>
      </c>
      <c r="AU23" s="35">
        <f>Historical!$G$135/60</f>
        <v>0.1062</v>
      </c>
      <c r="AV23" s="35">
        <f>Historical!$G$135/60</f>
        <v>0.1062</v>
      </c>
      <c r="AW23" s="35">
        <f>Historical!$G$135/60</f>
        <v>0.1062</v>
      </c>
      <c r="AX23" s="35">
        <f>Historical!$G$135/60</f>
        <v>0.1062</v>
      </c>
      <c r="AY23" s="35">
        <f>Historical!$G$135/60</f>
        <v>0.1062</v>
      </c>
      <c r="AZ23" s="35">
        <f>Historical!$G$135/60</f>
        <v>0.1062</v>
      </c>
      <c r="BA23" s="35">
        <f>Historical!$G$135/60</f>
        <v>0.1062</v>
      </c>
      <c r="BB23" s="35">
        <f>Historical!$G$135/60</f>
        <v>0.1062</v>
      </c>
      <c r="BC23" s="35">
        <f>Historical!$G$135/60</f>
        <v>0.1062</v>
      </c>
      <c r="BD23" s="35">
        <f>Historical!$G$135/60</f>
        <v>0.1062</v>
      </c>
      <c r="BE23" s="35">
        <f>Historical!$G$135/60</f>
        <v>0.1062</v>
      </c>
      <c r="BF23" s="35">
        <f>Historical!$G$135/60</f>
        <v>0.1062</v>
      </c>
      <c r="BG23" s="35">
        <f>Historical!$G$135/60</f>
        <v>0.1062</v>
      </c>
      <c r="BH23" s="35">
        <f>Historical!$G$135/60</f>
        <v>0.1062</v>
      </c>
      <c r="BI23" s="35">
        <f>Historical!$G$135/60</f>
        <v>0.1062</v>
      </c>
      <c r="BJ23" s="35">
        <f>Historical!$G$135/60</f>
        <v>0.1062</v>
      </c>
      <c r="BK23" s="35">
        <f>Historical!$G$135/60</f>
        <v>0.1062</v>
      </c>
      <c r="BL23" s="35">
        <f>Historical!$G$135/60</f>
        <v>0.1062</v>
      </c>
      <c r="BM23" s="32"/>
      <c r="BN23" s="32"/>
    </row>
    <row r="24" spans="1:66" ht="20" customHeight="1">
      <c r="A24" s="30"/>
      <c r="B24" s="30"/>
      <c r="C24" s="31" t="s">
        <v>296</v>
      </c>
      <c r="D24" s="31"/>
      <c r="E24" s="35">
        <f>-Historical!$G$135*(1-1/60)</f>
        <v>-6.2657999999999996</v>
      </c>
      <c r="F24" s="35">
        <f>-Historical!$G$135*(1-2/60)</f>
        <v>-6.1596000000000002</v>
      </c>
      <c r="G24" s="35">
        <f>-Historical!$G$135*(1-3/60)</f>
        <v>-6.0533999999999999</v>
      </c>
      <c r="H24" s="35">
        <f>-Historical!$G$135*(1-4/60)</f>
        <v>-5.9471999999999996</v>
      </c>
      <c r="I24" s="35">
        <f>-Historical!$G$135*(1-5/60)</f>
        <v>-5.8409999999999993</v>
      </c>
      <c r="J24" s="35">
        <f>-Historical!$G$135*(1-6/60)</f>
        <v>-5.7347999999999999</v>
      </c>
      <c r="K24" s="35">
        <f>-Historical!$G$135*(1-7/60)</f>
        <v>-5.6285999999999996</v>
      </c>
      <c r="L24" s="35">
        <f>-Historical!$G$135*(1-8/60)</f>
        <v>-5.5224000000000002</v>
      </c>
      <c r="M24" s="35">
        <f>-Historical!$G$135*(1-9/60)</f>
        <v>-5.4161999999999999</v>
      </c>
      <c r="N24" s="35">
        <f>-Historical!$G$135*(1-10/60)</f>
        <v>-5.3100000000000005</v>
      </c>
      <c r="O24" s="35">
        <f>-Historical!$G$135*(1-11/60)</f>
        <v>-5.2038000000000002</v>
      </c>
      <c r="P24" s="35">
        <f>-Historical!$G$135*(1-12/60)</f>
        <v>-5.0975999999999999</v>
      </c>
      <c r="Q24" s="35">
        <f>-Historical!$G$135*(1-13/60)</f>
        <v>-4.9913999999999996</v>
      </c>
      <c r="R24" s="35">
        <f>-Historical!$G$135*(1-14/60)</f>
        <v>-4.8851999999999993</v>
      </c>
      <c r="S24" s="35">
        <f>-Historical!$G$135*(1-15/60)</f>
        <v>-4.7789999999999999</v>
      </c>
      <c r="T24" s="35">
        <f>-Historical!$G$135*(1-16/60)</f>
        <v>-4.6728000000000005</v>
      </c>
      <c r="U24" s="35">
        <f>-Historical!$G$135*(1-17/60)</f>
        <v>-4.5666000000000002</v>
      </c>
      <c r="V24" s="35">
        <f>-Historical!$G$135*(1-18/60)</f>
        <v>-4.4603999999999999</v>
      </c>
      <c r="W24" s="35">
        <f>-Historical!$G$135*(1-19/60)</f>
        <v>-4.3541999999999996</v>
      </c>
      <c r="X24" s="35">
        <f>-Historical!$G$135*(1-20/60)</f>
        <v>-4.2480000000000002</v>
      </c>
      <c r="Y24" s="35">
        <f>-Historical!$G$135*(1-21/60)</f>
        <v>-4.1417999999999999</v>
      </c>
      <c r="Z24" s="35">
        <f>-Historical!$G$135*(1-22/60)</f>
        <v>-4.0355999999999996</v>
      </c>
      <c r="AA24" s="35">
        <f>-Historical!$G$135*(1-23/60)</f>
        <v>-3.9294000000000002</v>
      </c>
      <c r="AB24" s="35">
        <f>-Historical!$G$135*(1-24/60)</f>
        <v>-3.8231999999999999</v>
      </c>
      <c r="AC24" s="35">
        <f>-Historical!$G$135*(1-25/60)</f>
        <v>-3.7169999999999996</v>
      </c>
      <c r="AD24" s="35">
        <f>-Historical!$G$135*(1-26/60)</f>
        <v>-3.6107999999999998</v>
      </c>
      <c r="AE24" s="35">
        <f>-Historical!$G$135*(1-27/60)</f>
        <v>-3.5046000000000004</v>
      </c>
      <c r="AF24" s="35">
        <f>-Historical!$G$135*(1-28/60)</f>
        <v>-3.3984000000000001</v>
      </c>
      <c r="AG24" s="35">
        <f>-Historical!$G$135*(1-29/60)</f>
        <v>-3.2921999999999993</v>
      </c>
      <c r="AH24" s="35">
        <f>-Historical!$G$135*(1-30/60)</f>
        <v>-3.1859999999999999</v>
      </c>
      <c r="AI24" s="35">
        <f>-Historical!$G$135*(1-31/60)</f>
        <v>-3.0797999999999996</v>
      </c>
      <c r="AJ24" s="35">
        <f>-Historical!$G$135*(1-32/60)</f>
        <v>-2.9735999999999998</v>
      </c>
      <c r="AK24" s="35">
        <f>-Historical!$G$135*(1-33/60)</f>
        <v>-2.8673999999999995</v>
      </c>
      <c r="AL24" s="35">
        <f>-Historical!$G$135*(1-34/60)</f>
        <v>-2.7612000000000001</v>
      </c>
      <c r="AM24" s="35">
        <f>-Historical!$G$135*(1-35/60)</f>
        <v>-2.6549999999999998</v>
      </c>
      <c r="AN24" s="35">
        <f>-Historical!$G$135*(1-36/60)</f>
        <v>-2.5488</v>
      </c>
      <c r="AO24" s="35">
        <f>-Historical!$G$135*(1-37/60)</f>
        <v>-2.4425999999999997</v>
      </c>
      <c r="AP24" s="35">
        <f>-Historical!$G$135*(1-38/60)</f>
        <v>-2.3364000000000003</v>
      </c>
      <c r="AQ24" s="35">
        <f>-Historical!$G$135*(1-39/60)</f>
        <v>-2.2302</v>
      </c>
      <c r="AR24" s="35">
        <f>-Historical!$G$135*(1-40/60)</f>
        <v>-2.1240000000000001</v>
      </c>
      <c r="AS24" s="35">
        <f>-Historical!$G$135*(1-41/60)</f>
        <v>-2.0177999999999998</v>
      </c>
      <c r="AT24" s="35">
        <f>-Historical!$G$135*(1-42/60)</f>
        <v>-1.9116000000000002</v>
      </c>
      <c r="AU24" s="35">
        <f>-Historical!$G$135*(1-43/60)</f>
        <v>-1.8053999999999999</v>
      </c>
      <c r="AV24" s="35">
        <f>-Historical!$G$135*(1-44/60)</f>
        <v>-1.6992000000000003</v>
      </c>
      <c r="AW24" s="35">
        <f>-Historical!$G$135*(1-45/60)</f>
        <v>-1.593</v>
      </c>
      <c r="AX24" s="35">
        <f>-Historical!$G$135*(1-46/60)</f>
        <v>-1.4867999999999997</v>
      </c>
      <c r="AY24" s="35">
        <f>-Historical!$G$135*(1-47/60)</f>
        <v>-1.3806</v>
      </c>
      <c r="AZ24" s="35">
        <f>-Historical!$G$135*(1-48/60)</f>
        <v>-1.2743999999999998</v>
      </c>
      <c r="BA24" s="35">
        <f>-Historical!$G$135*(1-49/60)</f>
        <v>-1.1682000000000001</v>
      </c>
      <c r="BB24" s="35">
        <f>-Historical!$G$135*(1-50/60)</f>
        <v>-1.0619999999999998</v>
      </c>
      <c r="BC24" s="35">
        <f>-Historical!$G$135*(1-51/60)</f>
        <v>-0.95580000000000009</v>
      </c>
      <c r="BD24" s="35">
        <f>-Historical!$G$135*(1-52/60)</f>
        <v>-0.8495999999999998</v>
      </c>
      <c r="BE24" s="35">
        <f>-Historical!$G$135*(1-53/60)</f>
        <v>-0.74340000000000017</v>
      </c>
      <c r="BF24" s="35">
        <f>-Historical!$G$135*(1-54/60)</f>
        <v>-0.63719999999999988</v>
      </c>
      <c r="BG24" s="35">
        <f>-Historical!$G$135*(1-55/60)</f>
        <v>-0.53100000000000025</v>
      </c>
      <c r="BH24" s="35">
        <f>-Historical!$G$135*(1-56/60)</f>
        <v>-0.4247999999999999</v>
      </c>
      <c r="BI24" s="35">
        <f>-Historical!$G$135*(1-57/60)</f>
        <v>-0.31860000000000027</v>
      </c>
      <c r="BJ24" s="35">
        <f>-Historical!$G$135*(1-58/60)</f>
        <v>-0.21239999999999995</v>
      </c>
      <c r="BK24" s="35">
        <f>-Historical!$G$135*(1-59/60)</f>
        <v>-0.10620000000000032</v>
      </c>
      <c r="BL24" s="35">
        <f>-Historical!$G$135*(1-60/60)</f>
        <v>0</v>
      </c>
      <c r="BM24" s="32"/>
      <c r="BN24" s="32"/>
    </row>
    <row r="25" spans="1:66" ht="20" customHeight="1">
      <c r="A25" s="30"/>
      <c r="B25" s="30"/>
      <c r="C25" s="31" t="s">
        <v>297</v>
      </c>
      <c r="D25" s="31"/>
      <c r="E25" s="46">
        <f>0</f>
        <v>0</v>
      </c>
      <c r="F25" s="46">
        <f>0</f>
        <v>0</v>
      </c>
      <c r="G25" s="46">
        <f>0</f>
        <v>0</v>
      </c>
      <c r="H25" s="46">
        <f>0</f>
        <v>0</v>
      </c>
      <c r="I25" s="46">
        <f>0</f>
        <v>0</v>
      </c>
      <c r="J25" s="46">
        <f>0</f>
        <v>0</v>
      </c>
      <c r="K25" s="46">
        <f>0</f>
        <v>0</v>
      </c>
      <c r="L25" s="46">
        <f>0</f>
        <v>0</v>
      </c>
      <c r="M25" s="46">
        <f>0</f>
        <v>0</v>
      </c>
      <c r="N25" s="46">
        <f>0</f>
        <v>0</v>
      </c>
      <c r="O25" s="46">
        <f>0</f>
        <v>0</v>
      </c>
      <c r="P25" s="46">
        <f>0</f>
        <v>0</v>
      </c>
      <c r="Q25" s="46">
        <f>0</f>
        <v>0</v>
      </c>
      <c r="R25" s="46">
        <f>0</f>
        <v>0</v>
      </c>
      <c r="S25" s="46">
        <f>0</f>
        <v>0</v>
      </c>
      <c r="T25" s="46">
        <f>0</f>
        <v>0</v>
      </c>
      <c r="U25" s="46">
        <f>0</f>
        <v>0</v>
      </c>
      <c r="V25" s="46">
        <f>0</f>
        <v>0</v>
      </c>
      <c r="W25" s="46">
        <f>0</f>
        <v>0</v>
      </c>
      <c r="X25" s="46">
        <f>0</f>
        <v>0</v>
      </c>
      <c r="Y25" s="46">
        <f>0</f>
        <v>0</v>
      </c>
      <c r="Z25" s="46">
        <f>0</f>
        <v>0</v>
      </c>
      <c r="AA25" s="46">
        <f>0</f>
        <v>0</v>
      </c>
      <c r="AB25" s="46">
        <f>0</f>
        <v>0</v>
      </c>
      <c r="AC25" s="46">
        <f>0</f>
        <v>0</v>
      </c>
      <c r="AD25" s="46">
        <f>0</f>
        <v>0</v>
      </c>
      <c r="AE25" s="46">
        <f>0</f>
        <v>0</v>
      </c>
      <c r="AF25" s="46">
        <f>0</f>
        <v>0</v>
      </c>
      <c r="AG25" s="46">
        <f>0</f>
        <v>0</v>
      </c>
      <c r="AH25" s="46">
        <f>0</f>
        <v>0</v>
      </c>
      <c r="AI25" s="46">
        <f>0</f>
        <v>0</v>
      </c>
      <c r="AJ25" s="46">
        <f>0</f>
        <v>0</v>
      </c>
      <c r="AK25" s="46">
        <f>0</f>
        <v>0</v>
      </c>
      <c r="AL25" s="46">
        <f>0</f>
        <v>0</v>
      </c>
      <c r="AM25" s="46">
        <f>0</f>
        <v>0</v>
      </c>
      <c r="AN25" s="46">
        <f>0</f>
        <v>0</v>
      </c>
      <c r="AO25" s="46">
        <f>0</f>
        <v>0</v>
      </c>
      <c r="AP25" s="46">
        <f>0</f>
        <v>0</v>
      </c>
      <c r="AQ25" s="46">
        <f>0</f>
        <v>0</v>
      </c>
      <c r="AR25" s="46">
        <f>0</f>
        <v>0</v>
      </c>
      <c r="AS25" s="46">
        <f>0</f>
        <v>0</v>
      </c>
      <c r="AT25" s="46">
        <f>AT17</f>
        <v>115.99294396134464</v>
      </c>
      <c r="AU25" s="46">
        <f>0</f>
        <v>0</v>
      </c>
      <c r="AV25" s="46">
        <f>0</f>
        <v>0</v>
      </c>
      <c r="AW25" s="46">
        <f>0</f>
        <v>0</v>
      </c>
      <c r="AX25" s="46">
        <f>0</f>
        <v>0</v>
      </c>
      <c r="AY25" s="46">
        <f>0</f>
        <v>0</v>
      </c>
      <c r="AZ25" s="46">
        <f>0</f>
        <v>0</v>
      </c>
      <c r="BA25" s="46">
        <f>0</f>
        <v>0</v>
      </c>
      <c r="BB25" s="46">
        <f>0</f>
        <v>0</v>
      </c>
      <c r="BC25" s="46">
        <f>0</f>
        <v>0</v>
      </c>
      <c r="BD25" s="46">
        <f>0</f>
        <v>0</v>
      </c>
      <c r="BE25" s="46">
        <f>0</f>
        <v>0</v>
      </c>
      <c r="BF25" s="46">
        <f>0</f>
        <v>0</v>
      </c>
      <c r="BG25" s="46">
        <f>0</f>
        <v>0</v>
      </c>
      <c r="BH25" s="46">
        <f>0</f>
        <v>0</v>
      </c>
      <c r="BI25" s="46">
        <f>0</f>
        <v>0</v>
      </c>
      <c r="BJ25" s="46">
        <f>0</f>
        <v>0</v>
      </c>
      <c r="BK25" s="46">
        <f>0</f>
        <v>0</v>
      </c>
      <c r="BL25" s="46">
        <f>BL18</f>
        <v>582.70676691729318</v>
      </c>
      <c r="BM25" s="32"/>
      <c r="BN25" s="32"/>
    </row>
    <row r="26" spans="1:66" ht="20" customHeight="1">
      <c r="A26" s="30"/>
      <c r="B26" s="30"/>
      <c r="C26" s="31" t="s">
        <v>298</v>
      </c>
      <c r="D26" s="31"/>
      <c r="E26" s="35">
        <f>Capacity!$E$8*E25</f>
        <v>0</v>
      </c>
      <c r="F26" s="35">
        <f>Capacity!$E$8*F25</f>
        <v>0</v>
      </c>
      <c r="G26" s="35">
        <f>Capacity!$E$8*G25</f>
        <v>0</v>
      </c>
      <c r="H26" s="35">
        <f>Capacity!$E$8*H25</f>
        <v>0</v>
      </c>
      <c r="I26" s="35">
        <f>Capacity!$E$8*I25</f>
        <v>0</v>
      </c>
      <c r="J26" s="35">
        <f>Capacity!$E$8*J25</f>
        <v>0</v>
      </c>
      <c r="K26" s="35">
        <f>Capacity!$E$8*K25</f>
        <v>0</v>
      </c>
      <c r="L26" s="35">
        <f>Capacity!$E$8*L25</f>
        <v>0</v>
      </c>
      <c r="M26" s="35">
        <f>Capacity!$E$8*M25</f>
        <v>0</v>
      </c>
      <c r="N26" s="35">
        <f>Capacity!$E$8*N25</f>
        <v>0</v>
      </c>
      <c r="O26" s="35">
        <f>Capacity!$E$8*O25</f>
        <v>0</v>
      </c>
      <c r="P26" s="35">
        <f>Capacity!$E$8*P25</f>
        <v>0</v>
      </c>
      <c r="Q26" s="35">
        <f>Capacity!$E$8*Q25</f>
        <v>0</v>
      </c>
      <c r="R26" s="35">
        <f>Capacity!$E$8*R25</f>
        <v>0</v>
      </c>
      <c r="S26" s="35">
        <f>Capacity!$E$8*S25</f>
        <v>0</v>
      </c>
      <c r="T26" s="35">
        <f>Capacity!$E$8*T25</f>
        <v>0</v>
      </c>
      <c r="U26" s="35">
        <f>Capacity!$E$8*U25</f>
        <v>0</v>
      </c>
      <c r="V26" s="35">
        <f>Capacity!$E$8*V25</f>
        <v>0</v>
      </c>
      <c r="W26" s="35">
        <f>Capacity!$E$8*W25</f>
        <v>0</v>
      </c>
      <c r="X26" s="35">
        <f>Capacity!$E$8*X25</f>
        <v>0</v>
      </c>
      <c r="Y26" s="35">
        <f>Capacity!$E$8*Y25</f>
        <v>0</v>
      </c>
      <c r="Z26" s="35">
        <f>Capacity!$E$8*Z25</f>
        <v>0</v>
      </c>
      <c r="AA26" s="35">
        <f>Capacity!$E$8*AA25</f>
        <v>0</v>
      </c>
      <c r="AB26" s="35">
        <f>Capacity!$E$8*AB25</f>
        <v>0</v>
      </c>
      <c r="AC26" s="35">
        <f>Capacity!$E$8*AC25</f>
        <v>0</v>
      </c>
      <c r="AD26" s="35">
        <f>Capacity!$E$8*AD25</f>
        <v>0</v>
      </c>
      <c r="AE26" s="35">
        <f>Capacity!$E$8*AE25</f>
        <v>0</v>
      </c>
      <c r="AF26" s="35">
        <f>Capacity!$E$8*AF25</f>
        <v>0</v>
      </c>
      <c r="AG26" s="35">
        <f>Capacity!$E$8*AG25</f>
        <v>0</v>
      </c>
      <c r="AH26" s="35">
        <f>Capacity!$E$8*AH25</f>
        <v>0</v>
      </c>
      <c r="AI26" s="35">
        <f>Capacity!$E$8*AI25</f>
        <v>0</v>
      </c>
      <c r="AJ26" s="35">
        <f>Capacity!$E$8*AJ25</f>
        <v>0</v>
      </c>
      <c r="AK26" s="35">
        <f>Capacity!$E$8*AK25</f>
        <v>0</v>
      </c>
      <c r="AL26" s="35">
        <f>Capacity!$E$8*AL25</f>
        <v>0</v>
      </c>
      <c r="AM26" s="35">
        <f>Capacity!$E$8*AM25</f>
        <v>0</v>
      </c>
      <c r="AN26" s="35">
        <f>Capacity!$E$8*AN25</f>
        <v>0</v>
      </c>
      <c r="AO26" s="35">
        <f>Capacity!$E$8*AO25</f>
        <v>0</v>
      </c>
      <c r="AP26" s="35">
        <f>Capacity!$E$8*AP25</f>
        <v>0</v>
      </c>
      <c r="AQ26" s="35">
        <f>Capacity!$E$8*AQ25</f>
        <v>0</v>
      </c>
      <c r="AR26" s="35">
        <f>Capacity!$E$8*AR25</f>
        <v>0</v>
      </c>
      <c r="AS26" s="35">
        <f>Capacity!$E$8*AS25</f>
        <v>0</v>
      </c>
      <c r="AT26" s="35">
        <f>Capacity!$E$8*AT25</f>
        <v>115.99294396134464</v>
      </c>
      <c r="AU26" s="35">
        <f>Capacity!$E$8*AU25</f>
        <v>0</v>
      </c>
      <c r="AV26" s="35">
        <f>Capacity!$E$8*AV25</f>
        <v>0</v>
      </c>
      <c r="AW26" s="35">
        <f>Capacity!$E$8*AW25</f>
        <v>0</v>
      </c>
      <c r="AX26" s="35">
        <f>Capacity!$E$8*AX25</f>
        <v>0</v>
      </c>
      <c r="AY26" s="35">
        <f>Capacity!$E$8*AY25</f>
        <v>0</v>
      </c>
      <c r="AZ26" s="35">
        <f>Capacity!$E$8*AZ25</f>
        <v>0</v>
      </c>
      <c r="BA26" s="35">
        <f>Capacity!$E$8*BA25</f>
        <v>0</v>
      </c>
      <c r="BB26" s="35">
        <f>Capacity!$E$8*BB25</f>
        <v>0</v>
      </c>
      <c r="BC26" s="35">
        <f>Capacity!$E$8*BC25</f>
        <v>0</v>
      </c>
      <c r="BD26" s="35">
        <f>Capacity!$E$8*BD25</f>
        <v>0</v>
      </c>
      <c r="BE26" s="35">
        <f>Capacity!$E$8*BE25</f>
        <v>0</v>
      </c>
      <c r="BF26" s="35">
        <f>Capacity!$E$8*BF25</f>
        <v>0</v>
      </c>
      <c r="BG26" s="35">
        <f>Capacity!$E$8*BG25</f>
        <v>0</v>
      </c>
      <c r="BH26" s="35">
        <f>Capacity!$E$8*BH25</f>
        <v>0</v>
      </c>
      <c r="BI26" s="35">
        <f>Capacity!$E$8*BI25</f>
        <v>0</v>
      </c>
      <c r="BJ26" s="35">
        <f>Capacity!$E$8*BJ25</f>
        <v>0</v>
      </c>
      <c r="BK26" s="35">
        <f>Capacity!$E$8*BK25</f>
        <v>0</v>
      </c>
      <c r="BL26" s="35">
        <f>Capacity!$E$8*BL25</f>
        <v>582.70676691729318</v>
      </c>
      <c r="BM26" s="32"/>
      <c r="BN26" s="32"/>
    </row>
    <row r="27" spans="1:66" ht="20" customHeight="1">
      <c r="A27" s="30"/>
      <c r="B27" s="30"/>
      <c r="C27" s="31" t="s">
        <v>299</v>
      </c>
      <c r="D27" s="31"/>
      <c r="E27" s="46">
        <f>400</f>
        <v>400</v>
      </c>
      <c r="F27" s="46">
        <f>400</f>
        <v>400</v>
      </c>
      <c r="G27" s="46">
        <f>400</f>
        <v>400</v>
      </c>
      <c r="H27" s="46">
        <f>400</f>
        <v>400</v>
      </c>
      <c r="I27" s="46">
        <f>400</f>
        <v>400</v>
      </c>
      <c r="J27" s="46">
        <f>400</f>
        <v>400</v>
      </c>
      <c r="K27" s="46">
        <f>400</f>
        <v>400</v>
      </c>
      <c r="L27" s="46">
        <f>400</f>
        <v>400</v>
      </c>
      <c r="M27" s="46">
        <f>400</f>
        <v>400</v>
      </c>
      <c r="N27" s="46">
        <f>400</f>
        <v>400</v>
      </c>
      <c r="O27" s="46">
        <f>400</f>
        <v>400</v>
      </c>
      <c r="P27" s="46">
        <f>400</f>
        <v>400</v>
      </c>
      <c r="Q27" s="46">
        <f>400</f>
        <v>400</v>
      </c>
      <c r="R27" s="46">
        <f>400</f>
        <v>400</v>
      </c>
      <c r="S27" s="46">
        <f>400</f>
        <v>400</v>
      </c>
      <c r="T27" s="46">
        <f>400</f>
        <v>400</v>
      </c>
      <c r="U27" s="46">
        <f>400</f>
        <v>400</v>
      </c>
      <c r="V27" s="46">
        <f>400</f>
        <v>400</v>
      </c>
      <c r="W27" s="46">
        <f>400</f>
        <v>400</v>
      </c>
      <c r="X27" s="46">
        <f>400</f>
        <v>400</v>
      </c>
      <c r="Y27" s="46">
        <f>400</f>
        <v>400</v>
      </c>
      <c r="Z27" s="46">
        <f>400</f>
        <v>400</v>
      </c>
      <c r="AA27" s="46">
        <f>400</f>
        <v>400</v>
      </c>
      <c r="AB27" s="46">
        <f>400</f>
        <v>400</v>
      </c>
      <c r="AC27" s="46">
        <f>400</f>
        <v>400</v>
      </c>
      <c r="AD27" s="46">
        <f>400</f>
        <v>400</v>
      </c>
      <c r="AE27" s="46">
        <f>400</f>
        <v>400</v>
      </c>
      <c r="AF27" s="46">
        <f>400</f>
        <v>400</v>
      </c>
      <c r="AG27" s="46">
        <f>400</f>
        <v>400</v>
      </c>
      <c r="AH27" s="46">
        <f>400</f>
        <v>400</v>
      </c>
      <c r="AI27" s="46">
        <f>400</f>
        <v>400</v>
      </c>
      <c r="AJ27" s="46">
        <f>400</f>
        <v>400</v>
      </c>
      <c r="AK27" s="46">
        <f>400</f>
        <v>400</v>
      </c>
      <c r="AL27" s="46">
        <f>400</f>
        <v>400</v>
      </c>
      <c r="AM27" s="46">
        <f>400</f>
        <v>400</v>
      </c>
      <c r="AN27" s="46">
        <f>400</f>
        <v>400</v>
      </c>
      <c r="AO27" s="46">
        <f>400</f>
        <v>400</v>
      </c>
      <c r="AP27" s="46">
        <f>400</f>
        <v>400</v>
      </c>
      <c r="AQ27" s="46">
        <f>400</f>
        <v>400</v>
      </c>
      <c r="AR27" s="46">
        <f>400</f>
        <v>400</v>
      </c>
      <c r="AS27" s="46">
        <f>400</f>
        <v>400</v>
      </c>
      <c r="AT27" s="35">
        <f>400*Capacity!$E$8</f>
        <v>400</v>
      </c>
      <c r="AU27" s="35">
        <f>400*Capacity!$E$8</f>
        <v>400</v>
      </c>
      <c r="AV27" s="35">
        <f>400*Capacity!$E$8</f>
        <v>400</v>
      </c>
      <c r="AW27" s="35">
        <f>400*Capacity!$E$8</f>
        <v>400</v>
      </c>
      <c r="AX27" s="35">
        <f>400*Capacity!$E$8</f>
        <v>400</v>
      </c>
      <c r="AY27" s="35">
        <f>400*Capacity!$E$8</f>
        <v>400</v>
      </c>
      <c r="AZ27" s="35">
        <f>400*Capacity!$E$8</f>
        <v>400</v>
      </c>
      <c r="BA27" s="35">
        <f>400*Capacity!$E$8</f>
        <v>400</v>
      </c>
      <c r="BB27" s="35">
        <f>400*Capacity!$E$8</f>
        <v>400</v>
      </c>
      <c r="BC27" s="35">
        <f>400*Capacity!$E$8</f>
        <v>400</v>
      </c>
      <c r="BD27" s="35">
        <f>400*Capacity!$E$8</f>
        <v>400</v>
      </c>
      <c r="BE27" s="35">
        <f>400*Capacity!$E$8</f>
        <v>400</v>
      </c>
      <c r="BF27" s="35">
        <f>400*Capacity!$E$8</f>
        <v>400</v>
      </c>
      <c r="BG27" s="35">
        <f>400*Capacity!$E$8</f>
        <v>400</v>
      </c>
      <c r="BH27" s="35">
        <f>400*Capacity!$E$8</f>
        <v>400</v>
      </c>
      <c r="BI27" s="35">
        <f>400*Capacity!$E$8</f>
        <v>400</v>
      </c>
      <c r="BJ27" s="35">
        <f>400*Capacity!$E$8</f>
        <v>400</v>
      </c>
      <c r="BK27" s="35">
        <f>400*Capacity!$E$8</f>
        <v>400</v>
      </c>
      <c r="BL27" s="35">
        <f>400*Capacity!$E$8</f>
        <v>400</v>
      </c>
      <c r="BM27" s="32"/>
      <c r="BN27" s="32"/>
    </row>
    <row r="28" spans="1:66" ht="20" customHeight="1">
      <c r="A28" s="30"/>
      <c r="B28" s="30"/>
      <c r="C28" s="31" t="s">
        <v>300</v>
      </c>
      <c r="D28" s="31"/>
      <c r="E28" s="46">
        <f t="shared" ref="E28:AJ28" si="12">E8+E15-E22-E25+E26+E51</f>
        <v>179.80621303258144</v>
      </c>
      <c r="F28" s="46">
        <f t="shared" si="12"/>
        <v>223.97222452960264</v>
      </c>
      <c r="G28" s="46">
        <f t="shared" si="12"/>
        <v>146.74129522627058</v>
      </c>
      <c r="H28" s="46">
        <f t="shared" si="12"/>
        <v>160.21400825885203</v>
      </c>
      <c r="I28" s="46">
        <f t="shared" si="12"/>
        <v>39.205122243983567</v>
      </c>
      <c r="J28" s="46">
        <f t="shared" si="12"/>
        <v>-169.92235908537788</v>
      </c>
      <c r="K28" s="46">
        <f t="shared" si="12"/>
        <v>33.22623721109268</v>
      </c>
      <c r="L28" s="46">
        <f t="shared" si="12"/>
        <v>38.270795995986106</v>
      </c>
      <c r="M28" s="46">
        <f t="shared" si="12"/>
        <v>38.342679474297697</v>
      </c>
      <c r="N28" s="46">
        <f t="shared" si="12"/>
        <v>38.414952321450137</v>
      </c>
      <c r="O28" s="46">
        <f t="shared" si="12"/>
        <v>38.487616646524664</v>
      </c>
      <c r="P28" s="46">
        <f t="shared" si="12"/>
        <v>19.915967803109371</v>
      </c>
      <c r="Q28" s="46">
        <f t="shared" si="12"/>
        <v>5.5998027289601815</v>
      </c>
      <c r="R28" s="46">
        <f t="shared" si="12"/>
        <v>68.49471832707539</v>
      </c>
      <c r="S28" s="46">
        <f t="shared" si="12"/>
        <v>-3.6158852819862952</v>
      </c>
      <c r="T28" s="46">
        <f t="shared" si="12"/>
        <v>34.575312006069616</v>
      </c>
      <c r="U28" s="46">
        <f t="shared" si="12"/>
        <v>34.627178279435824</v>
      </c>
      <c r="V28" s="46">
        <f t="shared" si="12"/>
        <v>-66.057924216603524</v>
      </c>
      <c r="W28" s="46">
        <f t="shared" si="12"/>
        <v>34.186095072276167</v>
      </c>
      <c r="X28" s="46">
        <f t="shared" si="12"/>
        <v>34.235853087250995</v>
      </c>
      <c r="Y28" s="46">
        <f t="shared" si="12"/>
        <v>34.285880624806943</v>
      </c>
      <c r="Z28" s="46">
        <f t="shared" si="12"/>
        <v>34.336179144857979</v>
      </c>
      <c r="AA28" s="46">
        <f t="shared" si="12"/>
        <v>34.386750115225958</v>
      </c>
      <c r="AB28" s="46">
        <f t="shared" si="12"/>
        <v>23.354888244766137</v>
      </c>
      <c r="AC28" s="46">
        <f t="shared" si="12"/>
        <v>-11.196232676990755</v>
      </c>
      <c r="AD28" s="46">
        <f t="shared" si="12"/>
        <v>81.60770439600887</v>
      </c>
      <c r="AE28" s="46">
        <f t="shared" si="12"/>
        <v>7.1546794614872624</v>
      </c>
      <c r="AF28" s="46">
        <f t="shared" si="12"/>
        <v>35.817667308570314</v>
      </c>
      <c r="AG28" s="46">
        <f t="shared" si="12"/>
        <v>35.87626300649174</v>
      </c>
      <c r="AH28" s="46">
        <f t="shared" si="12"/>
        <v>29.555708296845516</v>
      </c>
      <c r="AI28" s="46">
        <f t="shared" si="12"/>
        <v>35.95985285105148</v>
      </c>
      <c r="AJ28" s="46">
        <f t="shared" si="12"/>
        <v>36.019218720661343</v>
      </c>
      <c r="AK28" s="46">
        <f t="shared" ref="AK28:BL28" si="13">AK8+AK15-AK22-AK25+AK26+AK51</f>
        <v>36.108906155398259</v>
      </c>
      <c r="AL28" s="46">
        <f t="shared" si="13"/>
        <v>36.239079397073333</v>
      </c>
      <c r="AM28" s="46">
        <f t="shared" si="13"/>
        <v>36.299957743807482</v>
      </c>
      <c r="AN28" s="46">
        <f t="shared" si="13"/>
        <v>25.278459081335811</v>
      </c>
      <c r="AO28" s="46">
        <f t="shared" si="13"/>
        <v>-22.472394998389664</v>
      </c>
      <c r="AP28" s="46">
        <f t="shared" si="13"/>
        <v>86.270462862035728</v>
      </c>
      <c r="AQ28" s="46">
        <f t="shared" si="13"/>
        <v>7.8426945358717575</v>
      </c>
      <c r="AR28" s="46">
        <f t="shared" si="13"/>
        <v>36.509409131274388</v>
      </c>
      <c r="AS28" s="46">
        <f t="shared" si="13"/>
        <v>36.571751764068793</v>
      </c>
      <c r="AT28" s="46">
        <f t="shared" si="13"/>
        <v>5.0381547652924468</v>
      </c>
      <c r="AU28" s="46">
        <f t="shared" si="13"/>
        <v>36.526305424436167</v>
      </c>
      <c r="AV28" s="46">
        <f t="shared" si="13"/>
        <v>36.588739578818533</v>
      </c>
      <c r="AW28" s="46">
        <f t="shared" si="13"/>
        <v>36.651511918203795</v>
      </c>
      <c r="AX28" s="46">
        <f t="shared" si="13"/>
        <v>36.714624274427401</v>
      </c>
      <c r="AY28" s="46">
        <f t="shared" si="13"/>
        <v>36.778078489247214</v>
      </c>
      <c r="AZ28" s="46">
        <f t="shared" si="13"/>
        <v>25.759169647480014</v>
      </c>
      <c r="BA28" s="46">
        <f t="shared" si="13"/>
        <v>-28.373165758345518</v>
      </c>
      <c r="BB28" s="46">
        <f t="shared" si="13"/>
        <v>86.33772959379678</v>
      </c>
      <c r="BC28" s="46">
        <f t="shared" si="13"/>
        <v>17.496875629096504</v>
      </c>
      <c r="BD28" s="46">
        <f t="shared" si="13"/>
        <v>36.629333705420784</v>
      </c>
      <c r="BE28" s="46">
        <f t="shared" si="13"/>
        <v>36.69232592965848</v>
      </c>
      <c r="BF28" s="46">
        <f t="shared" si="13"/>
        <v>4.1337035132500244</v>
      </c>
      <c r="BG28" s="46">
        <f t="shared" si="13"/>
        <v>36.6426335891409</v>
      </c>
      <c r="BH28" s="46">
        <f t="shared" si="13"/>
        <v>36.631905618231116</v>
      </c>
      <c r="BI28" s="46">
        <f t="shared" si="13"/>
        <v>36.330944601889513</v>
      </c>
      <c r="BJ28" s="46">
        <f t="shared" si="13"/>
        <v>36.37707496961746</v>
      </c>
      <c r="BK28" s="46">
        <f t="shared" si="13"/>
        <v>36.423393142879604</v>
      </c>
      <c r="BL28" s="46">
        <f t="shared" si="13"/>
        <v>25.387193119351991</v>
      </c>
      <c r="BM28" s="32"/>
      <c r="BN28" s="32"/>
    </row>
    <row r="29" spans="1:66" ht="20" customHeight="1">
      <c r="A29" s="30"/>
      <c r="B29" s="30"/>
      <c r="C29" s="31" t="s">
        <v>301</v>
      </c>
      <c r="D29" s="31"/>
      <c r="E29" s="35">
        <f>MAX(0,Assumptions!E203-E28)</f>
        <v>0</v>
      </c>
      <c r="F29" s="35">
        <f>MAX(0,Assumptions!E203-F28)</f>
        <v>0</v>
      </c>
      <c r="G29" s="35">
        <f>MAX(0,Assumptions!E203-G28)</f>
        <v>0</v>
      </c>
      <c r="H29" s="35">
        <f>MAX(0,Assumptions!E203-H28)</f>
        <v>0</v>
      </c>
      <c r="I29" s="35">
        <f>MAX(0,Assumptions!E203-I28)</f>
        <v>0</v>
      </c>
      <c r="J29" s="35">
        <f>MAX(0,Assumptions!E203-J28)</f>
        <v>194.92235908537788</v>
      </c>
      <c r="K29" s="35">
        <f>MAX(0,Assumptions!E203-K28)</f>
        <v>0</v>
      </c>
      <c r="L29" s="35">
        <f>MAX(0,Assumptions!E203-L28)</f>
        <v>0</v>
      </c>
      <c r="M29" s="35">
        <f>MAX(0,Assumptions!E203-M28)</f>
        <v>0</v>
      </c>
      <c r="N29" s="35">
        <f>MAX(0,Assumptions!E203-N28)</f>
        <v>0</v>
      </c>
      <c r="O29" s="35">
        <f>MAX(0,Assumptions!E203-O28)</f>
        <v>0</v>
      </c>
      <c r="P29" s="35">
        <f>MAX(0,Assumptions!E203-P28)</f>
        <v>5.0840321968906288</v>
      </c>
      <c r="Q29" s="35">
        <f>MAX(0,Assumptions!F203-Q28)</f>
        <v>19.400197271039819</v>
      </c>
      <c r="R29" s="35">
        <f>MAX(0,Assumptions!F203-R28)</f>
        <v>0</v>
      </c>
      <c r="S29" s="35">
        <f>MAX(0,Assumptions!F203-S28)</f>
        <v>28.615885281986294</v>
      </c>
      <c r="T29" s="35">
        <f>MAX(0,Assumptions!F203-T28)</f>
        <v>0</v>
      </c>
      <c r="U29" s="35">
        <f>MAX(0,Assumptions!F203-U28)</f>
        <v>0</v>
      </c>
      <c r="V29" s="35">
        <f>MAX(0,Assumptions!F203-V28)</f>
        <v>91.057924216603524</v>
      </c>
      <c r="W29" s="35">
        <f>MAX(0,Assumptions!F203-W28)</f>
        <v>0</v>
      </c>
      <c r="X29" s="35">
        <f>MAX(0,Assumptions!F203-X28)</f>
        <v>0</v>
      </c>
      <c r="Y29" s="35">
        <f>MAX(0,Assumptions!F203-Y28)</f>
        <v>0</v>
      </c>
      <c r="Z29" s="35">
        <f>MAX(0,Assumptions!F203-Z28)</f>
        <v>0</v>
      </c>
      <c r="AA29" s="35">
        <f>MAX(0,Assumptions!F203-AA28)</f>
        <v>0</v>
      </c>
      <c r="AB29" s="35">
        <f>MAX(0,Assumptions!F203-AB28)</f>
        <v>1.645111755233863</v>
      </c>
      <c r="AC29" s="35">
        <f>MAX(0,Assumptions!G203-AC28)</f>
        <v>36.196232676990753</v>
      </c>
      <c r="AD29" s="35">
        <f>MAX(0,Assumptions!G203-AD28)</f>
        <v>0</v>
      </c>
      <c r="AE29" s="35">
        <f>MAX(0,Assumptions!G203-AE28)</f>
        <v>17.845320538512738</v>
      </c>
      <c r="AF29" s="35">
        <f>MAX(0,Assumptions!G203-AF28)</f>
        <v>0</v>
      </c>
      <c r="AG29" s="35">
        <f>MAX(0,Assumptions!G203-AG28)</f>
        <v>0</v>
      </c>
      <c r="AH29" s="35">
        <f>MAX(0,Assumptions!G203-AH28)</f>
        <v>0</v>
      </c>
      <c r="AI29" s="35">
        <f>MAX(0,Assumptions!G203-AI28)</f>
        <v>0</v>
      </c>
      <c r="AJ29" s="35">
        <f>MAX(0,Assumptions!G203-AJ28)</f>
        <v>0</v>
      </c>
      <c r="AK29" s="35">
        <f>MAX(0,Assumptions!G203-AK28)</f>
        <v>0</v>
      </c>
      <c r="AL29" s="35">
        <f>MAX(0,Assumptions!G203-AL28)</f>
        <v>0</v>
      </c>
      <c r="AM29" s="35">
        <f>MAX(0,Assumptions!G203-AM28)</f>
        <v>0</v>
      </c>
      <c r="AN29" s="35">
        <f>MAX(0,Assumptions!G203-AN28)</f>
        <v>0</v>
      </c>
      <c r="AO29" s="35">
        <f>MAX(0,Assumptions!H203-AO28)</f>
        <v>47.47239499838966</v>
      </c>
      <c r="AP29" s="35">
        <f>MAX(0,Assumptions!H203-AP28)</f>
        <v>0</v>
      </c>
      <c r="AQ29" s="35">
        <f>MAX(0,Assumptions!H203-AQ28)</f>
        <v>17.157305464128243</v>
      </c>
      <c r="AR29" s="35">
        <f>MAX(0,Assumptions!H203-AR28)</f>
        <v>0</v>
      </c>
      <c r="AS29" s="35">
        <f>MAX(0,Assumptions!H203-AS28)</f>
        <v>0</v>
      </c>
      <c r="AT29" s="35">
        <f>MAX(0,Assumptions!H203-AT28)</f>
        <v>19.961845234707553</v>
      </c>
      <c r="AU29" s="35">
        <f>MAX(0,Assumptions!H203-AU28)</f>
        <v>0</v>
      </c>
      <c r="AV29" s="35">
        <f>MAX(0,Assumptions!H203-AV28)</f>
        <v>0</v>
      </c>
      <c r="AW29" s="35">
        <f>MAX(0,Assumptions!H203-AW28)</f>
        <v>0</v>
      </c>
      <c r="AX29" s="35">
        <f>MAX(0,Assumptions!H203-AX28)</f>
        <v>0</v>
      </c>
      <c r="AY29" s="35">
        <f>MAX(0,Assumptions!H203-AY28)</f>
        <v>0</v>
      </c>
      <c r="AZ29" s="35">
        <f>MAX(0,Assumptions!H203-AZ28)</f>
        <v>0</v>
      </c>
      <c r="BA29" s="35">
        <f>MAX(0,Assumptions!I203-BA28)</f>
        <v>53.373165758345522</v>
      </c>
      <c r="BB29" s="35">
        <f>MAX(0,Assumptions!I203-BB28)</f>
        <v>0</v>
      </c>
      <c r="BC29" s="35">
        <f>MAX(0,Assumptions!I203-BC28)</f>
        <v>7.503124370903496</v>
      </c>
      <c r="BD29" s="35">
        <f>MAX(0,Assumptions!I203-BD28)</f>
        <v>0</v>
      </c>
      <c r="BE29" s="35">
        <f>MAX(0,Assumptions!I203-BE28)</f>
        <v>0</v>
      </c>
      <c r="BF29" s="35">
        <f>MAX(0,Assumptions!I203-BF28)</f>
        <v>20.866296486749974</v>
      </c>
      <c r="BG29" s="35">
        <f>MAX(0,Assumptions!I203-BG28)</f>
        <v>0</v>
      </c>
      <c r="BH29" s="35">
        <f>MAX(0,Assumptions!I203-BH28)</f>
        <v>0</v>
      </c>
      <c r="BI29" s="35">
        <f>MAX(0,Assumptions!I203-BI28)</f>
        <v>0</v>
      </c>
      <c r="BJ29" s="35">
        <f>MAX(0,Assumptions!I203-BJ28)</f>
        <v>0</v>
      </c>
      <c r="BK29" s="35">
        <f>MAX(0,Assumptions!I203-BK28)</f>
        <v>0</v>
      </c>
      <c r="BL29" s="35">
        <f>MAX(0,Assumptions!I203-BL28)</f>
        <v>0</v>
      </c>
      <c r="BM29" s="32"/>
      <c r="BN29" s="32"/>
    </row>
    <row r="30" spans="1:66" ht="20" customHeight="1">
      <c r="A30" s="30"/>
      <c r="B30" s="30"/>
      <c r="C30" s="31" t="s">
        <v>302</v>
      </c>
      <c r="D30" s="31"/>
      <c r="E30" s="46">
        <f>0</f>
        <v>0</v>
      </c>
      <c r="F30" s="46">
        <f>0</f>
        <v>0</v>
      </c>
      <c r="G30" s="46">
        <f>0</f>
        <v>0</v>
      </c>
      <c r="H30" s="46">
        <f t="shared" ref="H30:AS30" si="14">IF(H38&gt;=0,MIN(H29,MAX(0,H27-H17-H51+0)),0)</f>
        <v>0</v>
      </c>
      <c r="I30" s="46">
        <f t="shared" si="14"/>
        <v>0</v>
      </c>
      <c r="J30" s="46">
        <f t="shared" si="14"/>
        <v>194.92235908537788</v>
      </c>
      <c r="K30" s="46">
        <f t="shared" si="14"/>
        <v>0</v>
      </c>
      <c r="L30" s="46">
        <f t="shared" si="14"/>
        <v>0</v>
      </c>
      <c r="M30" s="46">
        <f t="shared" si="14"/>
        <v>0</v>
      </c>
      <c r="N30" s="46">
        <f t="shared" si="14"/>
        <v>0</v>
      </c>
      <c r="O30" s="46">
        <f t="shared" si="14"/>
        <v>0</v>
      </c>
      <c r="P30" s="46">
        <f t="shared" si="14"/>
        <v>5.0840321968906288</v>
      </c>
      <c r="Q30" s="46">
        <f t="shared" si="14"/>
        <v>19.400197271039819</v>
      </c>
      <c r="R30" s="46">
        <f t="shared" si="14"/>
        <v>0</v>
      </c>
      <c r="S30" s="46">
        <f t="shared" si="14"/>
        <v>28.615885281986294</v>
      </c>
      <c r="T30" s="46">
        <f t="shared" si="14"/>
        <v>0</v>
      </c>
      <c r="U30" s="46">
        <f t="shared" si="14"/>
        <v>0</v>
      </c>
      <c r="V30" s="46">
        <f t="shared" si="14"/>
        <v>91.057924216603524</v>
      </c>
      <c r="W30" s="46">
        <f t="shared" si="14"/>
        <v>0</v>
      </c>
      <c r="X30" s="46">
        <f t="shared" si="14"/>
        <v>0</v>
      </c>
      <c r="Y30" s="46">
        <f t="shared" si="14"/>
        <v>0</v>
      </c>
      <c r="Z30" s="46">
        <f t="shared" si="14"/>
        <v>0</v>
      </c>
      <c r="AA30" s="46">
        <f t="shared" si="14"/>
        <v>0</v>
      </c>
      <c r="AB30" s="46">
        <f t="shared" si="14"/>
        <v>1.645111755233863</v>
      </c>
      <c r="AC30" s="46">
        <f t="shared" si="14"/>
        <v>36.196232676990753</v>
      </c>
      <c r="AD30" s="46">
        <f t="shared" si="14"/>
        <v>0</v>
      </c>
      <c r="AE30" s="46">
        <f t="shared" si="14"/>
        <v>17.845320538512738</v>
      </c>
      <c r="AF30" s="46">
        <f t="shared" si="14"/>
        <v>0</v>
      </c>
      <c r="AG30" s="46">
        <f t="shared" si="14"/>
        <v>0</v>
      </c>
      <c r="AH30" s="46">
        <f t="shared" si="14"/>
        <v>0</v>
      </c>
      <c r="AI30" s="46">
        <f t="shared" si="14"/>
        <v>0</v>
      </c>
      <c r="AJ30" s="46">
        <f t="shared" si="14"/>
        <v>0</v>
      </c>
      <c r="AK30" s="46">
        <f t="shared" si="14"/>
        <v>0</v>
      </c>
      <c r="AL30" s="46">
        <f t="shared" si="14"/>
        <v>0</v>
      </c>
      <c r="AM30" s="46">
        <f t="shared" si="14"/>
        <v>0</v>
      </c>
      <c r="AN30" s="46">
        <f t="shared" si="14"/>
        <v>0</v>
      </c>
      <c r="AO30" s="46">
        <f t="shared" si="14"/>
        <v>47.47239499838966</v>
      </c>
      <c r="AP30" s="46">
        <f t="shared" si="14"/>
        <v>0</v>
      </c>
      <c r="AQ30" s="46">
        <f t="shared" si="14"/>
        <v>17.157305464128243</v>
      </c>
      <c r="AR30" s="46">
        <f t="shared" si="14"/>
        <v>0</v>
      </c>
      <c r="AS30" s="46">
        <f t="shared" si="14"/>
        <v>0</v>
      </c>
      <c r="AT30" s="46">
        <f>IF(AT38&gt;=0,MIN(AT29,MAX(0,AT27-AT17-AT51+(AT25-AT26))),0)</f>
        <v>19.961845234707553</v>
      </c>
      <c r="AU30" s="46">
        <f t="shared" ref="AU30:BL30" si="15">IF(AU38&gt;=0,MIN(AU29,MAX(0,AU27-AU17-AU51+0)),0)</f>
        <v>0</v>
      </c>
      <c r="AV30" s="46">
        <f t="shared" si="15"/>
        <v>0</v>
      </c>
      <c r="AW30" s="46">
        <f t="shared" si="15"/>
        <v>0</v>
      </c>
      <c r="AX30" s="46">
        <f t="shared" si="15"/>
        <v>0</v>
      </c>
      <c r="AY30" s="46">
        <f t="shared" si="15"/>
        <v>0</v>
      </c>
      <c r="AZ30" s="46">
        <f t="shared" si="15"/>
        <v>0</v>
      </c>
      <c r="BA30" s="46">
        <f t="shared" si="15"/>
        <v>53.373165758345522</v>
      </c>
      <c r="BB30" s="46">
        <f t="shared" si="15"/>
        <v>0</v>
      </c>
      <c r="BC30" s="46">
        <f t="shared" si="15"/>
        <v>7.503124370903496</v>
      </c>
      <c r="BD30" s="46">
        <f t="shared" si="15"/>
        <v>0</v>
      </c>
      <c r="BE30" s="46">
        <f t="shared" si="15"/>
        <v>0</v>
      </c>
      <c r="BF30" s="46">
        <f t="shared" si="15"/>
        <v>20.866296486749974</v>
      </c>
      <c r="BG30" s="46">
        <f t="shared" si="15"/>
        <v>0</v>
      </c>
      <c r="BH30" s="46">
        <f t="shared" si="15"/>
        <v>0</v>
      </c>
      <c r="BI30" s="46">
        <f t="shared" si="15"/>
        <v>0</v>
      </c>
      <c r="BJ30" s="46">
        <f t="shared" si="15"/>
        <v>0</v>
      </c>
      <c r="BK30" s="46">
        <f t="shared" si="15"/>
        <v>0</v>
      </c>
      <c r="BL30" s="46">
        <f t="shared" si="15"/>
        <v>0</v>
      </c>
      <c r="BM30" s="32"/>
      <c r="BN30" s="32"/>
    </row>
    <row r="31" spans="1:66" ht="20" customHeight="1">
      <c r="A31" s="30"/>
      <c r="B31" s="30"/>
      <c r="C31" s="31" t="s">
        <v>303</v>
      </c>
      <c r="D31" s="31"/>
      <c r="E31" s="46">
        <f>0</f>
        <v>0</v>
      </c>
      <c r="F31" s="46">
        <f>0</f>
        <v>0</v>
      </c>
      <c r="G31" s="46">
        <f>0</f>
        <v>0</v>
      </c>
      <c r="H31" s="35">
        <f>MIN(MAX(0,H17-0),MAX(0,H28-Assumptions!E203))</f>
        <v>135.21400825885203</v>
      </c>
      <c r="I31" s="35">
        <f>MIN(MAX(0,I17-0),MAX(0,I28-Assumptions!E203))</f>
        <v>14.205122243983567</v>
      </c>
      <c r="J31" s="35">
        <f>MIN(MAX(0,J17-0),MAX(0,J28-Assumptions!E203))</f>
        <v>0</v>
      </c>
      <c r="K31" s="35">
        <f>MIN(MAX(0,K17-0),MAX(0,K28-Assumptions!E203))</f>
        <v>8.2262372110926805</v>
      </c>
      <c r="L31" s="35">
        <f>MIN(MAX(0,L17-0),MAX(0,L28-Assumptions!E203))</f>
        <v>13.270795995986106</v>
      </c>
      <c r="M31" s="35">
        <f>MIN(MAX(0,M17-0),MAX(0,M28-Assumptions!E203))</f>
        <v>13.342679474297697</v>
      </c>
      <c r="N31" s="35">
        <f>MIN(MAX(0,N17-0),MAX(0,N28-Assumptions!E203))</f>
        <v>13.414952321450137</v>
      </c>
      <c r="O31" s="35">
        <f>MIN(MAX(0,O17-0),MAX(0,O28-Assumptions!E203))</f>
        <v>13.487616646524664</v>
      </c>
      <c r="P31" s="35">
        <f>MIN(MAX(0,P17-0),MAX(0,P28-Assumptions!E203))</f>
        <v>0</v>
      </c>
      <c r="Q31" s="35">
        <f>MIN(MAX(0,Q17-0),MAX(0,Q28-Assumptions!F203))</f>
        <v>0</v>
      </c>
      <c r="R31" s="35">
        <f>MIN(MAX(0,R17-0),MAX(0,R28-Assumptions!F203))</f>
        <v>43.49471832707539</v>
      </c>
      <c r="S31" s="35">
        <f>MIN(MAX(0,S17-0),MAX(0,S28-Assumptions!F203))</f>
        <v>0</v>
      </c>
      <c r="T31" s="35">
        <f>MIN(MAX(0,T17-0),MAX(0,T28-Assumptions!F203))</f>
        <v>9.5753120060696162</v>
      </c>
      <c r="U31" s="35">
        <f>MIN(MAX(0,U17-0),MAX(0,U28-Assumptions!F203))</f>
        <v>9.6271782794358245</v>
      </c>
      <c r="V31" s="35">
        <f>MIN(MAX(0,V17-0),MAX(0,V28-Assumptions!F203))</f>
        <v>0</v>
      </c>
      <c r="W31" s="35">
        <f>MIN(MAX(0,W17-0),MAX(0,W28-Assumptions!F203))</f>
        <v>9.1860950722761672</v>
      </c>
      <c r="X31" s="35">
        <f>MIN(MAX(0,X17-0),MAX(0,X28-Assumptions!F203))</f>
        <v>9.2358530872509945</v>
      </c>
      <c r="Y31" s="35">
        <f>MIN(MAX(0,Y17-0),MAX(0,Y28-Assumptions!F203))</f>
        <v>9.2858806248069428</v>
      </c>
      <c r="Z31" s="35">
        <f>MIN(MAX(0,Z17-0),MAX(0,Z28-Assumptions!F203))</f>
        <v>9.3361791448579794</v>
      </c>
      <c r="AA31" s="35">
        <f>MIN(MAX(0,AA17-0),MAX(0,AA28-Assumptions!F203))</f>
        <v>9.3867501152259578</v>
      </c>
      <c r="AB31" s="35">
        <f>MIN(MAX(0,AB17-0),MAX(0,AB28-Assumptions!F203))</f>
        <v>0</v>
      </c>
      <c r="AC31" s="35">
        <f>MIN(MAX(0,AC17-0),MAX(0,AC28-Assumptions!G203))</f>
        <v>0</v>
      </c>
      <c r="AD31" s="35">
        <f>MIN(MAX(0,AD17-0),MAX(0,AD28-Assumptions!G203))</f>
        <v>56.60770439600887</v>
      </c>
      <c r="AE31" s="35">
        <f>MIN(MAX(0,AE17-0),MAX(0,AE28-Assumptions!G203))</f>
        <v>0</v>
      </c>
      <c r="AF31" s="35">
        <f>MIN(MAX(0,AF17-0),MAX(0,AF28-Assumptions!G203))</f>
        <v>10.817667308570314</v>
      </c>
      <c r="AG31" s="35">
        <f>MIN(MAX(0,AG17-0),MAX(0,AG28-Assumptions!G203))</f>
        <v>10.87626300649174</v>
      </c>
      <c r="AH31" s="35">
        <f>MIN(MAX(0,AH17-0),MAX(0,AH28-Assumptions!G203))</f>
        <v>4.5557082968455163</v>
      </c>
      <c r="AI31" s="35">
        <f>MIN(MAX(0,AI17-0),MAX(0,AI28-Assumptions!G203))</f>
        <v>10.95985285105148</v>
      </c>
      <c r="AJ31" s="35">
        <f>MIN(MAX(0,AJ17-0),MAX(0,AJ28-Assumptions!G203))</f>
        <v>11.019218720661343</v>
      </c>
      <c r="AK31" s="35">
        <f>MIN(MAX(0,AK17-0),MAX(0,AK28-Assumptions!G203))</f>
        <v>11.108906155398259</v>
      </c>
      <c r="AL31" s="35">
        <f>MIN(MAX(0,AL17-0),MAX(0,AL28-Assumptions!G203))</f>
        <v>11.239079397073333</v>
      </c>
      <c r="AM31" s="35">
        <f>MIN(MAX(0,AM17-0),MAX(0,AM28-Assumptions!G203))</f>
        <v>11.299957743807482</v>
      </c>
      <c r="AN31" s="35">
        <f>MIN(MAX(0,AN17-0),MAX(0,AN28-Assumptions!G203))</f>
        <v>0.27845908133581077</v>
      </c>
      <c r="AO31" s="35">
        <f>MIN(MAX(0,AO17-0),MAX(0,AO28-Assumptions!H203))</f>
        <v>0</v>
      </c>
      <c r="AP31" s="35">
        <f>MIN(MAX(0,AP17-0),MAX(0,AP28-Assumptions!H203))</f>
        <v>61.270462862035728</v>
      </c>
      <c r="AQ31" s="35">
        <f>MIN(MAX(0,AQ17-0),MAX(0,AQ28-Assumptions!H203))</f>
        <v>0</v>
      </c>
      <c r="AR31" s="35">
        <f>MIN(MAX(0,AR17-0),MAX(0,AR28-Assumptions!H203))</f>
        <v>11.509409131274388</v>
      </c>
      <c r="AS31" s="35">
        <f>MIN(MAX(0,AS17-0),MAX(0,AS28-Assumptions!H203))</f>
        <v>11.571751764068793</v>
      </c>
      <c r="AT31" s="35">
        <f>MIN(MAX(0,AT17-(AT25-AT26)),MAX(0,AT28-Assumptions!H203))</f>
        <v>0</v>
      </c>
      <c r="AU31" s="35">
        <f>MIN(MAX(0,AU17-0),MAX(0,AU28-Assumptions!H203))</f>
        <v>11.526305424436167</v>
      </c>
      <c r="AV31" s="35">
        <f>MIN(MAX(0,AV17-0),MAX(0,AV28-Assumptions!H203))</f>
        <v>11.588739578818533</v>
      </c>
      <c r="AW31" s="35">
        <f>MIN(MAX(0,AW17-0),MAX(0,AW28-Assumptions!H203))</f>
        <v>11.651511918203795</v>
      </c>
      <c r="AX31" s="35">
        <f>MIN(MAX(0,AX17-0),MAX(0,AX28-Assumptions!H203))</f>
        <v>11.714624274427401</v>
      </c>
      <c r="AY31" s="35">
        <f>MIN(MAX(0,AY17-0),MAX(0,AY28-Assumptions!H203))</f>
        <v>11.778078489247214</v>
      </c>
      <c r="AZ31" s="35">
        <f>MIN(MAX(0,AZ17-0),MAX(0,AZ28-Assumptions!H203))</f>
        <v>0.75916964748001448</v>
      </c>
      <c r="BA31" s="35">
        <f>MIN(MAX(0,BA17-0),MAX(0,BA28-Assumptions!I203))</f>
        <v>0</v>
      </c>
      <c r="BB31" s="35">
        <f>MIN(MAX(0,BB17-0),MAX(0,BB28-Assumptions!I203))</f>
        <v>61.33772959379678</v>
      </c>
      <c r="BC31" s="35">
        <f>MIN(MAX(0,BC17-0),MAX(0,BC28-Assumptions!I203))</f>
        <v>0</v>
      </c>
      <c r="BD31" s="35">
        <f>MIN(MAX(0,BD17-0),MAX(0,BD28-Assumptions!I203))</f>
        <v>11.629333705420784</v>
      </c>
      <c r="BE31" s="35">
        <f>MIN(MAX(0,BE17-0),MAX(0,BE28-Assumptions!I203))</f>
        <v>11.69232592965848</v>
      </c>
      <c r="BF31" s="35">
        <f>MIN(MAX(0,BF17-0),MAX(0,BF28-Assumptions!I203))</f>
        <v>0</v>
      </c>
      <c r="BG31" s="35">
        <f>MIN(MAX(0,BG17-0),MAX(0,BG28-Assumptions!I203))</f>
        <v>11.6426335891409</v>
      </c>
      <c r="BH31" s="35">
        <f>MIN(MAX(0,BH17-0),MAX(0,BH28-Assumptions!I203))</f>
        <v>11.631905618231116</v>
      </c>
      <c r="BI31" s="35">
        <f>MIN(MAX(0,BI17-0),MAX(0,BI28-Assumptions!I203))</f>
        <v>11.330944601889513</v>
      </c>
      <c r="BJ31" s="35">
        <f>MIN(MAX(0,BJ17-0),MAX(0,BJ28-Assumptions!I203))</f>
        <v>11.37707496961746</v>
      </c>
      <c r="BK31" s="35">
        <f>MIN(MAX(0,BK17-0),MAX(0,BK28-Assumptions!I203))</f>
        <v>11.423393142879604</v>
      </c>
      <c r="BL31" s="35">
        <f>MIN(MAX(0,BL17-0),MAX(0,BL28-Assumptions!I203))</f>
        <v>0.3871931193519913</v>
      </c>
      <c r="BM31" s="32"/>
      <c r="BN31" s="32"/>
    </row>
    <row r="32" spans="1:66" ht="20" customHeight="1">
      <c r="A32" s="30"/>
      <c r="B32" s="30"/>
      <c r="C32" s="31" t="s">
        <v>304</v>
      </c>
      <c r="D32" s="31"/>
      <c r="E32" s="46">
        <f t="shared" ref="E32:AS32" si="16">E17+E30-E31+E51-0</f>
        <v>210</v>
      </c>
      <c r="F32" s="46">
        <f t="shared" si="16"/>
        <v>230</v>
      </c>
      <c r="G32" s="46">
        <f t="shared" si="16"/>
        <v>200</v>
      </c>
      <c r="H32" s="46">
        <f t="shared" si="16"/>
        <v>64.785991741147967</v>
      </c>
      <c r="I32" s="46">
        <f t="shared" si="16"/>
        <v>50.5808694971644</v>
      </c>
      <c r="J32" s="46">
        <f t="shared" si="16"/>
        <v>245.50322858254228</v>
      </c>
      <c r="K32" s="46">
        <f t="shared" si="16"/>
        <v>237.27699137144958</v>
      </c>
      <c r="L32" s="46">
        <f t="shared" si="16"/>
        <v>224.00619537546348</v>
      </c>
      <c r="M32" s="46">
        <f t="shared" si="16"/>
        <v>210.66351590116579</v>
      </c>
      <c r="N32" s="46">
        <f t="shared" si="16"/>
        <v>197.24856357971566</v>
      </c>
      <c r="O32" s="46">
        <f t="shared" si="16"/>
        <v>183.76094693319101</v>
      </c>
      <c r="P32" s="46">
        <f t="shared" si="16"/>
        <v>188.84497913008164</v>
      </c>
      <c r="Q32" s="46">
        <f t="shared" si="16"/>
        <v>208.24517640112146</v>
      </c>
      <c r="R32" s="46">
        <f t="shared" si="16"/>
        <v>164.75045807404607</v>
      </c>
      <c r="S32" s="46">
        <f t="shared" si="16"/>
        <v>193.36634335603236</v>
      </c>
      <c r="T32" s="46">
        <f t="shared" si="16"/>
        <v>183.79103134996274</v>
      </c>
      <c r="U32" s="46">
        <f t="shared" si="16"/>
        <v>174.1638530705269</v>
      </c>
      <c r="V32" s="46">
        <f t="shared" si="16"/>
        <v>265.22177728713041</v>
      </c>
      <c r="W32" s="46">
        <f t="shared" si="16"/>
        <v>256.03568221485426</v>
      </c>
      <c r="X32" s="46">
        <f t="shared" si="16"/>
        <v>246.79982912760326</v>
      </c>
      <c r="Y32" s="46">
        <f t="shared" si="16"/>
        <v>237.51394850279632</v>
      </c>
      <c r="Z32" s="46">
        <f t="shared" si="16"/>
        <v>228.17776935793836</v>
      </c>
      <c r="AA32" s="46">
        <f t="shared" si="16"/>
        <v>218.79101924271239</v>
      </c>
      <c r="AB32" s="46">
        <f t="shared" si="16"/>
        <v>220.43613099794626</v>
      </c>
      <c r="AC32" s="46">
        <f t="shared" si="16"/>
        <v>256.63236367493704</v>
      </c>
      <c r="AD32" s="46">
        <f t="shared" si="16"/>
        <v>200.02465927892817</v>
      </c>
      <c r="AE32" s="46">
        <f t="shared" si="16"/>
        <v>217.86997981744091</v>
      </c>
      <c r="AF32" s="46">
        <f t="shared" si="16"/>
        <v>207.05231250887059</v>
      </c>
      <c r="AG32" s="46">
        <f t="shared" si="16"/>
        <v>196.17604950237885</v>
      </c>
      <c r="AH32" s="46">
        <f t="shared" si="16"/>
        <v>191.62034120553332</v>
      </c>
      <c r="AI32" s="46">
        <f t="shared" si="16"/>
        <v>180.66048835448186</v>
      </c>
      <c r="AJ32" s="46">
        <f t="shared" si="16"/>
        <v>169.64126963382051</v>
      </c>
      <c r="AK32" s="46">
        <f t="shared" si="16"/>
        <v>158.53236347842227</v>
      </c>
      <c r="AL32" s="46">
        <f t="shared" si="16"/>
        <v>147.29328408134893</v>
      </c>
      <c r="AM32" s="46">
        <f t="shared" si="16"/>
        <v>135.99332633754145</v>
      </c>
      <c r="AN32" s="46">
        <f t="shared" si="16"/>
        <v>135.71486725620565</v>
      </c>
      <c r="AO32" s="46">
        <f t="shared" si="16"/>
        <v>183.18726225459531</v>
      </c>
      <c r="AP32" s="46">
        <f t="shared" si="16"/>
        <v>121.91679939255958</v>
      </c>
      <c r="AQ32" s="46">
        <f t="shared" si="16"/>
        <v>139.07410485668782</v>
      </c>
      <c r="AR32" s="46">
        <f t="shared" si="16"/>
        <v>127.56469572541343</v>
      </c>
      <c r="AS32" s="46">
        <f t="shared" si="16"/>
        <v>115.99294396134464</v>
      </c>
      <c r="AT32" s="46">
        <f>AT17+AT30-AT31+AT51-(AT25-AT26)</f>
        <v>135.95478919605219</v>
      </c>
      <c r="AU32" s="46">
        <f t="shared" ref="AU32:BL32" si="17">AU17+AU30-AU31+AU51-0</f>
        <v>124.42848377161602</v>
      </c>
      <c r="AV32" s="46">
        <f t="shared" si="17"/>
        <v>112.83974419279748</v>
      </c>
      <c r="AW32" s="46">
        <f t="shared" si="17"/>
        <v>101.18823227459369</v>
      </c>
      <c r="AX32" s="46">
        <f t="shared" si="17"/>
        <v>89.47360800016628</v>
      </c>
      <c r="AY32" s="46">
        <f t="shared" si="17"/>
        <v>77.695529510919073</v>
      </c>
      <c r="AZ32" s="46">
        <f t="shared" si="17"/>
        <v>76.936359863439066</v>
      </c>
      <c r="BA32" s="46">
        <f t="shared" si="17"/>
        <v>130.30952562178459</v>
      </c>
      <c r="BB32" s="46">
        <f t="shared" si="17"/>
        <v>68.971796027987807</v>
      </c>
      <c r="BC32" s="46">
        <f t="shared" si="17"/>
        <v>76.4749203988913</v>
      </c>
      <c r="BD32" s="46">
        <f t="shared" si="17"/>
        <v>64.845586693470523</v>
      </c>
      <c r="BE32" s="46">
        <f t="shared" si="17"/>
        <v>53.153260763812042</v>
      </c>
      <c r="BF32" s="46">
        <f t="shared" si="17"/>
        <v>74.019557250562016</v>
      </c>
      <c r="BG32" s="46">
        <f t="shared" si="17"/>
        <v>62.376923661421117</v>
      </c>
      <c r="BH32" s="46">
        <f t="shared" si="17"/>
        <v>50.745018043190001</v>
      </c>
      <c r="BI32" s="46">
        <f t="shared" si="17"/>
        <v>39.414073441300488</v>
      </c>
      <c r="BJ32" s="46">
        <f t="shared" si="17"/>
        <v>28.036998471683027</v>
      </c>
      <c r="BK32" s="46">
        <f t="shared" si="17"/>
        <v>16.613605328803423</v>
      </c>
      <c r="BL32" s="46">
        <f t="shared" si="17"/>
        <v>16.226412209451432</v>
      </c>
      <c r="BM32" s="32"/>
      <c r="BN32" s="32"/>
    </row>
    <row r="33" spans="1:66" ht="20" customHeight="1">
      <c r="A33" s="30"/>
      <c r="B33" s="30"/>
      <c r="C33" s="31" t="s">
        <v>200</v>
      </c>
      <c r="D33" s="31"/>
      <c r="E33" s="46">
        <f t="shared" ref="E33:AJ33" si="18">E28+E30-E31</f>
        <v>179.80621303258144</v>
      </c>
      <c r="F33" s="46">
        <f t="shared" si="18"/>
        <v>223.97222452960264</v>
      </c>
      <c r="G33" s="46">
        <f t="shared" si="18"/>
        <v>146.74129522627058</v>
      </c>
      <c r="H33" s="46">
        <f t="shared" si="18"/>
        <v>25</v>
      </c>
      <c r="I33" s="46">
        <f t="shared" si="18"/>
        <v>25</v>
      </c>
      <c r="J33" s="46">
        <f t="shared" si="18"/>
        <v>25</v>
      </c>
      <c r="K33" s="46">
        <f t="shared" si="18"/>
        <v>25</v>
      </c>
      <c r="L33" s="46">
        <f t="shared" si="18"/>
        <v>25</v>
      </c>
      <c r="M33" s="46">
        <f t="shared" si="18"/>
        <v>25</v>
      </c>
      <c r="N33" s="46">
        <f t="shared" si="18"/>
        <v>25</v>
      </c>
      <c r="O33" s="46">
        <f t="shared" si="18"/>
        <v>25</v>
      </c>
      <c r="P33" s="46">
        <f t="shared" si="18"/>
        <v>25</v>
      </c>
      <c r="Q33" s="46">
        <f t="shared" si="18"/>
        <v>25</v>
      </c>
      <c r="R33" s="46">
        <f t="shared" si="18"/>
        <v>25</v>
      </c>
      <c r="S33" s="46">
        <f t="shared" si="18"/>
        <v>25</v>
      </c>
      <c r="T33" s="46">
        <f t="shared" si="18"/>
        <v>25</v>
      </c>
      <c r="U33" s="46">
        <f t="shared" si="18"/>
        <v>25</v>
      </c>
      <c r="V33" s="46">
        <f t="shared" si="18"/>
        <v>25</v>
      </c>
      <c r="W33" s="46">
        <f t="shared" si="18"/>
        <v>25</v>
      </c>
      <c r="X33" s="46">
        <f t="shared" si="18"/>
        <v>25</v>
      </c>
      <c r="Y33" s="46">
        <f t="shared" si="18"/>
        <v>25</v>
      </c>
      <c r="Z33" s="46">
        <f t="shared" si="18"/>
        <v>25</v>
      </c>
      <c r="AA33" s="46">
        <f t="shared" si="18"/>
        <v>25</v>
      </c>
      <c r="AB33" s="46">
        <f t="shared" si="18"/>
        <v>25</v>
      </c>
      <c r="AC33" s="46">
        <f t="shared" si="18"/>
        <v>25</v>
      </c>
      <c r="AD33" s="46">
        <f t="shared" si="18"/>
        <v>25</v>
      </c>
      <c r="AE33" s="46">
        <f t="shared" si="18"/>
        <v>25</v>
      </c>
      <c r="AF33" s="46">
        <f t="shared" si="18"/>
        <v>25</v>
      </c>
      <c r="AG33" s="46">
        <f t="shared" si="18"/>
        <v>25</v>
      </c>
      <c r="AH33" s="46">
        <f t="shared" si="18"/>
        <v>25</v>
      </c>
      <c r="AI33" s="46">
        <f t="shared" si="18"/>
        <v>25</v>
      </c>
      <c r="AJ33" s="46">
        <f t="shared" si="18"/>
        <v>25</v>
      </c>
      <c r="AK33" s="46">
        <f t="shared" ref="AK33:BL33" si="19">AK28+AK30-AK31</f>
        <v>25</v>
      </c>
      <c r="AL33" s="46">
        <f t="shared" si="19"/>
        <v>25</v>
      </c>
      <c r="AM33" s="46">
        <f t="shared" si="19"/>
        <v>25</v>
      </c>
      <c r="AN33" s="46">
        <f t="shared" si="19"/>
        <v>25</v>
      </c>
      <c r="AO33" s="46">
        <f t="shared" si="19"/>
        <v>24.999999999999996</v>
      </c>
      <c r="AP33" s="46">
        <f t="shared" si="19"/>
        <v>25</v>
      </c>
      <c r="AQ33" s="46">
        <f t="shared" si="19"/>
        <v>25</v>
      </c>
      <c r="AR33" s="46">
        <f t="shared" si="19"/>
        <v>25</v>
      </c>
      <c r="AS33" s="46">
        <f t="shared" si="19"/>
        <v>25</v>
      </c>
      <c r="AT33" s="46">
        <f t="shared" si="19"/>
        <v>25</v>
      </c>
      <c r="AU33" s="46">
        <f t="shared" si="19"/>
        <v>25</v>
      </c>
      <c r="AV33" s="46">
        <f t="shared" si="19"/>
        <v>25</v>
      </c>
      <c r="AW33" s="46">
        <f t="shared" si="19"/>
        <v>25</v>
      </c>
      <c r="AX33" s="46">
        <f t="shared" si="19"/>
        <v>25</v>
      </c>
      <c r="AY33" s="46">
        <f t="shared" si="19"/>
        <v>25</v>
      </c>
      <c r="AZ33" s="46">
        <f t="shared" si="19"/>
        <v>25</v>
      </c>
      <c r="BA33" s="46">
        <f t="shared" si="19"/>
        <v>25.000000000000004</v>
      </c>
      <c r="BB33" s="46">
        <f t="shared" si="19"/>
        <v>25</v>
      </c>
      <c r="BC33" s="46">
        <f t="shared" si="19"/>
        <v>25</v>
      </c>
      <c r="BD33" s="46">
        <f t="shared" si="19"/>
        <v>25</v>
      </c>
      <c r="BE33" s="46">
        <f t="shared" si="19"/>
        <v>25</v>
      </c>
      <c r="BF33" s="46">
        <f t="shared" si="19"/>
        <v>25</v>
      </c>
      <c r="BG33" s="46">
        <f t="shared" si="19"/>
        <v>25</v>
      </c>
      <c r="BH33" s="46">
        <f t="shared" si="19"/>
        <v>25</v>
      </c>
      <c r="BI33" s="46">
        <f t="shared" si="19"/>
        <v>25</v>
      </c>
      <c r="BJ33" s="46">
        <f t="shared" si="19"/>
        <v>25</v>
      </c>
      <c r="BK33" s="46">
        <f t="shared" si="19"/>
        <v>25</v>
      </c>
      <c r="BL33" s="46">
        <f t="shared" si="19"/>
        <v>25</v>
      </c>
      <c r="BM33" s="32"/>
      <c r="BN33" s="32"/>
    </row>
    <row r="34" spans="1:66" ht="20" customHeight="1">
      <c r="A34" s="30"/>
      <c r="B34" s="30"/>
      <c r="C34" s="31" t="s">
        <v>305</v>
      </c>
      <c r="D34" s="31"/>
      <c r="E34" s="35">
        <f>MAX(0,Assumptions!E203-E33)</f>
        <v>0</v>
      </c>
      <c r="F34" s="35">
        <f>MAX(0,Assumptions!E203-F33)</f>
        <v>0</v>
      </c>
      <c r="G34" s="35">
        <f>MAX(0,Assumptions!E203-G33)</f>
        <v>0</v>
      </c>
      <c r="H34" s="35">
        <f>MAX(0,Assumptions!E203-H33)</f>
        <v>0</v>
      </c>
      <c r="I34" s="35">
        <f>MAX(0,Assumptions!E203-I33)</f>
        <v>0</v>
      </c>
      <c r="J34" s="35">
        <f>MAX(0,Assumptions!E203-J33)</f>
        <v>0</v>
      </c>
      <c r="K34" s="35">
        <f>MAX(0,Assumptions!E203-K33)</f>
        <v>0</v>
      </c>
      <c r="L34" s="35">
        <f>MAX(0,Assumptions!E203-L33)</f>
        <v>0</v>
      </c>
      <c r="M34" s="35">
        <f>MAX(0,Assumptions!E203-M33)</f>
        <v>0</v>
      </c>
      <c r="N34" s="35">
        <f>MAX(0,Assumptions!E203-N33)</f>
        <v>0</v>
      </c>
      <c r="O34" s="35">
        <f>MAX(0,Assumptions!E203-O33)</f>
        <v>0</v>
      </c>
      <c r="P34" s="35">
        <f>MAX(0,Assumptions!E203-P33)</f>
        <v>0</v>
      </c>
      <c r="Q34" s="35">
        <f>MAX(0,Assumptions!F203-Q33)</f>
        <v>0</v>
      </c>
      <c r="R34" s="35">
        <f>MAX(0,Assumptions!F203-R33)</f>
        <v>0</v>
      </c>
      <c r="S34" s="35">
        <f>MAX(0,Assumptions!F203-S33)</f>
        <v>0</v>
      </c>
      <c r="T34" s="35">
        <f>MAX(0,Assumptions!F203-T33)</f>
        <v>0</v>
      </c>
      <c r="U34" s="35">
        <f>MAX(0,Assumptions!F203-U33)</f>
        <v>0</v>
      </c>
      <c r="V34" s="35">
        <f>MAX(0,Assumptions!F203-V33)</f>
        <v>0</v>
      </c>
      <c r="W34" s="35">
        <f>MAX(0,Assumptions!F203-W33)</f>
        <v>0</v>
      </c>
      <c r="X34" s="35">
        <f>MAX(0,Assumptions!F203-X33)</f>
        <v>0</v>
      </c>
      <c r="Y34" s="35">
        <f>MAX(0,Assumptions!F203-Y33)</f>
        <v>0</v>
      </c>
      <c r="Z34" s="35">
        <f>MAX(0,Assumptions!F203-Z33)</f>
        <v>0</v>
      </c>
      <c r="AA34" s="35">
        <f>MAX(0,Assumptions!F203-AA33)</f>
        <v>0</v>
      </c>
      <c r="AB34" s="35">
        <f>MAX(0,Assumptions!F203-AB33)</f>
        <v>0</v>
      </c>
      <c r="AC34" s="35">
        <f>MAX(0,Assumptions!G203-AC33)</f>
        <v>0</v>
      </c>
      <c r="AD34" s="35">
        <f>MAX(0,Assumptions!G203-AD33)</f>
        <v>0</v>
      </c>
      <c r="AE34" s="35">
        <f>MAX(0,Assumptions!G203-AE33)</f>
        <v>0</v>
      </c>
      <c r="AF34" s="35">
        <f>MAX(0,Assumptions!G203-AF33)</f>
        <v>0</v>
      </c>
      <c r="AG34" s="35">
        <f>MAX(0,Assumptions!G203-AG33)</f>
        <v>0</v>
      </c>
      <c r="AH34" s="35">
        <f>MAX(0,Assumptions!G203-AH33)</f>
        <v>0</v>
      </c>
      <c r="AI34" s="35">
        <f>MAX(0,Assumptions!G203-AI33)</f>
        <v>0</v>
      </c>
      <c r="AJ34" s="35">
        <f>MAX(0,Assumptions!G203-AJ33)</f>
        <v>0</v>
      </c>
      <c r="AK34" s="35">
        <f>MAX(0,Assumptions!G203-AK33)</f>
        <v>0</v>
      </c>
      <c r="AL34" s="35">
        <f>MAX(0,Assumptions!G203-AL33)</f>
        <v>0</v>
      </c>
      <c r="AM34" s="35">
        <f>MAX(0,Assumptions!G203-AM33)</f>
        <v>0</v>
      </c>
      <c r="AN34" s="35">
        <f>MAX(0,Assumptions!G203-AN33)</f>
        <v>0</v>
      </c>
      <c r="AO34" s="35">
        <f>MAX(0,Assumptions!H203-AO33)</f>
        <v>3.5527136788005009E-15</v>
      </c>
      <c r="AP34" s="35">
        <f>MAX(0,Assumptions!H203-AP33)</f>
        <v>0</v>
      </c>
      <c r="AQ34" s="35">
        <f>MAX(0,Assumptions!H203-AQ33)</f>
        <v>0</v>
      </c>
      <c r="AR34" s="35">
        <f>MAX(0,Assumptions!H203-AR33)</f>
        <v>0</v>
      </c>
      <c r="AS34" s="35">
        <f>MAX(0,Assumptions!H203-AS33)</f>
        <v>0</v>
      </c>
      <c r="AT34" s="35">
        <f>MAX(0,Assumptions!H203-AT33)</f>
        <v>0</v>
      </c>
      <c r="AU34" s="35">
        <f>MAX(0,Assumptions!H203-AU33)</f>
        <v>0</v>
      </c>
      <c r="AV34" s="35">
        <f>MAX(0,Assumptions!H203-AV33)</f>
        <v>0</v>
      </c>
      <c r="AW34" s="35">
        <f>MAX(0,Assumptions!H203-AW33)</f>
        <v>0</v>
      </c>
      <c r="AX34" s="35">
        <f>MAX(0,Assumptions!H203-AX33)</f>
        <v>0</v>
      </c>
      <c r="AY34" s="35">
        <f>MAX(0,Assumptions!H203-AY33)</f>
        <v>0</v>
      </c>
      <c r="AZ34" s="35">
        <f>MAX(0,Assumptions!H203-AZ33)</f>
        <v>0</v>
      </c>
      <c r="BA34" s="35">
        <f>MAX(0,Assumptions!I203-BA33)</f>
        <v>0</v>
      </c>
      <c r="BB34" s="35">
        <f>MAX(0,Assumptions!I203-BB33)</f>
        <v>0</v>
      </c>
      <c r="BC34" s="35">
        <f>MAX(0,Assumptions!I203-BC33)</f>
        <v>0</v>
      </c>
      <c r="BD34" s="35">
        <f>MAX(0,Assumptions!I203-BD33)</f>
        <v>0</v>
      </c>
      <c r="BE34" s="35">
        <f>MAX(0,Assumptions!I203-BE33)</f>
        <v>0</v>
      </c>
      <c r="BF34" s="35">
        <f>MAX(0,Assumptions!I203-BF33)</f>
        <v>0</v>
      </c>
      <c r="BG34" s="35">
        <f>MAX(0,Assumptions!I203-BG33)</f>
        <v>0</v>
      </c>
      <c r="BH34" s="35">
        <f>MAX(0,Assumptions!I203-BH33)</f>
        <v>0</v>
      </c>
      <c r="BI34" s="35">
        <f>MAX(0,Assumptions!I203-BI33)</f>
        <v>0</v>
      </c>
      <c r="BJ34" s="35">
        <f>MAX(0,Assumptions!I203-BJ33)</f>
        <v>0</v>
      </c>
      <c r="BK34" s="35">
        <f>MAX(0,Assumptions!I203-BK33)</f>
        <v>0</v>
      </c>
      <c r="BL34" s="35">
        <f>MAX(0,Assumptions!I203-BL33)</f>
        <v>0</v>
      </c>
      <c r="BM34" s="32"/>
      <c r="BN34" s="32"/>
    </row>
    <row r="35" spans="1:66" ht="20" customHeight="1">
      <c r="A35" s="30"/>
      <c r="B35" s="30"/>
      <c r="C35" s="31" t="s">
        <v>306</v>
      </c>
      <c r="D35" s="31"/>
      <c r="E35" s="35">
        <f>IF(E38&gt;=0,MAX(0,E27-E32)*Assumptions!E273,0)</f>
        <v>190</v>
      </c>
      <c r="F35" s="35">
        <f>IF(F38&gt;=0,MAX(0,F27-F32)*Assumptions!E273,0)</f>
        <v>170</v>
      </c>
      <c r="G35" s="35">
        <f>IF(G38&gt;=0,MAX(0,G27-G32)*Assumptions!E273,0)</f>
        <v>200</v>
      </c>
      <c r="H35" s="35">
        <f>IF(H38&gt;=0,MAX(0,H27-H32)*Assumptions!E273,0)</f>
        <v>335.214008258852</v>
      </c>
      <c r="I35" s="35">
        <f>IF(I38&gt;=0,MAX(0,I27-I32)*Assumptions!E273,0)</f>
        <v>349.41913050283563</v>
      </c>
      <c r="J35" s="35">
        <f>IF(J38&gt;=0,MAX(0,J27-J32)*Assumptions!E273,0)</f>
        <v>154.49677141745772</v>
      </c>
      <c r="K35" s="35">
        <f>IF(K38&gt;=0,MAX(0,K27-K32)*Assumptions!E273,0)</f>
        <v>162.72300862855042</v>
      </c>
      <c r="L35" s="35">
        <f>IF(L38&gt;=0,MAX(0,L27-L32)*Assumptions!E273,0)</f>
        <v>175.99380462453652</v>
      </c>
      <c r="M35" s="35">
        <f>IF(M38&gt;=0,MAX(0,M27-M32)*Assumptions!E273,0)</f>
        <v>189.33648409883421</v>
      </c>
      <c r="N35" s="35">
        <f>IF(N38&gt;=0,MAX(0,N27-N32)*Assumptions!E273,0)</f>
        <v>202.75143642028434</v>
      </c>
      <c r="O35" s="35">
        <f>IF(O38&gt;=0,MAX(0,O27-O32)*Assumptions!E273,0)</f>
        <v>216.23905306680899</v>
      </c>
      <c r="P35" s="35">
        <f>IF(P38&gt;=0,MAX(0,P27-P32)*Assumptions!E273,0)</f>
        <v>211.15502086991836</v>
      </c>
      <c r="Q35" s="35">
        <f>IF(Q38&gt;=0,MAX(0,Q27-Q32)*Assumptions!F273,0)</f>
        <v>191.75482359887854</v>
      </c>
      <c r="R35" s="35">
        <f>IF(R38&gt;=0,MAX(0,R27-R32)*Assumptions!F273,0)</f>
        <v>235.24954192595393</v>
      </c>
      <c r="S35" s="35">
        <f>IF(S38&gt;=0,MAX(0,S27-S32)*Assumptions!F273,0)</f>
        <v>206.63365664396764</v>
      </c>
      <c r="T35" s="35">
        <f>IF(T38&gt;=0,MAX(0,T27-T32)*Assumptions!F273,0)</f>
        <v>216.20896865003726</v>
      </c>
      <c r="U35" s="35">
        <f>IF(U38&gt;=0,MAX(0,U27-U32)*Assumptions!F273,0)</f>
        <v>225.8361469294731</v>
      </c>
      <c r="V35" s="35">
        <f>IF(V38&gt;=0,MAX(0,V27-V32)*Assumptions!F273,0)</f>
        <v>134.77822271286959</v>
      </c>
      <c r="W35" s="35">
        <f>IF(W38&gt;=0,MAX(0,W27-W32)*Assumptions!F273,0)</f>
        <v>143.96431778514574</v>
      </c>
      <c r="X35" s="35">
        <f>IF(X38&gt;=0,MAX(0,X27-X32)*Assumptions!F273,0)</f>
        <v>153.20017087239674</v>
      </c>
      <c r="Y35" s="35">
        <f>IF(Y38&gt;=0,MAX(0,Y27-Y32)*Assumptions!F273,0)</f>
        <v>162.48605149720368</v>
      </c>
      <c r="Z35" s="35">
        <f>IF(Z38&gt;=0,MAX(0,Z27-Z32)*Assumptions!F273,0)</f>
        <v>171.82223064206164</v>
      </c>
      <c r="AA35" s="35">
        <f>IF(AA38&gt;=0,MAX(0,AA27-AA32)*Assumptions!F273,0)</f>
        <v>181.20898075728761</v>
      </c>
      <c r="AB35" s="35">
        <f>IF(AB38&gt;=0,MAX(0,AB27-AB32)*Assumptions!F273,0)</f>
        <v>179.56386900205374</v>
      </c>
      <c r="AC35" s="35">
        <f>IF(AC38&gt;=0,MAX(0,AC27-AC32)*Assumptions!G273,0)</f>
        <v>143.36763632506296</v>
      </c>
      <c r="AD35" s="35">
        <f>IF(AD38&gt;=0,MAX(0,AD27-AD32)*Assumptions!G273,0)</f>
        <v>199.97534072107183</v>
      </c>
      <c r="AE35" s="35">
        <f>IF(AE38&gt;=0,MAX(0,AE27-AE32)*Assumptions!G273,0)</f>
        <v>182.13002018255909</v>
      </c>
      <c r="AF35" s="35">
        <f>IF(AF38&gt;=0,MAX(0,AF27-AF32)*Assumptions!G273,0)</f>
        <v>192.94768749112941</v>
      </c>
      <c r="AG35" s="35">
        <f>IF(AG38&gt;=0,MAX(0,AG27-AG32)*Assumptions!G273,0)</f>
        <v>203.82395049762115</v>
      </c>
      <c r="AH35" s="35">
        <f>IF(AH38&gt;=0,MAX(0,AH27-AH32)*Assumptions!G273,0)</f>
        <v>208.37965879446668</v>
      </c>
      <c r="AI35" s="35">
        <f>IF(AI38&gt;=0,MAX(0,AI27-AI32)*Assumptions!G273,0)</f>
        <v>219.33951164551814</v>
      </c>
      <c r="AJ35" s="35">
        <f>IF(AJ38&gt;=0,MAX(0,AJ27-AJ32)*Assumptions!G273,0)</f>
        <v>230.35873036617949</v>
      </c>
      <c r="AK35" s="35">
        <f>IF(AK38&gt;=0,MAX(0,AK27-AK32)*Assumptions!G273,0)</f>
        <v>241.46763652157773</v>
      </c>
      <c r="AL35" s="35">
        <f>IF(AL38&gt;=0,MAX(0,AL27-AL32)*Assumptions!G273,0)</f>
        <v>252.70671591865107</v>
      </c>
      <c r="AM35" s="35">
        <f>IF(AM38&gt;=0,MAX(0,AM27-AM32)*Assumptions!G273,0)</f>
        <v>264.00667366245852</v>
      </c>
      <c r="AN35" s="35">
        <f>IF(AN38&gt;=0,MAX(0,AN27-AN32)*Assumptions!G273,0)</f>
        <v>264.28513274379435</v>
      </c>
      <c r="AO35" s="35">
        <f>IF(AO38&gt;=0,MAX(0,AO27-AO32)*Assumptions!H273,0)</f>
        <v>216.81273774540469</v>
      </c>
      <c r="AP35" s="35">
        <f>IF(AP38&gt;=0,MAX(0,AP27-AP32)*Assumptions!H273,0)</f>
        <v>278.0832006074404</v>
      </c>
      <c r="AQ35" s="35">
        <f>IF(AQ38&gt;=0,MAX(0,AQ27-AQ32)*Assumptions!H273,0)</f>
        <v>260.92589514331218</v>
      </c>
      <c r="AR35" s="35">
        <f>IF(AR38&gt;=0,MAX(0,AR27-AR32)*Assumptions!H273,0)</f>
        <v>272.43530427458654</v>
      </c>
      <c r="AS35" s="35">
        <f>IF(AS38&gt;=0,MAX(0,AS27-AS32)*Assumptions!H273,0)</f>
        <v>284.00705603865538</v>
      </c>
      <c r="AT35" s="35">
        <f>IF(AT38&gt;=0,MAX(0,AT27-AT32)*Assumptions!H273,0)</f>
        <v>264.04521080394784</v>
      </c>
      <c r="AU35" s="35">
        <f>IF(AU38&gt;=0,MAX(0,AU27-AU32)*Assumptions!H273,0)</f>
        <v>275.57151622838398</v>
      </c>
      <c r="AV35" s="35">
        <f>IF(AV38&gt;=0,MAX(0,AV27-AV32)*Assumptions!H273,0)</f>
        <v>287.16025580720253</v>
      </c>
      <c r="AW35" s="35">
        <f>IF(AW38&gt;=0,MAX(0,AW27-AW32)*Assumptions!H273,0)</f>
        <v>298.8117677254063</v>
      </c>
      <c r="AX35" s="35">
        <f>IF(AX38&gt;=0,MAX(0,AX27-AX32)*Assumptions!H273,0)</f>
        <v>310.52639199983372</v>
      </c>
      <c r="AY35" s="35">
        <f>IF(AY38&gt;=0,MAX(0,AY27-AY32)*Assumptions!H273,0)</f>
        <v>322.30447048908093</v>
      </c>
      <c r="AZ35" s="35">
        <f>IF(AZ38&gt;=0,MAX(0,AZ27-AZ32)*Assumptions!H273,0)</f>
        <v>323.06364013656093</v>
      </c>
      <c r="BA35" s="35">
        <f>IF(BA38&gt;=0,MAX(0,BA27-BA32)*Assumptions!I273,0)</f>
        <v>269.69047437821541</v>
      </c>
      <c r="BB35" s="35">
        <f>IF(BB38&gt;=0,MAX(0,BB27-BB32)*Assumptions!I273,0)</f>
        <v>331.02820397201219</v>
      </c>
      <c r="BC35" s="35">
        <f>IF(BC38&gt;=0,MAX(0,BC27-BC32)*Assumptions!I273,0)</f>
        <v>323.5250796011087</v>
      </c>
      <c r="BD35" s="35">
        <f>IF(BD38&gt;=0,MAX(0,BD27-BD32)*Assumptions!I273,0)</f>
        <v>335.15441330652948</v>
      </c>
      <c r="BE35" s="35">
        <f>IF(BE38&gt;=0,MAX(0,BE27-BE32)*Assumptions!I273,0)</f>
        <v>346.84673923618794</v>
      </c>
      <c r="BF35" s="35">
        <f>IF(BF38&gt;=0,MAX(0,BF27-BF32)*Assumptions!I273,0)</f>
        <v>325.980442749438</v>
      </c>
      <c r="BG35" s="35">
        <f>IF(BG38&gt;=0,MAX(0,BG27-BG32)*Assumptions!I273,0)</f>
        <v>337.62307633857887</v>
      </c>
      <c r="BH35" s="35">
        <f>IF(BH38&gt;=0,MAX(0,BH27-BH32)*Assumptions!I273,0)</f>
        <v>349.25498195681001</v>
      </c>
      <c r="BI35" s="35">
        <f>IF(BI38&gt;=0,MAX(0,BI27-BI32)*Assumptions!I273,0)</f>
        <v>360.5859265586995</v>
      </c>
      <c r="BJ35" s="35">
        <f>IF(BJ38&gt;=0,MAX(0,BJ27-BJ32)*Assumptions!I273,0)</f>
        <v>371.96300152831697</v>
      </c>
      <c r="BK35" s="35">
        <f>IF(BK38&gt;=0,MAX(0,BK27-BK32)*Assumptions!I273,0)</f>
        <v>383.38639467119657</v>
      </c>
      <c r="BL35" s="35">
        <f>IF(BL38&gt;=0,MAX(0,BL27-BL32)*Assumptions!I273,0)</f>
        <v>383.77358779054856</v>
      </c>
      <c r="BM35" s="32"/>
      <c r="BN35" s="32"/>
    </row>
    <row r="36" spans="1:66" ht="20" customHeight="1">
      <c r="A36" s="30"/>
      <c r="B36" s="30"/>
      <c r="C36" s="31" t="s">
        <v>307</v>
      </c>
      <c r="D36" s="31"/>
      <c r="E36" s="46">
        <f t="shared" ref="E36:AJ36" si="20">E18+E32+E24-0</f>
        <v>786.44096691729317</v>
      </c>
      <c r="F36" s="46">
        <f t="shared" si="20"/>
        <v>806.54716691729323</v>
      </c>
      <c r="G36" s="46">
        <f t="shared" si="20"/>
        <v>776.65336691729317</v>
      </c>
      <c r="H36" s="46">
        <f t="shared" si="20"/>
        <v>641.54555865844122</v>
      </c>
      <c r="I36" s="46">
        <f t="shared" si="20"/>
        <v>627.44663641445754</v>
      </c>
      <c r="J36" s="46">
        <f t="shared" si="20"/>
        <v>822.47519549983554</v>
      </c>
      <c r="K36" s="46">
        <f t="shared" si="20"/>
        <v>814.35515828874281</v>
      </c>
      <c r="L36" s="46">
        <f t="shared" si="20"/>
        <v>801.19056229275668</v>
      </c>
      <c r="M36" s="46">
        <f t="shared" si="20"/>
        <v>787.95408281845891</v>
      </c>
      <c r="N36" s="46">
        <f t="shared" si="20"/>
        <v>774.6453304970089</v>
      </c>
      <c r="O36" s="46">
        <f t="shared" si="20"/>
        <v>761.26391385048419</v>
      </c>
      <c r="P36" s="46">
        <f t="shared" si="20"/>
        <v>766.45414604737471</v>
      </c>
      <c r="Q36" s="46">
        <f t="shared" si="20"/>
        <v>785.96054331841458</v>
      </c>
      <c r="R36" s="46">
        <f t="shared" si="20"/>
        <v>742.57202499133916</v>
      </c>
      <c r="S36" s="46">
        <f t="shared" si="20"/>
        <v>771.29411027332549</v>
      </c>
      <c r="T36" s="46">
        <f t="shared" si="20"/>
        <v>761.82499826725586</v>
      </c>
      <c r="U36" s="46">
        <f t="shared" si="20"/>
        <v>752.30401998782008</v>
      </c>
      <c r="V36" s="46">
        <f t="shared" si="20"/>
        <v>843.46814420442354</v>
      </c>
      <c r="W36" s="46">
        <f t="shared" si="20"/>
        <v>834.38824913214739</v>
      </c>
      <c r="X36" s="46">
        <f t="shared" si="20"/>
        <v>825.25859604489642</v>
      </c>
      <c r="Y36" s="46">
        <f t="shared" si="20"/>
        <v>816.07891542008952</v>
      </c>
      <c r="Z36" s="46">
        <f t="shared" si="20"/>
        <v>806.84893627523149</v>
      </c>
      <c r="AA36" s="46">
        <f t="shared" si="20"/>
        <v>797.56838616000562</v>
      </c>
      <c r="AB36" s="46">
        <f t="shared" si="20"/>
        <v>799.31969791523943</v>
      </c>
      <c r="AC36" s="46">
        <f t="shared" si="20"/>
        <v>835.62213059223029</v>
      </c>
      <c r="AD36" s="46">
        <f t="shared" si="20"/>
        <v>779.12062619622134</v>
      </c>
      <c r="AE36" s="46">
        <f t="shared" si="20"/>
        <v>797.07214673473413</v>
      </c>
      <c r="AF36" s="46">
        <f t="shared" si="20"/>
        <v>786.36067942616376</v>
      </c>
      <c r="AG36" s="46">
        <f t="shared" si="20"/>
        <v>775.59061641967207</v>
      </c>
      <c r="AH36" s="46">
        <f t="shared" si="20"/>
        <v>771.14110812282649</v>
      </c>
      <c r="AI36" s="46">
        <f t="shared" si="20"/>
        <v>760.28745527177512</v>
      </c>
      <c r="AJ36" s="46">
        <f t="shared" si="20"/>
        <v>749.3744365511136</v>
      </c>
      <c r="AK36" s="46">
        <f t="shared" ref="AK36:BK36" si="21">AK18+AK32+AK24-0</f>
        <v>738.37173039571542</v>
      </c>
      <c r="AL36" s="46">
        <f t="shared" si="21"/>
        <v>727.23885099864208</v>
      </c>
      <c r="AM36" s="46">
        <f t="shared" si="21"/>
        <v>716.04509325483468</v>
      </c>
      <c r="AN36" s="46">
        <f t="shared" si="21"/>
        <v>715.87283417349886</v>
      </c>
      <c r="AO36" s="46">
        <f t="shared" si="21"/>
        <v>763.45142917188855</v>
      </c>
      <c r="AP36" s="46">
        <f t="shared" si="21"/>
        <v>702.28716630985275</v>
      </c>
      <c r="AQ36" s="46">
        <f t="shared" si="21"/>
        <v>719.55067177398109</v>
      </c>
      <c r="AR36" s="46">
        <f t="shared" si="21"/>
        <v>708.14746264270661</v>
      </c>
      <c r="AS36" s="46">
        <f t="shared" si="21"/>
        <v>696.68191087863784</v>
      </c>
      <c r="AT36" s="46">
        <f t="shared" si="21"/>
        <v>716.74995611334532</v>
      </c>
      <c r="AU36" s="46">
        <f t="shared" si="21"/>
        <v>705.32985068890923</v>
      </c>
      <c r="AV36" s="46">
        <f t="shared" si="21"/>
        <v>693.84731111009069</v>
      </c>
      <c r="AW36" s="46">
        <f t="shared" si="21"/>
        <v>682.30199919188692</v>
      </c>
      <c r="AX36" s="46">
        <f t="shared" si="21"/>
        <v>670.69357491745939</v>
      </c>
      <c r="AY36" s="46">
        <f t="shared" si="21"/>
        <v>659.02169642821229</v>
      </c>
      <c r="AZ36" s="46">
        <f t="shared" si="21"/>
        <v>658.36872678073223</v>
      </c>
      <c r="BA36" s="46">
        <f t="shared" si="21"/>
        <v>711.84809253907781</v>
      </c>
      <c r="BB36" s="46">
        <f t="shared" si="21"/>
        <v>650.61656294528098</v>
      </c>
      <c r="BC36" s="46">
        <f t="shared" si="21"/>
        <v>658.22588731618453</v>
      </c>
      <c r="BD36" s="46">
        <f t="shared" si="21"/>
        <v>646.70275361076369</v>
      </c>
      <c r="BE36" s="46">
        <f t="shared" si="21"/>
        <v>635.11662768110523</v>
      </c>
      <c r="BF36" s="46">
        <f t="shared" si="21"/>
        <v>656.08912416785518</v>
      </c>
      <c r="BG36" s="46">
        <f t="shared" si="21"/>
        <v>644.55269057871431</v>
      </c>
      <c r="BH36" s="46">
        <f t="shared" si="21"/>
        <v>633.02698496048322</v>
      </c>
      <c r="BI36" s="46">
        <f t="shared" si="21"/>
        <v>621.80224035859374</v>
      </c>
      <c r="BJ36" s="46">
        <f t="shared" si="21"/>
        <v>610.53136538897616</v>
      </c>
      <c r="BK36" s="46">
        <f t="shared" si="21"/>
        <v>599.21417224609661</v>
      </c>
      <c r="BL36" s="46">
        <f>BL18+BL32+BL24-(BL25-BL26)</f>
        <v>598.93317912674456</v>
      </c>
      <c r="BM36" s="32"/>
      <c r="BN36" s="32"/>
    </row>
    <row r="37" spans="1:66" ht="20" customHeight="1">
      <c r="A37" s="30"/>
      <c r="B37" s="30"/>
      <c r="C37" s="31" t="s">
        <v>308</v>
      </c>
      <c r="D37" s="31"/>
      <c r="E37" s="35">
        <f>216.407*(12-1)/12+SUM('Revenue costs'!E22:E22)</f>
        <v>216.28975000000003</v>
      </c>
      <c r="F37" s="35">
        <f>216.407*(12-2)/12+SUM('Revenue costs'!E22:F22)</f>
        <v>216.17250000000001</v>
      </c>
      <c r="G37" s="35">
        <f>216.407*(12-3)/12+SUM('Revenue costs'!E22:G22)</f>
        <v>216.05525</v>
      </c>
      <c r="H37" s="35">
        <f>216.407*(12-4)/12+SUM('Revenue costs'!E22:H22)</f>
        <v>215.93799999999999</v>
      </c>
      <c r="I37" s="35">
        <f>216.407*(12-5)/12+SUM('Revenue costs'!E22:I22)</f>
        <v>215.82074999999998</v>
      </c>
      <c r="J37" s="35">
        <f>216.407*(12-6)/12+SUM('Revenue costs'!E22:J22)</f>
        <v>215.70349999999996</v>
      </c>
      <c r="K37" s="35">
        <f>216.407*(12-7)/12+SUM('Revenue costs'!E22:K22)</f>
        <v>215.58624999999995</v>
      </c>
      <c r="L37" s="35">
        <f>216.407*(12-8)/12+SUM('Revenue costs'!E22:L22)</f>
        <v>215.46899999999994</v>
      </c>
      <c r="M37" s="35">
        <f>216.407*(12-9)/12+SUM('Revenue costs'!E22:M22)</f>
        <v>215.35174999999995</v>
      </c>
      <c r="N37" s="35">
        <f>216.407*(12-10)/12+SUM('Revenue costs'!E22:N22)</f>
        <v>215.23449999999994</v>
      </c>
      <c r="O37" s="35">
        <f>216.407*(12-11)/12+SUM('Revenue costs'!E22:O22)</f>
        <v>215.11724999999993</v>
      </c>
      <c r="P37" s="35">
        <f>SUM('Revenue costs'!E22:P22)</f>
        <v>214.99999999999991</v>
      </c>
      <c r="Q37" s="35">
        <f>SUM('Revenue costs'!F22:Q22)</f>
        <v>211.83333333333326</v>
      </c>
      <c r="R37" s="35">
        <f>SUM('Revenue costs'!G22:R22)</f>
        <v>208.6666666666666</v>
      </c>
      <c r="S37" s="35">
        <f>SUM('Revenue costs'!H22:S22)</f>
        <v>205.49999999999994</v>
      </c>
      <c r="T37" s="35">
        <f>SUM('Revenue costs'!I22:T22)</f>
        <v>202.33333333333329</v>
      </c>
      <c r="U37" s="35">
        <f>SUM('Revenue costs'!J22:U22)</f>
        <v>199.16666666666663</v>
      </c>
      <c r="V37" s="35">
        <f>SUM('Revenue costs'!K22:V22)</f>
        <v>195.99999999999997</v>
      </c>
      <c r="W37" s="35">
        <f>SUM('Revenue costs'!L22:W22)</f>
        <v>192.83333333333331</v>
      </c>
      <c r="X37" s="35">
        <f>SUM('Revenue costs'!M22:X22)</f>
        <v>189.66666666666666</v>
      </c>
      <c r="Y37" s="35">
        <f>SUM('Revenue costs'!N22:Y22)</f>
        <v>186.5</v>
      </c>
      <c r="Z37" s="35">
        <f>SUM('Revenue costs'!O22:Z22)</f>
        <v>183.33333333333334</v>
      </c>
      <c r="AA37" s="35">
        <f>SUM('Revenue costs'!P22:AA22)</f>
        <v>180.16666666666669</v>
      </c>
      <c r="AB37" s="35">
        <f>SUM('Revenue costs'!Q22:AB22)</f>
        <v>177.00000000000003</v>
      </c>
      <c r="AC37" s="35">
        <f>SUM('Revenue costs'!R22:AC22)</f>
        <v>177.54175000000004</v>
      </c>
      <c r="AD37" s="35">
        <f>SUM('Revenue costs'!S22:AD22)</f>
        <v>178.08350000000004</v>
      </c>
      <c r="AE37" s="35">
        <f>SUM('Revenue costs'!T22:AE22)</f>
        <v>178.62525000000005</v>
      </c>
      <c r="AF37" s="35">
        <f>SUM('Revenue costs'!U22:AF22)</f>
        <v>179.16700000000006</v>
      </c>
      <c r="AG37" s="35">
        <f>SUM('Revenue costs'!V22:AG22)</f>
        <v>179.70875000000007</v>
      </c>
      <c r="AH37" s="35">
        <f>SUM('Revenue costs'!W22:AH22)</f>
        <v>180.25050000000007</v>
      </c>
      <c r="AI37" s="35">
        <f>SUM('Revenue costs'!X22:AI22)</f>
        <v>180.79225000000008</v>
      </c>
      <c r="AJ37" s="35">
        <f>SUM('Revenue costs'!Y22:AJ22)</f>
        <v>181.33400000000006</v>
      </c>
      <c r="AK37" s="35">
        <f>SUM('Revenue costs'!Z22:AK22)</f>
        <v>181.87575000000007</v>
      </c>
      <c r="AL37" s="35">
        <f>SUM('Revenue costs'!AA22:AL22)</f>
        <v>182.41750000000005</v>
      </c>
      <c r="AM37" s="35">
        <f>SUM('Revenue costs'!AB22:AM22)</f>
        <v>182.95925000000005</v>
      </c>
      <c r="AN37" s="35">
        <f>SUM('Revenue costs'!AC22:AN22)</f>
        <v>183.50100000000006</v>
      </c>
      <c r="AO37" s="35">
        <f>SUM('Revenue costs'!AD22:AO22)</f>
        <v>183.66593083333339</v>
      </c>
      <c r="AP37" s="35">
        <f>SUM('Revenue costs'!AE22:AP22)</f>
        <v>183.83086166666672</v>
      </c>
      <c r="AQ37" s="35">
        <f>SUM('Revenue costs'!AF22:AQ22)</f>
        <v>183.99579250000005</v>
      </c>
      <c r="AR37" s="35">
        <f>SUM('Revenue costs'!AG22:AR22)</f>
        <v>184.16072333333338</v>
      </c>
      <c r="AS37" s="35">
        <f>SUM('Revenue costs'!AH22:AS22)</f>
        <v>184.32565416666671</v>
      </c>
      <c r="AT37" s="35">
        <f>SUM('Revenue costs'!AI22:AT22)</f>
        <v>184.49058500000004</v>
      </c>
      <c r="AU37" s="35">
        <f>SUM('Revenue costs'!AJ22:AU22)</f>
        <v>184.65551583333337</v>
      </c>
      <c r="AV37" s="35">
        <f>SUM('Revenue costs'!AK22:AV22)</f>
        <v>184.8204466666667</v>
      </c>
      <c r="AW37" s="35">
        <f>SUM('Revenue costs'!AL22:AW22)</f>
        <v>184.98537750000003</v>
      </c>
      <c r="AX37" s="35">
        <f>SUM('Revenue costs'!AM22:AX22)</f>
        <v>185.15030833333336</v>
      </c>
      <c r="AY37" s="35">
        <f>SUM('Revenue costs'!AN22:AY22)</f>
        <v>185.31523916666669</v>
      </c>
      <c r="AZ37" s="35">
        <f>SUM('Revenue costs'!AO22:AZ22)</f>
        <v>185.48017000000002</v>
      </c>
      <c r="BA37" s="35">
        <f>SUM('Revenue costs'!AP22:BA22)</f>
        <v>185.26101565833335</v>
      </c>
      <c r="BB37" s="35">
        <f>SUM('Revenue costs'!AQ22:BB22)</f>
        <v>185.04186131666665</v>
      </c>
      <c r="BC37" s="35">
        <f>SUM('Revenue costs'!AR22:BC22)</f>
        <v>184.82270697499996</v>
      </c>
      <c r="BD37" s="35">
        <f>SUM('Revenue costs'!AS22:BD22)</f>
        <v>184.60355263333327</v>
      </c>
      <c r="BE37" s="35">
        <f>SUM('Revenue costs'!AT22:BE22)</f>
        <v>184.38439829166657</v>
      </c>
      <c r="BF37" s="35">
        <f>SUM('Revenue costs'!AU22:BF22)</f>
        <v>184.16524394999993</v>
      </c>
      <c r="BG37" s="35">
        <f>SUM('Revenue costs'!AV22:BG22)</f>
        <v>183.94608960833324</v>
      </c>
      <c r="BH37" s="35">
        <f>SUM('Revenue costs'!AW22:BH22)</f>
        <v>183.72693526666654</v>
      </c>
      <c r="BI37" s="35">
        <f>SUM('Revenue costs'!AX22:BI22)</f>
        <v>183.50778092499985</v>
      </c>
      <c r="BJ37" s="35">
        <f>SUM('Revenue costs'!AY22:BJ22)</f>
        <v>183.28862658333321</v>
      </c>
      <c r="BK37" s="35">
        <f>SUM('Revenue costs'!AZ22:BK22)</f>
        <v>183.06947224166652</v>
      </c>
      <c r="BL37" s="35">
        <f>SUM('Revenue costs'!BA22:BL22)</f>
        <v>182.85031789999982</v>
      </c>
      <c r="BM37" s="32"/>
      <c r="BN37" s="32"/>
    </row>
    <row r="38" spans="1:66" ht="20" customHeight="1">
      <c r="A38" s="30"/>
      <c r="B38" s="30"/>
      <c r="C38" s="31" t="s">
        <v>309</v>
      </c>
      <c r="D38" s="31"/>
      <c r="E38" s="46">
        <f t="shared" ref="E38:AJ38" si="22">E37-125</f>
        <v>91.289750000000026</v>
      </c>
      <c r="F38" s="46">
        <f t="shared" si="22"/>
        <v>91.172500000000014</v>
      </c>
      <c r="G38" s="46">
        <f t="shared" si="22"/>
        <v>91.055250000000001</v>
      </c>
      <c r="H38" s="46">
        <f t="shared" si="22"/>
        <v>90.937999999999988</v>
      </c>
      <c r="I38" s="46">
        <f t="shared" si="22"/>
        <v>90.820749999999975</v>
      </c>
      <c r="J38" s="46">
        <f t="shared" si="22"/>
        <v>90.703499999999963</v>
      </c>
      <c r="K38" s="46">
        <f t="shared" si="22"/>
        <v>90.58624999999995</v>
      </c>
      <c r="L38" s="46">
        <f t="shared" si="22"/>
        <v>90.468999999999937</v>
      </c>
      <c r="M38" s="46">
        <f t="shared" si="22"/>
        <v>90.351749999999953</v>
      </c>
      <c r="N38" s="46">
        <f t="shared" si="22"/>
        <v>90.23449999999994</v>
      </c>
      <c r="O38" s="46">
        <f t="shared" si="22"/>
        <v>90.117249999999927</v>
      </c>
      <c r="P38" s="46">
        <f t="shared" si="22"/>
        <v>89.999999999999915</v>
      </c>
      <c r="Q38" s="46">
        <f t="shared" si="22"/>
        <v>86.833333333333258</v>
      </c>
      <c r="R38" s="46">
        <f t="shared" si="22"/>
        <v>83.6666666666666</v>
      </c>
      <c r="S38" s="46">
        <f t="shared" si="22"/>
        <v>80.499999999999943</v>
      </c>
      <c r="T38" s="46">
        <f t="shared" si="22"/>
        <v>77.333333333333286</v>
      </c>
      <c r="U38" s="46">
        <f t="shared" si="22"/>
        <v>74.166666666666629</v>
      </c>
      <c r="V38" s="46">
        <f t="shared" si="22"/>
        <v>70.999999999999972</v>
      </c>
      <c r="W38" s="46">
        <f t="shared" si="22"/>
        <v>67.833333333333314</v>
      </c>
      <c r="X38" s="46">
        <f t="shared" si="22"/>
        <v>64.666666666666657</v>
      </c>
      <c r="Y38" s="46">
        <f t="shared" si="22"/>
        <v>61.5</v>
      </c>
      <c r="Z38" s="46">
        <f t="shared" si="22"/>
        <v>58.333333333333343</v>
      </c>
      <c r="AA38" s="46">
        <f t="shared" si="22"/>
        <v>55.166666666666686</v>
      </c>
      <c r="AB38" s="46">
        <f t="shared" si="22"/>
        <v>52.000000000000028</v>
      </c>
      <c r="AC38" s="46">
        <f t="shared" si="22"/>
        <v>52.541750000000036</v>
      </c>
      <c r="AD38" s="46">
        <f t="shared" si="22"/>
        <v>53.083500000000043</v>
      </c>
      <c r="AE38" s="46">
        <f t="shared" si="22"/>
        <v>53.625250000000051</v>
      </c>
      <c r="AF38" s="46">
        <f t="shared" si="22"/>
        <v>54.167000000000058</v>
      </c>
      <c r="AG38" s="46">
        <f t="shared" si="22"/>
        <v>54.708750000000066</v>
      </c>
      <c r="AH38" s="46">
        <f t="shared" si="22"/>
        <v>55.250500000000073</v>
      </c>
      <c r="AI38" s="46">
        <f t="shared" si="22"/>
        <v>55.792250000000081</v>
      </c>
      <c r="AJ38" s="46">
        <f t="shared" si="22"/>
        <v>56.33400000000006</v>
      </c>
      <c r="AK38" s="46">
        <f t="shared" ref="AK38:BP38" si="23">AK37-125</f>
        <v>56.875750000000068</v>
      </c>
      <c r="AL38" s="46">
        <f t="shared" si="23"/>
        <v>57.417500000000047</v>
      </c>
      <c r="AM38" s="46">
        <f t="shared" si="23"/>
        <v>57.959250000000054</v>
      </c>
      <c r="AN38" s="46">
        <f t="shared" si="23"/>
        <v>58.501000000000062</v>
      </c>
      <c r="AO38" s="46">
        <f t="shared" si="23"/>
        <v>58.665930833333391</v>
      </c>
      <c r="AP38" s="46">
        <f t="shared" si="23"/>
        <v>58.830861666666721</v>
      </c>
      <c r="AQ38" s="46">
        <f t="shared" si="23"/>
        <v>58.99579250000005</v>
      </c>
      <c r="AR38" s="46">
        <f t="shared" si="23"/>
        <v>59.16072333333338</v>
      </c>
      <c r="AS38" s="46">
        <f t="shared" si="23"/>
        <v>59.325654166666709</v>
      </c>
      <c r="AT38" s="46">
        <f t="shared" si="23"/>
        <v>59.490585000000038</v>
      </c>
      <c r="AU38" s="46">
        <f t="shared" si="23"/>
        <v>59.655515833333368</v>
      </c>
      <c r="AV38" s="46">
        <f t="shared" si="23"/>
        <v>59.820446666666697</v>
      </c>
      <c r="AW38" s="46">
        <f t="shared" si="23"/>
        <v>59.985377500000027</v>
      </c>
      <c r="AX38" s="46">
        <f t="shared" si="23"/>
        <v>60.150308333333356</v>
      </c>
      <c r="AY38" s="46">
        <f t="shared" si="23"/>
        <v>60.315239166666686</v>
      </c>
      <c r="AZ38" s="46">
        <f t="shared" si="23"/>
        <v>60.480170000000015</v>
      </c>
      <c r="BA38" s="46">
        <f t="shared" si="23"/>
        <v>60.261015658333349</v>
      </c>
      <c r="BB38" s="46">
        <f t="shared" si="23"/>
        <v>60.041861316666655</v>
      </c>
      <c r="BC38" s="46">
        <f t="shared" si="23"/>
        <v>59.82270697499996</v>
      </c>
      <c r="BD38" s="46">
        <f t="shared" si="23"/>
        <v>59.603552633333265</v>
      </c>
      <c r="BE38" s="46">
        <f t="shared" si="23"/>
        <v>59.384398291666571</v>
      </c>
      <c r="BF38" s="46">
        <f t="shared" si="23"/>
        <v>59.165243949999933</v>
      </c>
      <c r="BG38" s="46">
        <f t="shared" si="23"/>
        <v>58.946089608333239</v>
      </c>
      <c r="BH38" s="46">
        <f t="shared" si="23"/>
        <v>58.726935266666544</v>
      </c>
      <c r="BI38" s="46">
        <f t="shared" si="23"/>
        <v>58.50778092499985</v>
      </c>
      <c r="BJ38" s="46">
        <f t="shared" si="23"/>
        <v>58.288626583333212</v>
      </c>
      <c r="BK38" s="46">
        <f t="shared" si="23"/>
        <v>58.069472241666517</v>
      </c>
      <c r="BL38" s="46">
        <f t="shared" si="23"/>
        <v>57.850317899999823</v>
      </c>
      <c r="BM38" s="32"/>
      <c r="BN38" s="32"/>
    </row>
    <row r="39" spans="1:66" ht="20" customHeight="1">
      <c r="A39" s="30"/>
      <c r="B39" s="30"/>
      <c r="C39" s="31" t="s">
        <v>310</v>
      </c>
      <c r="D39" s="31"/>
      <c r="E39" s="46">
        <f t="shared" ref="E39:AJ39" si="24">E33+E35</f>
        <v>369.80621303258147</v>
      </c>
      <c r="F39" s="46">
        <f t="shared" si="24"/>
        <v>393.97222452960261</v>
      </c>
      <c r="G39" s="46">
        <f t="shared" si="24"/>
        <v>346.74129522627061</v>
      </c>
      <c r="H39" s="46">
        <f t="shared" si="24"/>
        <v>360.214008258852</v>
      </c>
      <c r="I39" s="46">
        <f t="shared" si="24"/>
        <v>374.41913050283563</v>
      </c>
      <c r="J39" s="46">
        <f t="shared" si="24"/>
        <v>179.49677141745772</v>
      </c>
      <c r="K39" s="46">
        <f t="shared" si="24"/>
        <v>187.72300862855042</v>
      </c>
      <c r="L39" s="46">
        <f t="shared" si="24"/>
        <v>200.99380462453652</v>
      </c>
      <c r="M39" s="46">
        <f t="shared" si="24"/>
        <v>214.33648409883421</v>
      </c>
      <c r="N39" s="46">
        <f t="shared" si="24"/>
        <v>227.75143642028434</v>
      </c>
      <c r="O39" s="46">
        <f t="shared" si="24"/>
        <v>241.23905306680899</v>
      </c>
      <c r="P39" s="46">
        <f t="shared" si="24"/>
        <v>236.15502086991836</v>
      </c>
      <c r="Q39" s="46">
        <f t="shared" si="24"/>
        <v>216.75482359887854</v>
      </c>
      <c r="R39" s="46">
        <f t="shared" si="24"/>
        <v>260.24954192595396</v>
      </c>
      <c r="S39" s="46">
        <f t="shared" si="24"/>
        <v>231.63365664396764</v>
      </c>
      <c r="T39" s="46">
        <f t="shared" si="24"/>
        <v>241.20896865003726</v>
      </c>
      <c r="U39" s="46">
        <f t="shared" si="24"/>
        <v>250.8361469294731</v>
      </c>
      <c r="V39" s="46">
        <f t="shared" si="24"/>
        <v>159.77822271286959</v>
      </c>
      <c r="W39" s="46">
        <f t="shared" si="24"/>
        <v>168.96431778514574</v>
      </c>
      <c r="X39" s="46">
        <f t="shared" si="24"/>
        <v>178.20017087239674</v>
      </c>
      <c r="Y39" s="46">
        <f t="shared" si="24"/>
        <v>187.48605149720368</v>
      </c>
      <c r="Z39" s="46">
        <f t="shared" si="24"/>
        <v>196.82223064206164</v>
      </c>
      <c r="AA39" s="46">
        <f t="shared" si="24"/>
        <v>206.20898075728761</v>
      </c>
      <c r="AB39" s="46">
        <f t="shared" si="24"/>
        <v>204.56386900205374</v>
      </c>
      <c r="AC39" s="46">
        <f t="shared" si="24"/>
        <v>168.36763632506296</v>
      </c>
      <c r="AD39" s="46">
        <f t="shared" si="24"/>
        <v>224.97534072107183</v>
      </c>
      <c r="AE39" s="46">
        <f t="shared" si="24"/>
        <v>207.13002018255909</v>
      </c>
      <c r="AF39" s="46">
        <f t="shared" si="24"/>
        <v>217.94768749112941</v>
      </c>
      <c r="AG39" s="46">
        <f t="shared" si="24"/>
        <v>228.82395049762115</v>
      </c>
      <c r="AH39" s="46">
        <f t="shared" si="24"/>
        <v>233.37965879446668</v>
      </c>
      <c r="AI39" s="46">
        <f t="shared" si="24"/>
        <v>244.33951164551814</v>
      </c>
      <c r="AJ39" s="46">
        <f t="shared" si="24"/>
        <v>255.35873036617949</v>
      </c>
      <c r="AK39" s="46">
        <f t="shared" ref="AK39:BL39" si="25">AK33+AK35</f>
        <v>266.46763652157773</v>
      </c>
      <c r="AL39" s="46">
        <f t="shared" si="25"/>
        <v>277.70671591865107</v>
      </c>
      <c r="AM39" s="46">
        <f t="shared" si="25"/>
        <v>289.00667366245852</v>
      </c>
      <c r="AN39" s="46">
        <f t="shared" si="25"/>
        <v>289.28513274379435</v>
      </c>
      <c r="AO39" s="46">
        <f t="shared" si="25"/>
        <v>241.81273774540469</v>
      </c>
      <c r="AP39" s="46">
        <f t="shared" si="25"/>
        <v>303.0832006074404</v>
      </c>
      <c r="AQ39" s="46">
        <f t="shared" si="25"/>
        <v>285.92589514331218</v>
      </c>
      <c r="AR39" s="46">
        <f t="shared" si="25"/>
        <v>297.43530427458654</v>
      </c>
      <c r="AS39" s="46">
        <f t="shared" si="25"/>
        <v>309.00705603865538</v>
      </c>
      <c r="AT39" s="46">
        <f t="shared" si="25"/>
        <v>289.04521080394784</v>
      </c>
      <c r="AU39" s="46">
        <f t="shared" si="25"/>
        <v>300.57151622838398</v>
      </c>
      <c r="AV39" s="46">
        <f t="shared" si="25"/>
        <v>312.16025580720253</v>
      </c>
      <c r="AW39" s="46">
        <f t="shared" si="25"/>
        <v>323.8117677254063</v>
      </c>
      <c r="AX39" s="46">
        <f t="shared" si="25"/>
        <v>335.52639199983372</v>
      </c>
      <c r="AY39" s="46">
        <f t="shared" si="25"/>
        <v>347.30447048908093</v>
      </c>
      <c r="AZ39" s="46">
        <f t="shared" si="25"/>
        <v>348.06364013656093</v>
      </c>
      <c r="BA39" s="46">
        <f t="shared" si="25"/>
        <v>294.69047437821541</v>
      </c>
      <c r="BB39" s="46">
        <f t="shared" si="25"/>
        <v>356.02820397201219</v>
      </c>
      <c r="BC39" s="46">
        <f t="shared" si="25"/>
        <v>348.5250796011087</v>
      </c>
      <c r="BD39" s="46">
        <f t="shared" si="25"/>
        <v>360.15441330652948</v>
      </c>
      <c r="BE39" s="46">
        <f t="shared" si="25"/>
        <v>371.84673923618794</v>
      </c>
      <c r="BF39" s="46">
        <f t="shared" si="25"/>
        <v>350.980442749438</v>
      </c>
      <c r="BG39" s="46">
        <f t="shared" si="25"/>
        <v>362.62307633857887</v>
      </c>
      <c r="BH39" s="46">
        <f t="shared" si="25"/>
        <v>374.25498195681001</v>
      </c>
      <c r="BI39" s="46">
        <f t="shared" si="25"/>
        <v>385.5859265586995</v>
      </c>
      <c r="BJ39" s="46">
        <f t="shared" si="25"/>
        <v>396.96300152831697</v>
      </c>
      <c r="BK39" s="46">
        <f t="shared" si="25"/>
        <v>408.38639467119657</v>
      </c>
      <c r="BL39" s="46">
        <f t="shared" si="25"/>
        <v>408.77358779054856</v>
      </c>
      <c r="BM39" s="32"/>
      <c r="BN39" s="32"/>
    </row>
    <row r="40" spans="1:66" ht="20" customHeight="1">
      <c r="A40" s="30"/>
      <c r="B40" s="30"/>
      <c r="C40" s="31" t="s">
        <v>311</v>
      </c>
      <c r="D40" s="31"/>
      <c r="E40" s="46">
        <f t="shared" ref="E40:AJ40" si="26">E52-E10</f>
        <v>-0.68336027824207368</v>
      </c>
      <c r="F40" s="46">
        <f t="shared" si="26"/>
        <v>13.607631551589538</v>
      </c>
      <c r="G40" s="46">
        <f t="shared" si="26"/>
        <v>11.36122700774048</v>
      </c>
      <c r="H40" s="46">
        <f t="shared" si="26"/>
        <v>-5.5022712390395005</v>
      </c>
      <c r="I40" s="46">
        <f t="shared" si="26"/>
        <v>-4.7765017458910792</v>
      </c>
      <c r="J40" s="46">
        <f t="shared" si="26"/>
        <v>-4.7062241030239189</v>
      </c>
      <c r="K40" s="46">
        <f t="shared" si="26"/>
        <v>-5.0449084046024018</v>
      </c>
      <c r="L40" s="46">
        <f t="shared" si="26"/>
        <v>-5.0037823018394132</v>
      </c>
      <c r="M40" s="46">
        <f t="shared" si="26"/>
        <v>-4.9353454908301613</v>
      </c>
      <c r="N40" s="46">
        <f t="shared" si="26"/>
        <v>-4.8665333531292871</v>
      </c>
      <c r="O40" s="46">
        <f t="shared" si="26"/>
        <v>-4.7973438368650214</v>
      </c>
      <c r="P40" s="46">
        <f t="shared" si="26"/>
        <v>-4.7277748789744871</v>
      </c>
      <c r="Q40" s="46">
        <f t="shared" si="26"/>
        <v>-6.4265868628502902</v>
      </c>
      <c r="R40" s="46">
        <f t="shared" si="26"/>
        <v>27.178715017707091</v>
      </c>
      <c r="S40" s="46">
        <f t="shared" si="26"/>
        <v>-5.9462212074369898</v>
      </c>
      <c r="T40" s="46">
        <f t="shared" si="26"/>
        <v>-5.9488581233067759</v>
      </c>
      <c r="U40" s="46">
        <f t="shared" si="26"/>
        <v>-5.9002324621851931</v>
      </c>
      <c r="V40" s="46">
        <f t="shared" si="26"/>
        <v>-5.8513390614049658</v>
      </c>
      <c r="W40" s="46">
        <f t="shared" si="26"/>
        <v>-5.9825728498660773</v>
      </c>
      <c r="X40" s="46">
        <f t="shared" si="26"/>
        <v>-5.9346070871382448</v>
      </c>
      <c r="Y40" s="46">
        <f t="shared" si="26"/>
        <v>-5.8863791036868056</v>
      </c>
      <c r="Z40" s="46">
        <f t="shared" si="26"/>
        <v>-5.8378874693464482</v>
      </c>
      <c r="AA40" s="46">
        <f t="shared" si="26"/>
        <v>-5.7891307461651955</v>
      </c>
      <c r="AB40" s="46">
        <f t="shared" si="26"/>
        <v>-5.7401074883620629</v>
      </c>
      <c r="AC40" s="46">
        <f t="shared" si="26"/>
        <v>-3.4787187572976408</v>
      </c>
      <c r="AD40" s="46">
        <f t="shared" si="26"/>
        <v>30.110619766674898</v>
      </c>
      <c r="AE40" s="46">
        <f t="shared" si="26"/>
        <v>-2.9384771565732413</v>
      </c>
      <c r="AF40" s="46">
        <f t="shared" si="26"/>
        <v>-2.9200348315844811</v>
      </c>
      <c r="AG40" s="46">
        <f t="shared" si="26"/>
        <v>-2.863036079940716</v>
      </c>
      <c r="AH40" s="46">
        <f t="shared" si="26"/>
        <v>-2.8057264410900218</v>
      </c>
      <c r="AI40" s="46">
        <f t="shared" si="26"/>
        <v>-2.8018212506451148</v>
      </c>
      <c r="AJ40" s="46">
        <f t="shared" si="26"/>
        <v>-2.74414999205157</v>
      </c>
      <c r="AK40" s="46">
        <f t="shared" ref="AK40:BL40" si="27">AK52-AK10</f>
        <v>-2.6861640723860161</v>
      </c>
      <c r="AL40" s="46">
        <f t="shared" si="27"/>
        <v>-2.6276992779653243</v>
      </c>
      <c r="AM40" s="46">
        <f t="shared" si="27"/>
        <v>-2.5685363389111511</v>
      </c>
      <c r="AN40" s="46">
        <f t="shared" si="27"/>
        <v>-2.5090506309287304</v>
      </c>
      <c r="AO40" s="46">
        <f t="shared" si="27"/>
        <v>-0.72453992877171924</v>
      </c>
      <c r="AP40" s="46">
        <f t="shared" si="27"/>
        <v>32.852708920518708</v>
      </c>
      <c r="AQ40" s="46">
        <f t="shared" si="27"/>
        <v>-0.14044562127033899</v>
      </c>
      <c r="AR40" s="46">
        <f t="shared" si="27"/>
        <v>-0.1180420791922729</v>
      </c>
      <c r="AS40" s="46">
        <f t="shared" si="27"/>
        <v>-5.7060968651013386E-2</v>
      </c>
      <c r="AT40" s="46">
        <f t="shared" si="27"/>
        <v>4.2522841410213424E-3</v>
      </c>
      <c r="AU40" s="46">
        <f t="shared" si="27"/>
        <v>-2.1672190738463229E-2</v>
      </c>
      <c r="AV40" s="46">
        <f t="shared" si="27"/>
        <v>3.9724226655509107E-2</v>
      </c>
      <c r="AW40" s="46">
        <f t="shared" si="27"/>
        <v>0.10145460118343795</v>
      </c>
      <c r="AX40" s="46">
        <f t="shared" si="27"/>
        <v>0.16352074745589673</v>
      </c>
      <c r="AY40" s="46">
        <f t="shared" si="27"/>
        <v>0.22592448993572428</v>
      </c>
      <c r="AZ40" s="46">
        <f t="shared" si="27"/>
        <v>0.28866766299147756</v>
      </c>
      <c r="BA40" s="46">
        <f t="shared" si="27"/>
        <v>1.1065434628958257</v>
      </c>
      <c r="BB40" s="46">
        <f t="shared" si="27"/>
        <v>34.676947642187407</v>
      </c>
      <c r="BC40" s="46">
        <f t="shared" si="27"/>
        <v>1.7405030946088977</v>
      </c>
      <c r="BD40" s="46">
        <f t="shared" si="27"/>
        <v>1.7769219142079418</v>
      </c>
      <c r="BE40" s="46">
        <f t="shared" si="27"/>
        <v>1.8391752540111008</v>
      </c>
      <c r="BF40" s="46">
        <f t="shared" si="27"/>
        <v>1.9017667913888983</v>
      </c>
      <c r="BG40" s="46">
        <f t="shared" si="27"/>
        <v>1.8757496684054575</v>
      </c>
      <c r="BH40" s="46">
        <f t="shared" si="27"/>
        <v>1.864631264192415</v>
      </c>
      <c r="BI40" s="46">
        <f t="shared" si="27"/>
        <v>1.563278223873948</v>
      </c>
      <c r="BJ40" s="46">
        <f t="shared" si="27"/>
        <v>1.6090149704708185</v>
      </c>
      <c r="BK40" s="46">
        <f t="shared" si="27"/>
        <v>1.654937918940675</v>
      </c>
      <c r="BL40" s="46">
        <f t="shared" si="27"/>
        <v>1.7010478273433642</v>
      </c>
      <c r="BM40" s="32"/>
      <c r="BN40" s="32"/>
    </row>
    <row r="41" spans="1:66" ht="20" customHeight="1">
      <c r="A41" s="30"/>
      <c r="B41" s="30"/>
      <c r="C41" s="31" t="s">
        <v>312</v>
      </c>
      <c r="D41" s="31"/>
      <c r="E41" s="35">
        <f>Historical!G81-E14</f>
        <v>3.17</v>
      </c>
      <c r="F41" s="46">
        <f t="shared" ref="F41:AK41" si="28">E41-F14</f>
        <v>3.07</v>
      </c>
      <c r="G41" s="46">
        <f t="shared" si="28"/>
        <v>2.9699999999999998</v>
      </c>
      <c r="H41" s="46">
        <f t="shared" si="28"/>
        <v>2.8699999999999997</v>
      </c>
      <c r="I41" s="46">
        <f t="shared" si="28"/>
        <v>2.7699999999999996</v>
      </c>
      <c r="J41" s="46">
        <f t="shared" si="28"/>
        <v>2.6699999999999995</v>
      </c>
      <c r="K41" s="46">
        <f t="shared" si="28"/>
        <v>2.5699999999999994</v>
      </c>
      <c r="L41" s="46">
        <f t="shared" si="28"/>
        <v>2.4699999999999993</v>
      </c>
      <c r="M41" s="46">
        <f t="shared" si="28"/>
        <v>2.3699999999999992</v>
      </c>
      <c r="N41" s="46">
        <f t="shared" si="28"/>
        <v>2.2699999999999991</v>
      </c>
      <c r="O41" s="46">
        <f t="shared" si="28"/>
        <v>2.169999999999999</v>
      </c>
      <c r="P41" s="46">
        <f t="shared" si="28"/>
        <v>2.069999999999999</v>
      </c>
      <c r="Q41" s="46">
        <f t="shared" si="28"/>
        <v>1.9699999999999989</v>
      </c>
      <c r="R41" s="46">
        <f t="shared" si="28"/>
        <v>1.8699999999999988</v>
      </c>
      <c r="S41" s="46">
        <f t="shared" si="28"/>
        <v>1.7699999999999987</v>
      </c>
      <c r="T41" s="46">
        <f t="shared" si="28"/>
        <v>1.6699999999999986</v>
      </c>
      <c r="U41" s="46">
        <f t="shared" si="28"/>
        <v>1.5699999999999985</v>
      </c>
      <c r="V41" s="46">
        <f t="shared" si="28"/>
        <v>1.4699999999999984</v>
      </c>
      <c r="W41" s="46">
        <f t="shared" si="28"/>
        <v>1.3699999999999983</v>
      </c>
      <c r="X41" s="46">
        <f t="shared" si="28"/>
        <v>1.2699999999999982</v>
      </c>
      <c r="Y41" s="46">
        <f t="shared" si="28"/>
        <v>1.1699999999999982</v>
      </c>
      <c r="Z41" s="46">
        <f t="shared" si="28"/>
        <v>1.0699999999999981</v>
      </c>
      <c r="AA41" s="46">
        <f t="shared" si="28"/>
        <v>0.96999999999999809</v>
      </c>
      <c r="AB41" s="46">
        <f t="shared" si="28"/>
        <v>0.86999999999999811</v>
      </c>
      <c r="AC41" s="46">
        <f t="shared" si="28"/>
        <v>0.76999999999999813</v>
      </c>
      <c r="AD41" s="46">
        <f t="shared" si="28"/>
        <v>0.66999999999999815</v>
      </c>
      <c r="AE41" s="46">
        <f t="shared" si="28"/>
        <v>0.56999999999999817</v>
      </c>
      <c r="AF41" s="46">
        <f t="shared" si="28"/>
        <v>0.4699999999999982</v>
      </c>
      <c r="AG41" s="46">
        <f t="shared" si="28"/>
        <v>0.36999999999999822</v>
      </c>
      <c r="AH41" s="46">
        <f t="shared" si="28"/>
        <v>0.26999999999999824</v>
      </c>
      <c r="AI41" s="46">
        <f t="shared" si="28"/>
        <v>0.16999999999999826</v>
      </c>
      <c r="AJ41" s="46">
        <f t="shared" si="28"/>
        <v>6.9999999999998272E-2</v>
      </c>
      <c r="AK41" s="46">
        <f t="shared" si="28"/>
        <v>0</v>
      </c>
      <c r="AL41" s="46">
        <f t="shared" ref="AL41:BL41" si="29">AK41-AL14</f>
        <v>0</v>
      </c>
      <c r="AM41" s="46">
        <f t="shared" si="29"/>
        <v>0</v>
      </c>
      <c r="AN41" s="46">
        <f t="shared" si="29"/>
        <v>0</v>
      </c>
      <c r="AO41" s="46">
        <f t="shared" si="29"/>
        <v>0</v>
      </c>
      <c r="AP41" s="46">
        <f t="shared" si="29"/>
        <v>0</v>
      </c>
      <c r="AQ41" s="46">
        <f t="shared" si="29"/>
        <v>0</v>
      </c>
      <c r="AR41" s="46">
        <f t="shared" si="29"/>
        <v>0</v>
      </c>
      <c r="AS41" s="46">
        <f t="shared" si="29"/>
        <v>0</v>
      </c>
      <c r="AT41" s="46">
        <f t="shared" si="29"/>
        <v>0</v>
      </c>
      <c r="AU41" s="46">
        <f t="shared" si="29"/>
        <v>0</v>
      </c>
      <c r="AV41" s="46">
        <f t="shared" si="29"/>
        <v>0</v>
      </c>
      <c r="AW41" s="46">
        <f t="shared" si="29"/>
        <v>0</v>
      </c>
      <c r="AX41" s="46">
        <f t="shared" si="29"/>
        <v>0</v>
      </c>
      <c r="AY41" s="46">
        <f t="shared" si="29"/>
        <v>0</v>
      </c>
      <c r="AZ41" s="46">
        <f t="shared" si="29"/>
        <v>0</v>
      </c>
      <c r="BA41" s="46">
        <f t="shared" si="29"/>
        <v>0</v>
      </c>
      <c r="BB41" s="46">
        <f t="shared" si="29"/>
        <v>0</v>
      </c>
      <c r="BC41" s="46">
        <f t="shared" si="29"/>
        <v>0</v>
      </c>
      <c r="BD41" s="46">
        <f t="shared" si="29"/>
        <v>0</v>
      </c>
      <c r="BE41" s="46">
        <f t="shared" si="29"/>
        <v>0</v>
      </c>
      <c r="BF41" s="46">
        <f t="shared" si="29"/>
        <v>0</v>
      </c>
      <c r="BG41" s="46">
        <f t="shared" si="29"/>
        <v>0</v>
      </c>
      <c r="BH41" s="46">
        <f t="shared" si="29"/>
        <v>0</v>
      </c>
      <c r="BI41" s="46">
        <f t="shared" si="29"/>
        <v>0</v>
      </c>
      <c r="BJ41" s="46">
        <f t="shared" si="29"/>
        <v>0</v>
      </c>
      <c r="BK41" s="46">
        <f t="shared" si="29"/>
        <v>0</v>
      </c>
      <c r="BL41" s="46">
        <f t="shared" si="29"/>
        <v>0</v>
      </c>
      <c r="BM41" s="32"/>
      <c r="BN41" s="32"/>
    </row>
    <row r="42" spans="1:66" ht="20" customHeight="1">
      <c r="A42" s="30"/>
      <c r="B42" s="30"/>
      <c r="C42" s="31" t="s">
        <v>313</v>
      </c>
      <c r="D42" s="31"/>
      <c r="E42" s="35">
        <f>Historical!G83+E40</f>
        <v>149.67963972175792</v>
      </c>
      <c r="F42" s="46">
        <f t="shared" ref="F42:AK42" si="30">E42+F40</f>
        <v>163.28727127334747</v>
      </c>
      <c r="G42" s="46">
        <f t="shared" si="30"/>
        <v>174.64849828108794</v>
      </c>
      <c r="H42" s="46">
        <f t="shared" si="30"/>
        <v>169.14622704204845</v>
      </c>
      <c r="I42" s="46">
        <f t="shared" si="30"/>
        <v>164.36972529615738</v>
      </c>
      <c r="J42" s="46">
        <f t="shared" si="30"/>
        <v>159.66350119313347</v>
      </c>
      <c r="K42" s="46">
        <f t="shared" si="30"/>
        <v>154.61859278853106</v>
      </c>
      <c r="L42" s="46">
        <f t="shared" si="30"/>
        <v>149.61481048669165</v>
      </c>
      <c r="M42" s="46">
        <f t="shared" si="30"/>
        <v>144.67946499586148</v>
      </c>
      <c r="N42" s="46">
        <f t="shared" si="30"/>
        <v>139.8129316427322</v>
      </c>
      <c r="O42" s="46">
        <f t="shared" si="30"/>
        <v>135.01558780586717</v>
      </c>
      <c r="P42" s="46">
        <f t="shared" si="30"/>
        <v>130.28781292689268</v>
      </c>
      <c r="Q42" s="46">
        <f t="shared" si="30"/>
        <v>123.8612260640424</v>
      </c>
      <c r="R42" s="46">
        <f t="shared" si="30"/>
        <v>151.03994108174948</v>
      </c>
      <c r="S42" s="46">
        <f t="shared" si="30"/>
        <v>145.09371987431248</v>
      </c>
      <c r="T42" s="46">
        <f t="shared" si="30"/>
        <v>139.14486175100572</v>
      </c>
      <c r="U42" s="46">
        <f t="shared" si="30"/>
        <v>133.24462928882053</v>
      </c>
      <c r="V42" s="46">
        <f t="shared" si="30"/>
        <v>127.39329022741556</v>
      </c>
      <c r="W42" s="46">
        <f t="shared" si="30"/>
        <v>121.41071737754949</v>
      </c>
      <c r="X42" s="46">
        <f t="shared" si="30"/>
        <v>115.47611029041124</v>
      </c>
      <c r="Y42" s="46">
        <f t="shared" si="30"/>
        <v>109.58973118672444</v>
      </c>
      <c r="Z42" s="46">
        <f t="shared" si="30"/>
        <v>103.75184371737799</v>
      </c>
      <c r="AA42" s="46">
        <f t="shared" si="30"/>
        <v>97.962712971212795</v>
      </c>
      <c r="AB42" s="46">
        <f t="shared" si="30"/>
        <v>92.222605482850739</v>
      </c>
      <c r="AC42" s="46">
        <f t="shared" si="30"/>
        <v>88.743886725553097</v>
      </c>
      <c r="AD42" s="46">
        <f t="shared" si="30"/>
        <v>118.854506492228</v>
      </c>
      <c r="AE42" s="46">
        <f t="shared" si="30"/>
        <v>115.91602933565476</v>
      </c>
      <c r="AF42" s="46">
        <f t="shared" si="30"/>
        <v>112.99599450407027</v>
      </c>
      <c r="AG42" s="46">
        <f t="shared" si="30"/>
        <v>110.13295842412955</v>
      </c>
      <c r="AH42" s="46">
        <f t="shared" si="30"/>
        <v>107.32723198303954</v>
      </c>
      <c r="AI42" s="46">
        <f t="shared" si="30"/>
        <v>104.52541073239442</v>
      </c>
      <c r="AJ42" s="46">
        <f t="shared" si="30"/>
        <v>101.78126074034284</v>
      </c>
      <c r="AK42" s="46">
        <f t="shared" si="30"/>
        <v>99.095096667956824</v>
      </c>
      <c r="AL42" s="46">
        <f t="shared" ref="AL42:BL42" si="31">AK42+AL40</f>
        <v>96.467397389991504</v>
      </c>
      <c r="AM42" s="46">
        <f t="shared" si="31"/>
        <v>93.89886105108036</v>
      </c>
      <c r="AN42" s="46">
        <f t="shared" si="31"/>
        <v>91.389810420151633</v>
      </c>
      <c r="AO42" s="46">
        <f t="shared" si="31"/>
        <v>90.665270491379914</v>
      </c>
      <c r="AP42" s="46">
        <f t="shared" si="31"/>
        <v>123.51797941189862</v>
      </c>
      <c r="AQ42" s="46">
        <f t="shared" si="31"/>
        <v>123.37753379062828</v>
      </c>
      <c r="AR42" s="46">
        <f t="shared" si="31"/>
        <v>123.259491711436</v>
      </c>
      <c r="AS42" s="46">
        <f t="shared" si="31"/>
        <v>123.20243074278498</v>
      </c>
      <c r="AT42" s="46">
        <f t="shared" si="31"/>
        <v>123.206683026926</v>
      </c>
      <c r="AU42" s="46">
        <f t="shared" si="31"/>
        <v>123.18501083618754</v>
      </c>
      <c r="AV42" s="46">
        <f t="shared" si="31"/>
        <v>123.22473506284305</v>
      </c>
      <c r="AW42" s="46">
        <f t="shared" si="31"/>
        <v>123.32618966402649</v>
      </c>
      <c r="AX42" s="46">
        <f t="shared" si="31"/>
        <v>123.48971041148238</v>
      </c>
      <c r="AY42" s="46">
        <f t="shared" si="31"/>
        <v>123.7156349014181</v>
      </c>
      <c r="AZ42" s="46">
        <f t="shared" si="31"/>
        <v>124.00430256440957</v>
      </c>
      <c r="BA42" s="46">
        <f t="shared" si="31"/>
        <v>125.1108460273054</v>
      </c>
      <c r="BB42" s="46">
        <f t="shared" si="31"/>
        <v>159.7877936694928</v>
      </c>
      <c r="BC42" s="46">
        <f t="shared" si="31"/>
        <v>161.5282967641017</v>
      </c>
      <c r="BD42" s="46">
        <f t="shared" si="31"/>
        <v>163.30521867830964</v>
      </c>
      <c r="BE42" s="46">
        <f t="shared" si="31"/>
        <v>165.14439393232075</v>
      </c>
      <c r="BF42" s="46">
        <f t="shared" si="31"/>
        <v>167.04616072370965</v>
      </c>
      <c r="BG42" s="46">
        <f t="shared" si="31"/>
        <v>168.92191039211511</v>
      </c>
      <c r="BH42" s="46">
        <f t="shared" si="31"/>
        <v>170.78654165630752</v>
      </c>
      <c r="BI42" s="46">
        <f t="shared" si="31"/>
        <v>172.34981988018146</v>
      </c>
      <c r="BJ42" s="46">
        <f t="shared" si="31"/>
        <v>173.95883485065227</v>
      </c>
      <c r="BK42" s="46">
        <f t="shared" si="31"/>
        <v>175.61377276959294</v>
      </c>
      <c r="BL42" s="46">
        <f t="shared" si="31"/>
        <v>177.3148205969363</v>
      </c>
      <c r="BM42" s="32"/>
      <c r="BN42" s="32"/>
    </row>
    <row r="43" spans="1:66" ht="20" customHeight="1">
      <c r="A43" s="30"/>
      <c r="B43" s="30"/>
      <c r="C43" s="31" t="s">
        <v>314</v>
      </c>
      <c r="D43" s="31"/>
      <c r="E43" s="35">
        <f>Historical!G82-Historical!G79-Historical!G65-Historical!G74+'Revenue costs'!E26+'Revenue costs'!E27-'Revenue costs'!E24-'Revenue costs'!E25+'Revenue costs'!E29+'Revenue costs'!E30</f>
        <v>961.67800000000011</v>
      </c>
      <c r="F43" s="35">
        <f>E43+'Revenue costs'!F26+'Revenue costs'!F27-'Revenue costs'!F24-'Revenue costs'!F25+'Revenue costs'!F29+'Revenue costs'!F30</f>
        <v>961.92800000000011</v>
      </c>
      <c r="G43" s="35">
        <f>F43+'Revenue costs'!G26+'Revenue costs'!G27-'Revenue costs'!G24-'Revenue costs'!G25+'Revenue costs'!G29+'Revenue costs'!G30</f>
        <v>962.17800000000011</v>
      </c>
      <c r="H43" s="35">
        <f>G43+'Revenue costs'!H26+'Revenue costs'!H27-'Revenue costs'!H24-'Revenue costs'!H25+'Revenue costs'!H29+'Revenue costs'!H30</f>
        <v>962.42800000000011</v>
      </c>
      <c r="I43" s="35">
        <f>H43+'Revenue costs'!I26+'Revenue costs'!I27-'Revenue costs'!I24-'Revenue costs'!I25+'Revenue costs'!I29+'Revenue costs'!I30</f>
        <v>962.67800000000011</v>
      </c>
      <c r="J43" s="35">
        <f>I43+'Revenue costs'!J26+'Revenue costs'!J27-'Revenue costs'!J24-'Revenue costs'!J25+'Revenue costs'!J29+'Revenue costs'!J30</f>
        <v>962.92800000000011</v>
      </c>
      <c r="K43" s="35">
        <f>J43+'Revenue costs'!K26+'Revenue costs'!K27-'Revenue costs'!K24-'Revenue costs'!K25+'Revenue costs'!K29+'Revenue costs'!K30</f>
        <v>963.17800000000011</v>
      </c>
      <c r="L43" s="35">
        <f>K43+'Revenue costs'!L26+'Revenue costs'!L27-'Revenue costs'!L24-'Revenue costs'!L25+'Revenue costs'!L29+'Revenue costs'!L30</f>
        <v>963.42800000000011</v>
      </c>
      <c r="M43" s="35">
        <f>L43+'Revenue costs'!M26+'Revenue costs'!M27-'Revenue costs'!M24-'Revenue costs'!M25+'Revenue costs'!M29+'Revenue costs'!M30</f>
        <v>963.67800000000011</v>
      </c>
      <c r="N43" s="35">
        <f>M43+'Revenue costs'!N26+'Revenue costs'!N27-'Revenue costs'!N24-'Revenue costs'!N25+'Revenue costs'!N29+'Revenue costs'!N30</f>
        <v>963.92800000000011</v>
      </c>
      <c r="O43" s="35">
        <f>N43+'Revenue costs'!O26+'Revenue costs'!O27-'Revenue costs'!O24-'Revenue costs'!O25+'Revenue costs'!O29+'Revenue costs'!O30</f>
        <v>964.17800000000011</v>
      </c>
      <c r="P43" s="35">
        <f>O43+'Revenue costs'!P26+'Revenue costs'!P27-'Revenue costs'!P24-'Revenue costs'!P25+'Revenue costs'!P29+'Revenue costs'!P30</f>
        <v>964.42800000000011</v>
      </c>
      <c r="Q43" s="35">
        <f>P43+'Revenue costs'!Q26+'Revenue costs'!Q27-'Revenue costs'!Q24-'Revenue costs'!Q25+'Revenue costs'!Q29+'Revenue costs'!Q30</f>
        <v>965.44466666666676</v>
      </c>
      <c r="R43" s="35">
        <f>Q43+'Revenue costs'!R26+'Revenue costs'!R27-'Revenue costs'!R24-'Revenue costs'!R25+'Revenue costs'!R29+'Revenue costs'!R30</f>
        <v>966.46133333333341</v>
      </c>
      <c r="S43" s="35">
        <f>R43+'Revenue costs'!S26+'Revenue costs'!S27-'Revenue costs'!S24-'Revenue costs'!S25+'Revenue costs'!S29+'Revenue costs'!S30</f>
        <v>967.47800000000007</v>
      </c>
      <c r="T43" s="35">
        <f>S43+'Revenue costs'!T26+'Revenue costs'!T27-'Revenue costs'!T24-'Revenue costs'!T25+'Revenue costs'!T29+'Revenue costs'!T30</f>
        <v>968.49466666666672</v>
      </c>
      <c r="U43" s="35">
        <f>T43+'Revenue costs'!U26+'Revenue costs'!U27-'Revenue costs'!U24-'Revenue costs'!U25+'Revenue costs'!U29+'Revenue costs'!U30</f>
        <v>969.51133333333337</v>
      </c>
      <c r="V43" s="35">
        <f>U43+'Revenue costs'!V26+'Revenue costs'!V27-'Revenue costs'!V24-'Revenue costs'!V25+'Revenue costs'!V29+'Revenue costs'!V30</f>
        <v>970.52800000000002</v>
      </c>
      <c r="W43" s="35">
        <f>V43+'Revenue costs'!W26+'Revenue costs'!W27-'Revenue costs'!W24-'Revenue costs'!W25+'Revenue costs'!W29+'Revenue costs'!W30</f>
        <v>971.54466666666667</v>
      </c>
      <c r="X43" s="35">
        <f>W43+'Revenue costs'!X26+'Revenue costs'!X27-'Revenue costs'!X24-'Revenue costs'!X25+'Revenue costs'!X29+'Revenue costs'!X30</f>
        <v>972.56133333333332</v>
      </c>
      <c r="Y43" s="35">
        <f>X43+'Revenue costs'!Y26+'Revenue costs'!Y27-'Revenue costs'!Y24-'Revenue costs'!Y25+'Revenue costs'!Y29+'Revenue costs'!Y30</f>
        <v>973.57799999999997</v>
      </c>
      <c r="Z43" s="35">
        <f>Y43+'Revenue costs'!Z26+'Revenue costs'!Z27-'Revenue costs'!Z24-'Revenue costs'!Z25+'Revenue costs'!Z29+'Revenue costs'!Z30</f>
        <v>974.59466666666663</v>
      </c>
      <c r="AA43" s="35">
        <f>Z43+'Revenue costs'!AA26+'Revenue costs'!AA27-'Revenue costs'!AA24-'Revenue costs'!AA25+'Revenue costs'!AA29+'Revenue costs'!AA30</f>
        <v>975.61133333333328</v>
      </c>
      <c r="AB43" s="35">
        <f>AA43+'Revenue costs'!AB26+'Revenue costs'!AB27-'Revenue costs'!AB24-'Revenue costs'!AB25+'Revenue costs'!AB29+'Revenue costs'!AB30</f>
        <v>976.62799999999993</v>
      </c>
      <c r="AC43" s="35">
        <f>AB43+'Revenue costs'!AC26+'Revenue costs'!AC27-'Revenue costs'!AC24-'Revenue costs'!AC25+'Revenue costs'!AC29+'Revenue costs'!AC30</f>
        <v>976.81133333333321</v>
      </c>
      <c r="AD43" s="35">
        <f>AC43+'Revenue costs'!AD26+'Revenue costs'!AD27-'Revenue costs'!AD24-'Revenue costs'!AD25+'Revenue costs'!AD29+'Revenue costs'!AD30</f>
        <v>976.99466666666649</v>
      </c>
      <c r="AE43" s="35">
        <f>AD43+'Revenue costs'!AE26+'Revenue costs'!AE27-'Revenue costs'!AE24-'Revenue costs'!AE25+'Revenue costs'!AE29+'Revenue costs'!AE30</f>
        <v>977.17799999999977</v>
      </c>
      <c r="AF43" s="35">
        <f>AE43+'Revenue costs'!AF26+'Revenue costs'!AF27-'Revenue costs'!AF24-'Revenue costs'!AF25+'Revenue costs'!AF29+'Revenue costs'!AF30</f>
        <v>977.36133333333305</v>
      </c>
      <c r="AG43" s="35">
        <f>AF43+'Revenue costs'!AG26+'Revenue costs'!AG27-'Revenue costs'!AG24-'Revenue costs'!AG25+'Revenue costs'!AG29+'Revenue costs'!AG30</f>
        <v>977.54466666666633</v>
      </c>
      <c r="AH43" s="35">
        <f>AG43+'Revenue costs'!AH26+'Revenue costs'!AH27-'Revenue costs'!AH24-'Revenue costs'!AH25+'Revenue costs'!AH29+'Revenue costs'!AH30</f>
        <v>977.72799999999961</v>
      </c>
      <c r="AI43" s="35">
        <f>AH43+'Revenue costs'!AI26+'Revenue costs'!AI27-'Revenue costs'!AI24-'Revenue costs'!AI25+'Revenue costs'!AI29+'Revenue costs'!AI30</f>
        <v>977.91133333333289</v>
      </c>
      <c r="AJ43" s="35">
        <f>AI43+'Revenue costs'!AJ26+'Revenue costs'!AJ27-'Revenue costs'!AJ24-'Revenue costs'!AJ25+'Revenue costs'!AJ29+'Revenue costs'!AJ30</f>
        <v>978.09466666666617</v>
      </c>
      <c r="AK43" s="35">
        <f>AJ43+'Revenue costs'!AK26+'Revenue costs'!AK27-'Revenue costs'!AK24-'Revenue costs'!AK25+'Revenue costs'!AK29+'Revenue costs'!AK30</f>
        <v>978.27799999999945</v>
      </c>
      <c r="AL43" s="35">
        <f>AK43+'Revenue costs'!AL26+'Revenue costs'!AL27-'Revenue costs'!AL24-'Revenue costs'!AL25+'Revenue costs'!AL29+'Revenue costs'!AL30</f>
        <v>978.46133333333273</v>
      </c>
      <c r="AM43" s="35">
        <f>AL43+'Revenue costs'!AM26+'Revenue costs'!AM27-'Revenue costs'!AM24-'Revenue costs'!AM25+'Revenue costs'!AM29+'Revenue costs'!AM30</f>
        <v>978.64466666666601</v>
      </c>
      <c r="AN43" s="35">
        <f>AM43+'Revenue costs'!AN26+'Revenue costs'!AN27-'Revenue costs'!AN24-'Revenue costs'!AN25+'Revenue costs'!AN29+'Revenue costs'!AN30</f>
        <v>978.82799999999929</v>
      </c>
      <c r="AO43" s="35">
        <f>AN43+'Revenue costs'!AO26+'Revenue costs'!AO27-'Revenue costs'!AO24-'Revenue costs'!AO25+'Revenue costs'!AO29+'Revenue costs'!AO30</f>
        <v>979.01133333333257</v>
      </c>
      <c r="AP43" s="35">
        <f>AO43+'Revenue costs'!AP26+'Revenue costs'!AP27-'Revenue costs'!AP24-'Revenue costs'!AP25+'Revenue costs'!AP29+'Revenue costs'!AP30</f>
        <v>979.19466666666585</v>
      </c>
      <c r="AQ43" s="35">
        <f>AP43+'Revenue costs'!AQ26+'Revenue costs'!AQ27-'Revenue costs'!AQ24-'Revenue costs'!AQ25+'Revenue costs'!AQ29+'Revenue costs'!AQ30</f>
        <v>979.37799999999913</v>
      </c>
      <c r="AR43" s="35">
        <f>AQ43+'Revenue costs'!AR26+'Revenue costs'!AR27-'Revenue costs'!AR24-'Revenue costs'!AR25+'Revenue costs'!AR29+'Revenue costs'!AR30</f>
        <v>979.56133333333241</v>
      </c>
      <c r="AS43" s="35">
        <f>AR43+'Revenue costs'!AS26+'Revenue costs'!AS27-'Revenue costs'!AS24-'Revenue costs'!AS25+'Revenue costs'!AS29+'Revenue costs'!AS30</f>
        <v>979.74466666666569</v>
      </c>
      <c r="AT43" s="35">
        <f>AS43+'Revenue costs'!AT26+'Revenue costs'!AT27-'Revenue costs'!AT24-'Revenue costs'!AT25+'Revenue costs'!AT29+'Revenue costs'!AT30</f>
        <v>979.92799999999897</v>
      </c>
      <c r="AU43" s="35">
        <f>AT43+'Revenue costs'!AU26+'Revenue costs'!AU27-'Revenue costs'!AU24-'Revenue costs'!AU25+'Revenue costs'!AU29+'Revenue costs'!AU30</f>
        <v>980.11133333333225</v>
      </c>
      <c r="AV43" s="35">
        <f>AU43+'Revenue costs'!AV26+'Revenue costs'!AV27-'Revenue costs'!AV24-'Revenue costs'!AV25+'Revenue costs'!AV29+'Revenue costs'!AV30</f>
        <v>980.29466666666553</v>
      </c>
      <c r="AW43" s="35">
        <f>AV43+'Revenue costs'!AW26+'Revenue costs'!AW27-'Revenue costs'!AW24-'Revenue costs'!AW25+'Revenue costs'!AW29+'Revenue costs'!AW30</f>
        <v>980.47799999999881</v>
      </c>
      <c r="AX43" s="35">
        <f>AW43+'Revenue costs'!AX26+'Revenue costs'!AX27-'Revenue costs'!AX24-'Revenue costs'!AX25+'Revenue costs'!AX29+'Revenue costs'!AX30</f>
        <v>980.6613333333321</v>
      </c>
      <c r="AY43" s="35">
        <f>AX43+'Revenue costs'!AY26+'Revenue costs'!AY27-'Revenue costs'!AY24-'Revenue costs'!AY25+'Revenue costs'!AY29+'Revenue costs'!AY30</f>
        <v>980.84466666666538</v>
      </c>
      <c r="AZ43" s="35">
        <f>AY43+'Revenue costs'!AZ26+'Revenue costs'!AZ27-'Revenue costs'!AZ24-'Revenue costs'!AZ25+'Revenue costs'!AZ29+'Revenue costs'!AZ30</f>
        <v>981.02799999999866</v>
      </c>
      <c r="BA43" s="35">
        <f>AZ43+'Revenue costs'!BA26+'Revenue costs'!BA27-'Revenue costs'!BA24-'Revenue costs'!BA25+'Revenue costs'!BA29+'Revenue costs'!BA30</f>
        <v>981.21133333333194</v>
      </c>
      <c r="BB43" s="35">
        <f>BA43+'Revenue costs'!BB26+'Revenue costs'!BB27-'Revenue costs'!BB24-'Revenue costs'!BB25+'Revenue costs'!BB29+'Revenue costs'!BB30</f>
        <v>981.39466666666522</v>
      </c>
      <c r="BC43" s="35">
        <f>BB43+'Revenue costs'!BC26+'Revenue costs'!BC27-'Revenue costs'!BC24-'Revenue costs'!BC25+'Revenue costs'!BC29+'Revenue costs'!BC30</f>
        <v>981.5779999999985</v>
      </c>
      <c r="BD43" s="35">
        <f>BC43+'Revenue costs'!BD26+'Revenue costs'!BD27-'Revenue costs'!BD24-'Revenue costs'!BD25+'Revenue costs'!BD29+'Revenue costs'!BD30</f>
        <v>981.76133333333178</v>
      </c>
      <c r="BE43" s="35">
        <f>BD43+'Revenue costs'!BE26+'Revenue costs'!BE27-'Revenue costs'!BE24-'Revenue costs'!BE25+'Revenue costs'!BE29+'Revenue costs'!BE30</f>
        <v>981.94466666666506</v>
      </c>
      <c r="BF43" s="35">
        <f>BE43+'Revenue costs'!BF26+'Revenue costs'!BF27-'Revenue costs'!BF24-'Revenue costs'!BF25+'Revenue costs'!BF29+'Revenue costs'!BF30</f>
        <v>982.12799999999834</v>
      </c>
      <c r="BG43" s="35">
        <f>BF43+'Revenue costs'!BG26+'Revenue costs'!BG27-'Revenue costs'!BG24-'Revenue costs'!BG25+'Revenue costs'!BG29+'Revenue costs'!BG30</f>
        <v>982.31133333333162</v>
      </c>
      <c r="BH43" s="35">
        <f>BG43+'Revenue costs'!BH26+'Revenue costs'!BH27-'Revenue costs'!BH24-'Revenue costs'!BH25+'Revenue costs'!BH29+'Revenue costs'!BH30</f>
        <v>982.4946666666649</v>
      </c>
      <c r="BI43" s="35">
        <f>BH43+'Revenue costs'!BI26+'Revenue costs'!BI27-'Revenue costs'!BI24-'Revenue costs'!BI25+'Revenue costs'!BI29+'Revenue costs'!BI30</f>
        <v>982.67799999999818</v>
      </c>
      <c r="BJ43" s="35">
        <f>BI43+'Revenue costs'!BJ26+'Revenue costs'!BJ27-'Revenue costs'!BJ24-'Revenue costs'!BJ25+'Revenue costs'!BJ29+'Revenue costs'!BJ30</f>
        <v>982.86133333333146</v>
      </c>
      <c r="BK43" s="35">
        <f>BJ43+'Revenue costs'!BK26+'Revenue costs'!BK27-'Revenue costs'!BK24-'Revenue costs'!BK25+'Revenue costs'!BK29+'Revenue costs'!BK30</f>
        <v>983.04466666666474</v>
      </c>
      <c r="BL43" s="35">
        <f>BK43+'Revenue costs'!BL26+'Revenue costs'!BL27-'Revenue costs'!BL24-'Revenue costs'!BL25+'Revenue costs'!BL29+'Revenue costs'!BL30</f>
        <v>983.22799999999802</v>
      </c>
      <c r="BM43" s="32"/>
      <c r="BN43" s="32"/>
    </row>
    <row r="44" spans="1:66" ht="20" customHeight="1">
      <c r="A44" s="30"/>
      <c r="B44" s="30"/>
      <c r="C44" s="31" t="s">
        <v>315</v>
      </c>
      <c r="D44" s="31"/>
      <c r="E44" s="35">
        <f>Historical!G84-Historical!G78-Historical!G70-Historical!G81+E50-SUM($E56:E56)+Historical!$G$136-SUM($E57:E57)</f>
        <v>333.12811779448629</v>
      </c>
      <c r="F44" s="35">
        <f>Historical!G84-Historical!G78-Historical!G70-Historical!G81+F50-SUM($E56:F56)+Historical!$G$136-SUM($E57:F57)</f>
        <v>334.97523558897251</v>
      </c>
      <c r="G44" s="35">
        <f>Historical!G84-Historical!G78-Historical!G70-Historical!G81+G50-SUM($E56:G56)+Historical!$G$136-SUM($E57:G57)</f>
        <v>336.82235338345873</v>
      </c>
      <c r="H44" s="35">
        <f>Historical!G84-Historical!G78-Historical!G70-Historical!G81+H50-SUM($E56:H56)+Historical!$G$136-SUM($E57:H57)</f>
        <v>338.6694711779449</v>
      </c>
      <c r="I44" s="35">
        <f>Historical!G84-Historical!G78-Historical!G70-Historical!G81+I50-SUM($E56:I56)+Historical!$G$136-SUM($E57:I57)</f>
        <v>340.51658897243112</v>
      </c>
      <c r="J44" s="35">
        <f>Historical!G84-Historical!G78-Historical!G70-Historical!G81+J50-SUM($E56:J56)+Historical!$G$136-SUM($E57:J57)</f>
        <v>331.28100000000006</v>
      </c>
      <c r="K44" s="35">
        <f>Historical!G84-Historical!G78-Historical!G70-Historical!G81+K50-SUM($E56:K56)+Historical!$G$136-SUM($E57:K57)</f>
        <v>333.12811779448629</v>
      </c>
      <c r="L44" s="35">
        <f>Historical!G84-Historical!G78-Historical!G70-Historical!G81+L50-SUM($E56:L56)+Historical!$G$136-SUM($E57:L57)</f>
        <v>334.97523558897251</v>
      </c>
      <c r="M44" s="35">
        <f>Historical!G84-Historical!G78-Historical!G70-Historical!G81+M50-SUM($E56:M56)+Historical!$G$136-SUM($E57:M57)</f>
        <v>336.82235338345873</v>
      </c>
      <c r="N44" s="35">
        <f>Historical!G84-Historical!G78-Historical!G70-Historical!G81+N50-SUM($E56:N56)+Historical!$G$136-SUM($E57:N57)</f>
        <v>338.6694711779449</v>
      </c>
      <c r="O44" s="35">
        <f>Historical!G84-Historical!G78-Historical!G70-Historical!G81+O50-SUM($E56:O56)+Historical!$G$136-SUM($E57:O57)</f>
        <v>340.51658897243112</v>
      </c>
      <c r="P44" s="35">
        <f>Historical!G84-Historical!G78-Historical!G70-Historical!G81+P50-SUM($E56:P56)+Historical!$G$136-SUM($E57:P57)</f>
        <v>323.71900000000005</v>
      </c>
      <c r="Q44" s="35">
        <f>Historical!G84-Historical!G78-Historical!G70-Historical!G81+Q50-SUM($E56:Q56)+Historical!$G$136-SUM($E57:Q57)</f>
        <v>325.56611779448627</v>
      </c>
      <c r="R44" s="35">
        <f>Historical!G84-Historical!G78-Historical!G70-Historical!G81+R50-SUM($E56:R56)+Historical!$G$136-SUM($E57:R57)</f>
        <v>327.4132355889725</v>
      </c>
      <c r="S44" s="35">
        <f>Historical!G84-Historical!G78-Historical!G70-Historical!G81+S50-SUM($E56:S56)+Historical!$G$136-SUM($E57:S57)</f>
        <v>329.26035338345872</v>
      </c>
      <c r="T44" s="35">
        <f>Historical!G84-Historical!G78-Historical!G70-Historical!G81+T50-SUM($E56:T56)+Historical!$G$136-SUM($E57:T57)</f>
        <v>331.10747117794489</v>
      </c>
      <c r="U44" s="35">
        <f>Historical!G84-Historical!G78-Historical!G70-Historical!G81+U50-SUM($E56:U56)+Historical!$G$136-SUM($E57:U57)</f>
        <v>332.95458897243111</v>
      </c>
      <c r="V44" s="35">
        <f>Historical!G84-Historical!G78-Historical!G70-Historical!G81+V50-SUM($E56:V56)+Historical!$G$136-SUM($E57:V57)</f>
        <v>323.71900000000005</v>
      </c>
      <c r="W44" s="35">
        <f>Historical!G84-Historical!G78-Historical!G70-Historical!G81+W50-SUM($E56:W56)+Historical!$G$136-SUM($E57:W57)</f>
        <v>325.56611779448627</v>
      </c>
      <c r="X44" s="35">
        <f>Historical!G84-Historical!G78-Historical!G70-Historical!G81+X50-SUM($E56:X56)+Historical!$G$136-SUM($E57:X57)</f>
        <v>327.4132355889725</v>
      </c>
      <c r="Y44" s="35">
        <f>Historical!G84-Historical!G78-Historical!G70-Historical!G81+Y50-SUM($E56:Y56)+Historical!$G$136-SUM($E57:Y57)</f>
        <v>329.26035338345872</v>
      </c>
      <c r="Z44" s="35">
        <f>Historical!G84-Historical!G78-Historical!G70-Historical!G81+Z50-SUM($E56:Z56)+Historical!$G$136-SUM($E57:Z57)</f>
        <v>331.10747117794489</v>
      </c>
      <c r="AA44" s="35">
        <f>Historical!G84-Historical!G78-Historical!G70-Historical!G81+AA50-SUM($E56:AA56)+Historical!$G$136-SUM($E57:AA57)</f>
        <v>332.95458897243111</v>
      </c>
      <c r="AB44" s="35">
        <f>Historical!G84-Historical!G78-Historical!G70-Historical!G81+AB50-SUM($E56:AB56)+Historical!$G$136-SUM($E57:AB57)</f>
        <v>323.71900000000005</v>
      </c>
      <c r="AC44" s="35">
        <f>Historical!G84-Historical!G78-Historical!G70-Historical!G81+AC50-SUM($E56:AC56)+Historical!$G$136-SUM($E57:AC57)</f>
        <v>325.56611779448627</v>
      </c>
      <c r="AD44" s="35">
        <f>Historical!G84-Historical!G78-Historical!G70-Historical!G81+AD50-SUM($E56:AD56)+Historical!$G$136-SUM($E57:AD57)</f>
        <v>327.4132355889725</v>
      </c>
      <c r="AE44" s="35">
        <f>Historical!G84-Historical!G78-Historical!G70-Historical!G81+AE50-SUM($E56:AE56)+Historical!$G$136-SUM($E57:AE57)</f>
        <v>329.26035338345872</v>
      </c>
      <c r="AF44" s="35">
        <f>Historical!G84-Historical!G78-Historical!G70-Historical!G81+AF50-SUM($E56:AF56)+Historical!$G$136-SUM($E57:AF57)</f>
        <v>331.10747117794489</v>
      </c>
      <c r="AG44" s="35">
        <f>Historical!G84-Historical!G78-Historical!G70-Historical!G81+AG50-SUM($E56:AG56)+Historical!$G$136-SUM($E57:AG57)</f>
        <v>332.95458897243111</v>
      </c>
      <c r="AH44" s="35">
        <f>Historical!G84-Historical!G78-Historical!G70-Historical!G81+AH50-SUM($E56:AH56)+Historical!$G$136-SUM($E57:AH57)</f>
        <v>323.71900000000005</v>
      </c>
      <c r="AI44" s="35">
        <f>Historical!G84-Historical!G78-Historical!G70-Historical!G81+AI50-SUM($E56:AI56)+Historical!$G$136-SUM($E57:AI57)</f>
        <v>325.56611779448627</v>
      </c>
      <c r="AJ44" s="35">
        <f>Historical!G84-Historical!G78-Historical!G70-Historical!G81+AJ50-SUM($E56:AJ56)+Historical!$G$136-SUM($E57:AJ57)</f>
        <v>327.4132355889725</v>
      </c>
      <c r="AK44" s="35">
        <f>Historical!G84-Historical!G78-Historical!G70-Historical!G81+AK50-SUM($E56:AK56)+Historical!$G$136-SUM($E57:AK57)</f>
        <v>329.26035338345872</v>
      </c>
      <c r="AL44" s="35">
        <f>Historical!G84-Historical!G78-Historical!G70-Historical!G81+AL50-SUM($E56:AL56)+Historical!$G$136-SUM($E57:AL57)</f>
        <v>331.10747117794489</v>
      </c>
      <c r="AM44" s="35">
        <f>Historical!G84-Historical!G78-Historical!G70-Historical!G81+AM50-SUM($E56:AM56)+Historical!$G$136-SUM($E57:AM57)</f>
        <v>332.95458897243111</v>
      </c>
      <c r="AN44" s="35">
        <f>Historical!G84-Historical!G78-Historical!G70-Historical!G81+AN50-SUM($E56:AN56)+Historical!$G$136-SUM($E57:AN57)</f>
        <v>323.71900000000005</v>
      </c>
      <c r="AO44" s="35">
        <f>Historical!G84-Historical!G78-Historical!G70-Historical!G81+AO50-SUM($E56:AO56)+Historical!$G$136-SUM($E57:AO57)</f>
        <v>325.56611779448627</v>
      </c>
      <c r="AP44" s="35">
        <f>Historical!G84-Historical!G78-Historical!G70-Historical!G81+AP50-SUM($E56:AP56)+Historical!$G$136-SUM($E57:AP57)</f>
        <v>327.4132355889725</v>
      </c>
      <c r="AQ44" s="35">
        <f>Historical!G84-Historical!G78-Historical!G70-Historical!G81+AQ50-SUM($E56:AQ56)+Historical!$G$136-SUM($E57:AQ57)</f>
        <v>329.26035338345872</v>
      </c>
      <c r="AR44" s="35">
        <f>Historical!G84-Historical!G78-Historical!G70-Historical!G81+AR50-SUM($E56:AR56)+Historical!$G$136-SUM($E57:AR57)</f>
        <v>331.10747117794489</v>
      </c>
      <c r="AS44" s="35">
        <f>Historical!G84-Historical!G78-Historical!G70-Historical!G81+AS50-SUM($E56:AS56)+Historical!$G$136-SUM($E57:AS57)</f>
        <v>332.95458897243111</v>
      </c>
      <c r="AT44" s="35">
        <f>Historical!G84-Historical!G78-Historical!G70-Historical!G81+AT50-SUM($E56:AT56)+Historical!$G$136-SUM($E57:AT57)</f>
        <v>323.71900000000005</v>
      </c>
      <c r="AU44" s="35">
        <f>Historical!G84-Historical!G78-Historical!G70-Historical!G81+AU50-SUM($E56:AU56)+Historical!$G$136-SUM($E57:AU57)</f>
        <v>325.56611779448627</v>
      </c>
      <c r="AV44" s="35">
        <f>Historical!G84-Historical!G78-Historical!G70-Historical!G81+AV50-SUM($E56:AV56)+Historical!$G$136-SUM($E57:AV57)</f>
        <v>327.4132355889725</v>
      </c>
      <c r="AW44" s="35">
        <f>Historical!G84-Historical!G78-Historical!G70-Historical!G81+AW50-SUM($E56:AW56)+Historical!$G$136-SUM($E57:AW57)</f>
        <v>329.26035338345872</v>
      </c>
      <c r="AX44" s="35">
        <f>Historical!G84-Historical!G78-Historical!G70-Historical!G81+AX50-SUM($E56:AX56)+Historical!$G$136-SUM($E57:AX57)</f>
        <v>331.10747117794489</v>
      </c>
      <c r="AY44" s="35">
        <f>Historical!G84-Historical!G78-Historical!G70-Historical!G81+AY50-SUM($E56:AY56)+Historical!$G$136-SUM($E57:AY57)</f>
        <v>332.95458897243111</v>
      </c>
      <c r="AZ44" s="35">
        <f>Historical!G84-Historical!G78-Historical!G70-Historical!G81+AZ50-SUM($E56:AZ56)+Historical!$G$136-SUM($E57:AZ57)</f>
        <v>323.71900000000005</v>
      </c>
      <c r="BA44" s="35">
        <f>Historical!G84-Historical!G78-Historical!G70-Historical!G81+BA50-SUM($E56:BA56)+Historical!$G$136-SUM($E57:BA57)</f>
        <v>325.56611779448627</v>
      </c>
      <c r="BB44" s="35">
        <f>Historical!G84-Historical!G78-Historical!G70-Historical!G81+BB50-SUM($E56:BB56)+Historical!$G$136-SUM($E57:BB57)</f>
        <v>327.4132355889725</v>
      </c>
      <c r="BC44" s="35">
        <f>Historical!G84-Historical!G78-Historical!G70-Historical!G81+BC50-SUM($E56:BC56)+Historical!$G$136-SUM($E57:BC57)</f>
        <v>329.26035338345872</v>
      </c>
      <c r="BD44" s="35">
        <f>Historical!G84-Historical!G78-Historical!G70-Historical!G81+BD50-SUM($E56:BD56)+Historical!$G$136-SUM($E57:BD57)</f>
        <v>331.10747117794489</v>
      </c>
      <c r="BE44" s="35">
        <f>Historical!G84-Historical!G78-Historical!G70-Historical!G81+BE50-SUM($E56:BE56)+Historical!$G$136-SUM($E57:BE57)</f>
        <v>332.95458897243111</v>
      </c>
      <c r="BF44" s="35">
        <f>Historical!G84-Historical!G78-Historical!G70-Historical!G81+BF50-SUM($E56:BF56)+Historical!$G$136-SUM($E57:BF57)</f>
        <v>323.71900000000005</v>
      </c>
      <c r="BG44" s="35">
        <f>Historical!G84-Historical!G78-Historical!G70-Historical!G81+BG50-SUM($E56:BG56)+Historical!$G$136-SUM($E57:BG57)</f>
        <v>325.56611779448627</v>
      </c>
      <c r="BH44" s="35">
        <f>Historical!G84-Historical!G78-Historical!G70-Historical!G81+BH50-SUM($E56:BH56)+Historical!$G$136-SUM($E57:BH57)</f>
        <v>327.4132355889725</v>
      </c>
      <c r="BI44" s="35">
        <f>Historical!G84-Historical!G78-Historical!G70-Historical!G81+BI50-SUM($E56:BI56)+Historical!$G$136-SUM($E57:BI57)</f>
        <v>329.26035338345872</v>
      </c>
      <c r="BJ44" s="35">
        <f>Historical!G84-Historical!G78-Historical!G70-Historical!G81+BJ50-SUM($E56:BJ56)+Historical!$G$136-SUM($E57:BJ57)</f>
        <v>331.10747117794489</v>
      </c>
      <c r="BK44" s="35">
        <f>Historical!G84-Historical!G78-Historical!G70-Historical!G81+BK50-SUM($E56:BK56)+Historical!$G$136-SUM($E57:BK57)</f>
        <v>332.95458897243111</v>
      </c>
      <c r="BL44" s="35">
        <f>Historical!G84-Historical!G78-Historical!G70-Historical!G81+BL50-SUM($E56:BL56)+Historical!$G$136-SUM($E57:BL57)</f>
        <v>323.71900000000005</v>
      </c>
      <c r="BM44" s="32"/>
      <c r="BN44" s="32"/>
    </row>
    <row r="45" spans="1:66" ht="20" customHeight="1">
      <c r="A45" s="30"/>
      <c r="B45" s="30"/>
      <c r="C45" s="31" t="s">
        <v>204</v>
      </c>
      <c r="D45" s="31"/>
      <c r="E45" s="35">
        <f>E33+Registrations!E92+Transfers!E36+E43</f>
        <v>1648.9796552984903</v>
      </c>
      <c r="F45" s="35">
        <f>F33+Registrations!F92+Transfers!F36+F43</f>
        <v>1685.9747604889958</v>
      </c>
      <c r="G45" s="35">
        <f>G33+Registrations!G92+Transfers!G36+G43</f>
        <v>1773.9531761028302</v>
      </c>
      <c r="H45" s="35">
        <f>H33+Registrations!H92+Transfers!H36+H43</f>
        <v>1637.0574415624089</v>
      </c>
      <c r="I45" s="35">
        <f>I33+Registrations!I92+Transfers!I36+I43</f>
        <v>1621.9043772569769</v>
      </c>
      <c r="J45" s="35">
        <f>J33+Registrations!J92+Transfers!J36+J43</f>
        <v>1581.1127733556355</v>
      </c>
      <c r="K45" s="35">
        <f>K33+Registrations!K92+Transfers!K36+K43</f>
        <v>1570.7746823542736</v>
      </c>
      <c r="L45" s="35">
        <f>L33+Registrations!L92+Transfers!L36+L43</f>
        <v>1555.4375576522389</v>
      </c>
      <c r="M45" s="35">
        <f>M33+Registrations!M92+Transfers!M36+M43</f>
        <v>1540.1014031863551</v>
      </c>
      <c r="N45" s="35">
        <f>N33+Registrations!N92+Transfers!N36+N43</f>
        <v>1524.7662229094838</v>
      </c>
      <c r="O45" s="35">
        <f>O33+Registrations!O92+Transfers!O36+O43</f>
        <v>1509.4320207905917</v>
      </c>
      <c r="P45" s="35">
        <f>P33+Registrations!P92+Transfers!P36+P43</f>
        <v>1494.0988008148156</v>
      </c>
      <c r="Q45" s="35">
        <f>Q33+Registrations!Q92+Transfers!Q36+Q43</f>
        <v>1543.2423664963505</v>
      </c>
      <c r="R45" s="35">
        <f>R33+Registrations!R92+Transfers!R36+R43</f>
        <v>1530.0258922137127</v>
      </c>
      <c r="S45" s="35">
        <f>S33+Registrations!S92+Transfers!S36+S43</f>
        <v>1517.453962533813</v>
      </c>
      <c r="T45" s="35">
        <f>T33+Registrations!T92+Transfers!T36+T43</f>
        <v>1504.8832693885936</v>
      </c>
      <c r="U45" s="35">
        <f>U33+Registrations!U92+Transfers!U36+U43</f>
        <v>1492.3138178158501</v>
      </c>
      <c r="V45" s="35">
        <f>V33+Registrations!V92+Transfers!V36+V43</f>
        <v>1456.6599244673723</v>
      </c>
      <c r="W45" s="35">
        <f>W33+Registrations!W92+Transfers!W36+W43</f>
        <v>1443.9989172829496</v>
      </c>
      <c r="X45" s="35">
        <f>X33+Registrations!X92+Transfers!X36+X43</f>
        <v>1431.3387837204277</v>
      </c>
      <c r="Y45" s="35">
        <f>Y33+Registrations!Y92+Transfers!Y36+Y43</f>
        <v>1418.6795273390501</v>
      </c>
      <c r="Z45" s="35">
        <f>Z33+Registrations!Z92+Transfers!Z36+Z43</f>
        <v>1406.0211517125617</v>
      </c>
      <c r="AA45" s="35">
        <f>AA33+Registrations!AA92+Transfers!AA36+AA43</f>
        <v>1393.3636604292667</v>
      </c>
      <c r="AB45" s="35">
        <f>AB33+Registrations!AB92+Transfers!AB36+AB43</f>
        <v>1380.7070570920887</v>
      </c>
      <c r="AC45" s="35">
        <f>AC33+Registrations!AC92+Transfers!AC36+AC43</f>
        <v>1431.158627274147</v>
      </c>
      <c r="AD45" s="35">
        <f>AD33+Registrations!AD92+Transfers!AD36+AD43</f>
        <v>1407.2500625259297</v>
      </c>
      <c r="AE45" s="35">
        <f>AE33+Registrations!AE92+Transfers!AE36+AE43</f>
        <v>1395.9887710932928</v>
      </c>
      <c r="AF45" s="35">
        <f>AF33+Registrations!AF92+Transfers!AF36+AF43</f>
        <v>1384.7284212720347</v>
      </c>
      <c r="AG45" s="35">
        <f>AG33+Registrations!AG92+Transfers!AG36+AG43</f>
        <v>1373.4690168983966</v>
      </c>
      <c r="AH45" s="35">
        <f>AH33+Registrations!AH92+Transfers!AH36+AH43</f>
        <v>1337.9705889973923</v>
      </c>
      <c r="AI45" s="35">
        <f>AI33+Registrations!AI92+Transfers!AI36+AI43</f>
        <v>1326.6143304404902</v>
      </c>
      <c r="AJ45" s="35">
        <f>AJ33+Registrations!AJ92+Transfers!AJ36+AJ43</f>
        <v>1315.2586265871473</v>
      </c>
      <c r="AK45" s="35">
        <f>AK33+Registrations!AK92+Transfers!AK36+AK43</f>
        <v>1303.9034796972946</v>
      </c>
      <c r="AL45" s="35">
        <f>AL33+Registrations!AL92+Transfers!AL36+AL43</f>
        <v>1292.5488920400699</v>
      </c>
      <c r="AM45" s="35">
        <f>AM33+Registrations!AM92+Transfers!AM36+AM43</f>
        <v>1281.1948658938568</v>
      </c>
      <c r="AN45" s="35">
        <f>AN33+Registrations!AN92+Transfers!AN36+AN43</f>
        <v>1269.84140354632</v>
      </c>
      <c r="AO45" s="35">
        <f>AO33+Registrations!AO92+Transfers!AO36+AO43</f>
        <v>1322.3185447325075</v>
      </c>
      <c r="AP45" s="35">
        <f>AP33+Registrations!AP92+Transfers!AP36+AP43</f>
        <v>1296.4352241943645</v>
      </c>
      <c r="AQ45" s="35">
        <f>AQ33+Registrations!AQ92+Transfers!AQ36+AQ43</f>
        <v>1287.2292349775198</v>
      </c>
      <c r="AR45" s="35">
        <f>AR33+Registrations!AR92+Transfers!AR36+AR43</f>
        <v>1278.023791515838</v>
      </c>
      <c r="AS45" s="35">
        <f>AS33+Registrations!AS92+Transfers!AS36+AS43</f>
        <v>1268.818896032793</v>
      </c>
      <c r="AT45" s="35">
        <f>AT33+Registrations!AT92+Transfers!AT36+AT43</f>
        <v>1259.6145507609174</v>
      </c>
      <c r="AU45" s="35">
        <f>AU33+Registrations!AU92+Transfers!AU36+AU43</f>
        <v>1250.4107579418401</v>
      </c>
      <c r="AV45" s="35">
        <f>AV33+Registrations!AV92+Transfers!AV36+AV43</f>
        <v>1241.2075198263215</v>
      </c>
      <c r="AW45" s="35">
        <f>AW33+Registrations!AW92+Transfers!AW36+AW43</f>
        <v>1232.0048386742933</v>
      </c>
      <c r="AX45" s="35">
        <f>AX33+Registrations!AX92+Transfers!AX36+AX43</f>
        <v>1222.8027167548933</v>
      </c>
      <c r="AY45" s="35">
        <f>AY33+Registrations!AY92+Transfers!AY36+AY43</f>
        <v>1213.6011563465045</v>
      </c>
      <c r="AZ45" s="35">
        <f>AZ33+Registrations!AZ92+Transfers!AZ36+AZ43</f>
        <v>1204.4001597367924</v>
      </c>
      <c r="BA45" s="35">
        <f>BA33+Registrations!BA92+Transfers!BA36+BA43</f>
        <v>1258.4439427202171</v>
      </c>
      <c r="BB45" s="35">
        <f>BB33+Registrations!BB92+Transfers!BB36+BB43</f>
        <v>1234.1272639793117</v>
      </c>
      <c r="BC45" s="35">
        <f>BC33+Registrations!BC92+Transfers!BC36+BC43</f>
        <v>1226.5434867636864</v>
      </c>
      <c r="BD45" s="35">
        <f>BD33+Registrations!BD92+Transfers!BD36+BD43</f>
        <v>1218.9602553032239</v>
      </c>
      <c r="BE45" s="35">
        <f>BE33+Registrations!BE92+Transfers!BE36+BE43</f>
        <v>1211.3775718213983</v>
      </c>
      <c r="BF45" s="35">
        <f>BF33+Registrations!BF92+Transfers!BF36+BF43</f>
        <v>1203.7954385507421</v>
      </c>
      <c r="BG45" s="35">
        <f>BG33+Registrations!BG92+Transfers!BG36+BG43</f>
        <v>1196.213857732884</v>
      </c>
      <c r="BH45" s="35">
        <f>BH33+Registrations!BH92+Transfers!BH36+BH43</f>
        <v>1188.6328316185852</v>
      </c>
      <c r="BI45" s="35">
        <f>BI33+Registrations!BI92+Transfers!BI36+BI43</f>
        <v>1181.0523624677762</v>
      </c>
      <c r="BJ45" s="35">
        <f>BJ33+Registrations!BJ92+Transfers!BJ36+BJ43</f>
        <v>1173.4724525495958</v>
      </c>
      <c r="BK45" s="35">
        <f>BK33+Registrations!BK92+Transfers!BK36+BK43</f>
        <v>1165.8931041424264</v>
      </c>
      <c r="BL45" s="35">
        <f>BL33+Registrations!BL92+Transfers!BL36+BL43</f>
        <v>1158.3143195339337</v>
      </c>
      <c r="BM45" s="32"/>
      <c r="BN45" s="32"/>
    </row>
    <row r="46" spans="1:66" ht="20" customHeight="1">
      <c r="A46" s="30"/>
      <c r="B46" s="30"/>
      <c r="C46" s="31" t="s">
        <v>209</v>
      </c>
      <c r="D46" s="31"/>
      <c r="E46" s="35">
        <f>E36+Transfers!E32+E41+E44</f>
        <v>1499.3000155767327</v>
      </c>
      <c r="F46" s="35">
        <f>F36+Transfers!F32+F41+F44</f>
        <v>1522.6874892156484</v>
      </c>
      <c r="G46" s="35">
        <f>G36+Transfers!G32+G41+G44</f>
        <v>1599.3046778217424</v>
      </c>
      <c r="H46" s="35">
        <f>H36+Transfers!H32+H41+H44</f>
        <v>1467.9112145203605</v>
      </c>
      <c r="I46" s="35">
        <f>I36+Transfers!I32+I41+I44</f>
        <v>1457.5346519608197</v>
      </c>
      <c r="J46" s="35">
        <f>J36+Transfers!J32+J41+J44</f>
        <v>1421.4492721625024</v>
      </c>
      <c r="K46" s="35">
        <f>K36+Transfers!K32+K41+K44</f>
        <v>1416.1560895657426</v>
      </c>
      <c r="L46" s="35">
        <f>L36+Transfers!L32+L41+L44</f>
        <v>1405.8227471655478</v>
      </c>
      <c r="M46" s="35">
        <f>M36+Transfers!M32+M41+M44</f>
        <v>1395.4219381904936</v>
      </c>
      <c r="N46" s="35">
        <f>N36+Transfers!N32+N41+N44</f>
        <v>1384.9532912667516</v>
      </c>
      <c r="O46" s="35">
        <f>O36+Transfers!O32+O41+O44</f>
        <v>1374.4164329847249</v>
      </c>
      <c r="P46" s="35">
        <f>P36+Transfers!P32+P41+P44</f>
        <v>1363.8109878879229</v>
      </c>
      <c r="Q46" s="35">
        <f>Q36+Transfers!Q32+Q41+Q44</f>
        <v>1419.3811404323083</v>
      </c>
      <c r="R46" s="35">
        <f>R36+Transfers!R32+R41+R44</f>
        <v>1378.9859511319632</v>
      </c>
      <c r="S46" s="35">
        <f>S36+Transfers!S32+S41+S44</f>
        <v>1372.3602426595005</v>
      </c>
      <c r="T46" s="35">
        <f>T36+Transfers!T32+T41+T44</f>
        <v>1365.7384076375881</v>
      </c>
      <c r="U46" s="35">
        <f>U36+Transfers!U32+U41+U44</f>
        <v>1359.0691885270298</v>
      </c>
      <c r="V46" s="35">
        <f>V36+Transfers!V32+V41+V44</f>
        <v>1329.2666342399571</v>
      </c>
      <c r="W46" s="35">
        <f>W36+Transfers!W32+W41+W44</f>
        <v>1322.5881999054004</v>
      </c>
      <c r="X46" s="35">
        <f>X36+Transfers!X32+X41+X44</f>
        <v>1315.8626734300169</v>
      </c>
      <c r="Y46" s="35">
        <f>Y36+Transfers!Y32+Y41+Y44</f>
        <v>1309.089796152326</v>
      </c>
      <c r="Z46" s="35">
        <f>Z36+Transfers!Z32+Z41+Z44</f>
        <v>1302.2693079951841</v>
      </c>
      <c r="AA46" s="35">
        <f>AA36+Transfers!AA32+AA41+AA44</f>
        <v>1295.4009474580544</v>
      </c>
      <c r="AB46" s="35">
        <f>AB36+Transfers!AB32+AB41+AB44</f>
        <v>1288.4844516092385</v>
      </c>
      <c r="AC46" s="35">
        <f>AC36+Transfers!AC32+AC41+AC44</f>
        <v>1342.4147405485946</v>
      </c>
      <c r="AD46" s="35">
        <f>AD36+Transfers!AD32+AD41+AD44</f>
        <v>1288.3955560337024</v>
      </c>
      <c r="AE46" s="35">
        <f>AE36+Transfers!AE32+AE41+AE44</f>
        <v>1280.0727417576388</v>
      </c>
      <c r="AF46" s="35">
        <f>AF36+Transfers!AF32+AF41+AF44</f>
        <v>1271.7324267679651</v>
      </c>
      <c r="AG46" s="35">
        <f>AG36+Transfers!AG32+AG41+AG44</f>
        <v>1263.3360584742677</v>
      </c>
      <c r="AH46" s="35">
        <f>AH36+Transfers!AH32+AH41+AH44</f>
        <v>1230.6433570143536</v>
      </c>
      <c r="AI46" s="35">
        <f>AI36+Transfers!AI32+AI41+AI44</f>
        <v>1222.0889197080969</v>
      </c>
      <c r="AJ46" s="35">
        <f>AJ36+Transfers!AJ32+AJ41+AJ44</f>
        <v>1213.4773658468055</v>
      </c>
      <c r="AK46" s="35">
        <f>AK36+Transfers!AK32+AK41+AK44</f>
        <v>1204.8083830293388</v>
      </c>
      <c r="AL46" s="35">
        <f>AL36+Transfers!AL32+AL41+AL44</f>
        <v>1196.0814946500795</v>
      </c>
      <c r="AM46" s="35">
        <f>AM36+Transfers!AM32+AM41+AM44</f>
        <v>1187.2960048427776</v>
      </c>
      <c r="AN46" s="35">
        <f>AN36+Transfers!AN32+AN41+AN44</f>
        <v>1178.4515931261697</v>
      </c>
      <c r="AO46" s="35">
        <f>AO36+Transfers!AO32+AO41+AO44</f>
        <v>1231.6532742411289</v>
      </c>
      <c r="AP46" s="35">
        <f>AP36+Transfers!AP32+AP41+AP44</f>
        <v>1172.9172447824676</v>
      </c>
      <c r="AQ46" s="35">
        <f>AQ36+Transfers!AQ32+AQ41+AQ44</f>
        <v>1163.8517011868933</v>
      </c>
      <c r="AR46" s="35">
        <f>AR36+Transfers!AR32+AR41+AR44</f>
        <v>1154.7642998044037</v>
      </c>
      <c r="AS46" s="35">
        <f>AS36+Transfers!AS32+AS41+AS44</f>
        <v>1145.6164652900095</v>
      </c>
      <c r="AT46" s="35">
        <f>AT36+Transfers!AT32+AT41+AT44</f>
        <v>1136.407867733993</v>
      </c>
      <c r="AU46" s="35">
        <f>AU36+Transfers!AU32+AU41+AU44</f>
        <v>1127.2257471056541</v>
      </c>
      <c r="AV46" s="35">
        <f>AV36+Transfers!AV32+AV41+AV44</f>
        <v>1117.9827847634804</v>
      </c>
      <c r="AW46" s="35">
        <f>AW36+Transfers!AW32+AW41+AW44</f>
        <v>1108.6786490102688</v>
      </c>
      <c r="AX46" s="35">
        <f>AX36+Transfers!AX32+AX41+AX44</f>
        <v>1099.3130063434128</v>
      </c>
      <c r="AY46" s="35">
        <f>AY36+Transfers!AY32+AY41+AY44</f>
        <v>1089.8855214450887</v>
      </c>
      <c r="AZ46" s="35">
        <f>AZ36+Transfers!AZ32+AZ41+AZ44</f>
        <v>1080.3958571723849</v>
      </c>
      <c r="BA46" s="35">
        <f>BA36+Transfers!BA32+BA41+BA44</f>
        <v>1133.3330966929138</v>
      </c>
      <c r="BB46" s="35">
        <f>BB36+Transfers!BB32+BB41+BB44</f>
        <v>1074.3394703098211</v>
      </c>
      <c r="BC46" s="35">
        <f>BC36+Transfers!BC32+BC41+BC44</f>
        <v>1065.0151899995869</v>
      </c>
      <c r="BD46" s="35">
        <f>BD36+Transfers!BD32+BD41+BD44</f>
        <v>1055.6550366249164</v>
      </c>
      <c r="BE46" s="35">
        <f>BE36+Transfers!BE32+BE41+BE44</f>
        <v>1046.2331778890798</v>
      </c>
      <c r="BF46" s="35">
        <f>BF36+Transfers!BF32+BF41+BF44</f>
        <v>1036.7492778270348</v>
      </c>
      <c r="BG46" s="35">
        <f>BG36+Transfers!BG32+BG41+BG44</f>
        <v>1027.2919473407715</v>
      </c>
      <c r="BH46" s="35">
        <f>BH36+Transfers!BH32+BH41+BH44</f>
        <v>1017.8462899622803</v>
      </c>
      <c r="BI46" s="35">
        <f>BI36+Transfers!BI32+BI41+BI44</f>
        <v>1008.7025425875975</v>
      </c>
      <c r="BJ46" s="35">
        <f>BJ36+Transfers!BJ32+BJ41+BJ44</f>
        <v>999.51361769894606</v>
      </c>
      <c r="BK46" s="35">
        <f>BK36+Transfers!BK32+BK41+BK44</f>
        <v>990.27933137283605</v>
      </c>
      <c r="BL46" s="35">
        <f>BL36+Transfers!BL32+BL41+BL44</f>
        <v>980.999498937</v>
      </c>
      <c r="BM46" s="32"/>
      <c r="BN46" s="32"/>
    </row>
    <row r="47" spans="1:66" ht="20" customHeight="1">
      <c r="A47" s="30"/>
      <c r="B47" s="30"/>
      <c r="C47" s="31" t="s">
        <v>316</v>
      </c>
      <c r="D47" s="31"/>
      <c r="E47" s="35">
        <f>E39-Assumptions!E203</f>
        <v>344.80621303258147</v>
      </c>
      <c r="F47" s="35">
        <f>F39-Assumptions!E203</f>
        <v>368.97222452960261</v>
      </c>
      <c r="G47" s="35">
        <f>G39-Assumptions!E203</f>
        <v>321.74129522627061</v>
      </c>
      <c r="H47" s="35">
        <f>H39-Assumptions!E203</f>
        <v>335.214008258852</v>
      </c>
      <c r="I47" s="35">
        <f>I39-Assumptions!E203</f>
        <v>349.41913050283563</v>
      </c>
      <c r="J47" s="35">
        <f>J39-Assumptions!E203</f>
        <v>154.49677141745772</v>
      </c>
      <c r="K47" s="35">
        <f>K39-Assumptions!E203</f>
        <v>162.72300862855042</v>
      </c>
      <c r="L47" s="35">
        <f>L39-Assumptions!E203</f>
        <v>175.99380462453652</v>
      </c>
      <c r="M47" s="35">
        <f>M39-Assumptions!E203</f>
        <v>189.33648409883421</v>
      </c>
      <c r="N47" s="35">
        <f>N39-Assumptions!E203</f>
        <v>202.75143642028434</v>
      </c>
      <c r="O47" s="35">
        <f>O39-Assumptions!E203</f>
        <v>216.23905306680899</v>
      </c>
      <c r="P47" s="35">
        <f>P39-Assumptions!E203</f>
        <v>211.15502086991836</v>
      </c>
      <c r="Q47" s="35">
        <f>Q39-Assumptions!F203</f>
        <v>191.75482359887854</v>
      </c>
      <c r="R47" s="35">
        <f>R39-Assumptions!F203</f>
        <v>235.24954192595396</v>
      </c>
      <c r="S47" s="35">
        <f>S39-Assumptions!F203</f>
        <v>206.63365664396764</v>
      </c>
      <c r="T47" s="35">
        <f>T39-Assumptions!F203</f>
        <v>216.20896865003726</v>
      </c>
      <c r="U47" s="35">
        <f>U39-Assumptions!F203</f>
        <v>225.8361469294731</v>
      </c>
      <c r="V47" s="35">
        <f>V39-Assumptions!F203</f>
        <v>134.77822271286959</v>
      </c>
      <c r="W47" s="35">
        <f>W39-Assumptions!F203</f>
        <v>143.96431778514574</v>
      </c>
      <c r="X47" s="35">
        <f>X39-Assumptions!F203</f>
        <v>153.20017087239674</v>
      </c>
      <c r="Y47" s="35">
        <f>Y39-Assumptions!F203</f>
        <v>162.48605149720368</v>
      </c>
      <c r="Z47" s="35">
        <f>Z39-Assumptions!F203</f>
        <v>171.82223064206164</v>
      </c>
      <c r="AA47" s="35">
        <f>AA39-Assumptions!F203</f>
        <v>181.20898075728761</v>
      </c>
      <c r="AB47" s="35">
        <f>AB39-Assumptions!F203</f>
        <v>179.56386900205374</v>
      </c>
      <c r="AC47" s="35">
        <f>AC39-Assumptions!G203</f>
        <v>143.36763632506296</v>
      </c>
      <c r="AD47" s="35">
        <f>AD39-Assumptions!G203</f>
        <v>199.97534072107183</v>
      </c>
      <c r="AE47" s="35">
        <f>AE39-Assumptions!G203</f>
        <v>182.13002018255909</v>
      </c>
      <c r="AF47" s="35">
        <f>AF39-Assumptions!G203</f>
        <v>192.94768749112941</v>
      </c>
      <c r="AG47" s="35">
        <f>AG39-Assumptions!G203</f>
        <v>203.82395049762115</v>
      </c>
      <c r="AH47" s="35">
        <f>AH39-Assumptions!G203</f>
        <v>208.37965879446668</v>
      </c>
      <c r="AI47" s="35">
        <f>AI39-Assumptions!G203</f>
        <v>219.33951164551814</v>
      </c>
      <c r="AJ47" s="35">
        <f>AJ39-Assumptions!G203</f>
        <v>230.35873036617949</v>
      </c>
      <c r="AK47" s="35">
        <f>AK39-Assumptions!G203</f>
        <v>241.46763652157773</v>
      </c>
      <c r="AL47" s="35">
        <f>AL39-Assumptions!G203</f>
        <v>252.70671591865107</v>
      </c>
      <c r="AM47" s="35">
        <f>AM39-Assumptions!G203</f>
        <v>264.00667366245852</v>
      </c>
      <c r="AN47" s="35">
        <f>AN39-Assumptions!G203</f>
        <v>264.28513274379435</v>
      </c>
      <c r="AO47" s="35">
        <f>AO39-Assumptions!H203</f>
        <v>216.81273774540469</v>
      </c>
      <c r="AP47" s="35">
        <f>AP39-Assumptions!H203</f>
        <v>278.0832006074404</v>
      </c>
      <c r="AQ47" s="35">
        <f>AQ39-Assumptions!H203</f>
        <v>260.92589514331218</v>
      </c>
      <c r="AR47" s="35">
        <f>AR39-Assumptions!H203</f>
        <v>272.43530427458654</v>
      </c>
      <c r="AS47" s="35">
        <f>AS39-Assumptions!H203</f>
        <v>284.00705603865538</v>
      </c>
      <c r="AT47" s="35">
        <f>AT39-Assumptions!H203</f>
        <v>264.04521080394784</v>
      </c>
      <c r="AU47" s="35">
        <f>AU39-Assumptions!H203</f>
        <v>275.57151622838398</v>
      </c>
      <c r="AV47" s="35">
        <f>AV39-Assumptions!H203</f>
        <v>287.16025580720253</v>
      </c>
      <c r="AW47" s="35">
        <f>AW39-Assumptions!H203</f>
        <v>298.8117677254063</v>
      </c>
      <c r="AX47" s="35">
        <f>AX39-Assumptions!H203</f>
        <v>310.52639199983372</v>
      </c>
      <c r="AY47" s="35">
        <f>AY39-Assumptions!H203</f>
        <v>322.30447048908093</v>
      </c>
      <c r="AZ47" s="35">
        <f>AZ39-Assumptions!H203</f>
        <v>323.06364013656093</v>
      </c>
      <c r="BA47" s="35">
        <f>BA39-Assumptions!I203</f>
        <v>269.69047437821541</v>
      </c>
      <c r="BB47" s="35">
        <f>BB39-Assumptions!I203</f>
        <v>331.02820397201219</v>
      </c>
      <c r="BC47" s="35">
        <f>BC39-Assumptions!I203</f>
        <v>323.5250796011087</v>
      </c>
      <c r="BD47" s="35">
        <f>BD39-Assumptions!I203</f>
        <v>335.15441330652948</v>
      </c>
      <c r="BE47" s="35">
        <f>BE39-Assumptions!I203</f>
        <v>346.84673923618794</v>
      </c>
      <c r="BF47" s="35">
        <f>BF39-Assumptions!I203</f>
        <v>325.980442749438</v>
      </c>
      <c r="BG47" s="35">
        <f>BG39-Assumptions!I203</f>
        <v>337.62307633857887</v>
      </c>
      <c r="BH47" s="35">
        <f>BH39-Assumptions!I203</f>
        <v>349.25498195681001</v>
      </c>
      <c r="BI47" s="35">
        <f>BI39-Assumptions!I203</f>
        <v>360.5859265586995</v>
      </c>
      <c r="BJ47" s="35">
        <f>BJ39-Assumptions!I203</f>
        <v>371.96300152831697</v>
      </c>
      <c r="BK47" s="35">
        <f>BK39-Assumptions!I203</f>
        <v>383.38639467119657</v>
      </c>
      <c r="BL47" s="35">
        <f>BL39-Assumptions!I203</f>
        <v>383.77358779054856</v>
      </c>
      <c r="BM47" s="32"/>
      <c r="BN47" s="32"/>
    </row>
    <row r="48" spans="1:66" ht="20" customHeight="1">
      <c r="A48" s="30"/>
      <c r="B48" s="30"/>
      <c r="C48" s="31" t="s">
        <v>317</v>
      </c>
      <c r="D48" s="31"/>
      <c r="E48" s="35">
        <f>550*0.0536/Assumptions!E208/12</f>
        <v>1.8471177944862154</v>
      </c>
      <c r="F48" s="35">
        <f>550*0.0536/Assumptions!E208/12</f>
        <v>1.8471177944862154</v>
      </c>
      <c r="G48" s="35">
        <f>550*0.0536/Assumptions!E208/12</f>
        <v>1.8471177944862154</v>
      </c>
      <c r="H48" s="35">
        <f>550*0.0536/Assumptions!E208/12</f>
        <v>1.8471177944862154</v>
      </c>
      <c r="I48" s="35">
        <f>550*0.0536/Assumptions!E208/12</f>
        <v>1.8471177944862154</v>
      </c>
      <c r="J48" s="35">
        <f>550*0.0536/Assumptions!E208/12</f>
        <v>1.8471177944862154</v>
      </c>
      <c r="K48" s="35">
        <f>550*0.0536/Assumptions!E208/12</f>
        <v>1.8471177944862154</v>
      </c>
      <c r="L48" s="35">
        <f>550*0.0536/Assumptions!E208/12</f>
        <v>1.8471177944862154</v>
      </c>
      <c r="M48" s="35">
        <f>550*0.0536/Assumptions!E208/12</f>
        <v>1.8471177944862154</v>
      </c>
      <c r="N48" s="35">
        <f>550*0.0536/Assumptions!E208/12</f>
        <v>1.8471177944862154</v>
      </c>
      <c r="O48" s="35">
        <f>550*0.0536/Assumptions!E208/12</f>
        <v>1.8471177944862154</v>
      </c>
      <c r="P48" s="35">
        <f>550*0.0536/Assumptions!E208/12</f>
        <v>1.8471177944862154</v>
      </c>
      <c r="Q48" s="35">
        <f>550*0.0536/Assumptions!F208/12</f>
        <v>1.8471177944862154</v>
      </c>
      <c r="R48" s="35">
        <f>550*0.0536/Assumptions!F208/12</f>
        <v>1.8471177944862154</v>
      </c>
      <c r="S48" s="35">
        <f>550*0.0536/Assumptions!F208/12</f>
        <v>1.8471177944862154</v>
      </c>
      <c r="T48" s="35">
        <f>550*0.0536/Assumptions!F208/12</f>
        <v>1.8471177944862154</v>
      </c>
      <c r="U48" s="35">
        <f>550*0.0536/Assumptions!F208/12</f>
        <v>1.8471177944862154</v>
      </c>
      <c r="V48" s="35">
        <f>550*0.0536/Assumptions!F208/12</f>
        <v>1.8471177944862154</v>
      </c>
      <c r="W48" s="35">
        <f>550*0.0536/Assumptions!F208/12</f>
        <v>1.8471177944862154</v>
      </c>
      <c r="X48" s="35">
        <f>550*0.0536/Assumptions!F208/12</f>
        <v>1.8471177944862154</v>
      </c>
      <c r="Y48" s="35">
        <f>550*0.0536/Assumptions!F208/12</f>
        <v>1.8471177944862154</v>
      </c>
      <c r="Z48" s="35">
        <f>550*0.0536/Assumptions!F208/12</f>
        <v>1.8471177944862154</v>
      </c>
      <c r="AA48" s="35">
        <f>550*0.0536/Assumptions!F208/12</f>
        <v>1.8471177944862154</v>
      </c>
      <c r="AB48" s="35">
        <f>550*0.0536/Assumptions!F208/12</f>
        <v>1.8471177944862154</v>
      </c>
      <c r="AC48" s="35">
        <f>550*0.0536/Assumptions!G208/12</f>
        <v>1.8471177944862154</v>
      </c>
      <c r="AD48" s="35">
        <f>550*0.0536/Assumptions!G208/12</f>
        <v>1.8471177944862154</v>
      </c>
      <c r="AE48" s="35">
        <f>550*0.0536/Assumptions!G208/12</f>
        <v>1.8471177944862154</v>
      </c>
      <c r="AF48" s="35">
        <f>550*0.0536/Assumptions!G208/12</f>
        <v>1.8471177944862154</v>
      </c>
      <c r="AG48" s="35">
        <f>550*0.0536/Assumptions!G208/12</f>
        <v>1.8471177944862154</v>
      </c>
      <c r="AH48" s="35">
        <f>550*0.0536/Assumptions!G208/12</f>
        <v>1.8471177944862154</v>
      </c>
      <c r="AI48" s="35">
        <f>550*0.0536/Assumptions!G208/12</f>
        <v>1.8471177944862154</v>
      </c>
      <c r="AJ48" s="35">
        <f>550*0.0536/Assumptions!G208/12</f>
        <v>1.8471177944862154</v>
      </c>
      <c r="AK48" s="35">
        <f>550*0.0536/Assumptions!G208/12</f>
        <v>1.8471177944862154</v>
      </c>
      <c r="AL48" s="35">
        <f>550*0.0536/Assumptions!G208/12</f>
        <v>1.8471177944862154</v>
      </c>
      <c r="AM48" s="35">
        <f>550*0.0536/Assumptions!G208/12</f>
        <v>1.8471177944862154</v>
      </c>
      <c r="AN48" s="35">
        <f>550*0.0536/Assumptions!G208/12</f>
        <v>1.8471177944862154</v>
      </c>
      <c r="AO48" s="35">
        <f>550*0.0536/Assumptions!H208/12</f>
        <v>1.8471177944862154</v>
      </c>
      <c r="AP48" s="35">
        <f>550*0.0536/Assumptions!H208/12</f>
        <v>1.8471177944862154</v>
      </c>
      <c r="AQ48" s="35">
        <f>550*0.0536/Assumptions!H208/12</f>
        <v>1.8471177944862154</v>
      </c>
      <c r="AR48" s="35">
        <f>550*0.0536/Assumptions!H208/12</f>
        <v>1.8471177944862154</v>
      </c>
      <c r="AS48" s="35">
        <f>550*0.0536/Assumptions!H208/12</f>
        <v>1.8471177944862154</v>
      </c>
      <c r="AT48" s="35">
        <f>550*0.0536/Assumptions!H208/12</f>
        <v>1.8471177944862154</v>
      </c>
      <c r="AU48" s="35">
        <f>550*0.0536/Assumptions!H208/12</f>
        <v>1.8471177944862154</v>
      </c>
      <c r="AV48" s="35">
        <f>550*0.0536/Assumptions!H208/12</f>
        <v>1.8471177944862154</v>
      </c>
      <c r="AW48" s="35">
        <f>550*0.0536/Assumptions!H208/12</f>
        <v>1.8471177944862154</v>
      </c>
      <c r="AX48" s="35">
        <f>550*0.0536/Assumptions!H208/12</f>
        <v>1.8471177944862154</v>
      </c>
      <c r="AY48" s="35">
        <f>550*0.0536/Assumptions!H208/12</f>
        <v>1.8471177944862154</v>
      </c>
      <c r="AZ48" s="35">
        <f>550*0.0536/Assumptions!H208/12</f>
        <v>1.8471177944862154</v>
      </c>
      <c r="BA48" s="35">
        <f>550*0.0536/Assumptions!I208/12</f>
        <v>1.8471177944862154</v>
      </c>
      <c r="BB48" s="35">
        <f>550*0.0536/Assumptions!I208/12</f>
        <v>1.8471177944862154</v>
      </c>
      <c r="BC48" s="35">
        <f>550*0.0536/Assumptions!I208/12</f>
        <v>1.8471177944862154</v>
      </c>
      <c r="BD48" s="35">
        <f>550*0.0536/Assumptions!I208/12</f>
        <v>1.8471177944862154</v>
      </c>
      <c r="BE48" s="35">
        <f>550*0.0536/Assumptions!I208/12</f>
        <v>1.8471177944862154</v>
      </c>
      <c r="BF48" s="35">
        <f>550*0.0536/Assumptions!I208/12</f>
        <v>1.8471177944862154</v>
      </c>
      <c r="BG48" s="35">
        <f>550*0.0536/Assumptions!I208/12</f>
        <v>1.8471177944862154</v>
      </c>
      <c r="BH48" s="35">
        <f>550*0.0536/Assumptions!I208/12</f>
        <v>1.8471177944862154</v>
      </c>
      <c r="BI48" s="35">
        <f>550*0.0536/Assumptions!I208/12</f>
        <v>1.8471177944862154</v>
      </c>
      <c r="BJ48" s="35">
        <f>550*0.0536/Assumptions!I208/12</f>
        <v>1.8471177944862154</v>
      </c>
      <c r="BK48" s="35">
        <f>550*0.0536/Assumptions!I208/12</f>
        <v>1.8471177944862154</v>
      </c>
      <c r="BL48" s="35">
        <f>550*0.0536/Assumptions!I208/12</f>
        <v>1.8471177944862154</v>
      </c>
      <c r="BM48" s="32"/>
      <c r="BN48" s="32"/>
    </row>
    <row r="49" spans="1:66" ht="20" customHeight="1">
      <c r="A49" s="30"/>
      <c r="B49" s="30"/>
      <c r="C49" s="31" t="s">
        <v>318</v>
      </c>
      <c r="D49" s="31"/>
      <c r="E49" s="46">
        <f>0</f>
        <v>0</v>
      </c>
      <c r="F49" s="46">
        <f>0</f>
        <v>0</v>
      </c>
      <c r="G49" s="46">
        <f>0</f>
        <v>0</v>
      </c>
      <c r="H49" s="46">
        <f>0</f>
        <v>0</v>
      </c>
      <c r="I49" s="46">
        <f>0</f>
        <v>0</v>
      </c>
      <c r="J49" s="35">
        <f>550*0.0536/Assumptions!E208/2</f>
        <v>11.082706766917292</v>
      </c>
      <c r="K49" s="46">
        <f>0</f>
        <v>0</v>
      </c>
      <c r="L49" s="46">
        <f>0</f>
        <v>0</v>
      </c>
      <c r="M49" s="46">
        <f>0</f>
        <v>0</v>
      </c>
      <c r="N49" s="46">
        <f>0</f>
        <v>0</v>
      </c>
      <c r="O49" s="46">
        <f>0</f>
        <v>0</v>
      </c>
      <c r="P49" s="35">
        <f>550*0.0536/Assumptions!E208/2</f>
        <v>11.082706766917292</v>
      </c>
      <c r="Q49" s="46">
        <f>0</f>
        <v>0</v>
      </c>
      <c r="R49" s="46">
        <f>0</f>
        <v>0</v>
      </c>
      <c r="S49" s="46">
        <f>0</f>
        <v>0</v>
      </c>
      <c r="T49" s="46">
        <f>0</f>
        <v>0</v>
      </c>
      <c r="U49" s="46">
        <f>0</f>
        <v>0</v>
      </c>
      <c r="V49" s="35">
        <f>550*0.0536/Assumptions!F208/2</f>
        <v>11.082706766917292</v>
      </c>
      <c r="W49" s="46">
        <f>0</f>
        <v>0</v>
      </c>
      <c r="X49" s="46">
        <f>0</f>
        <v>0</v>
      </c>
      <c r="Y49" s="46">
        <f>0</f>
        <v>0</v>
      </c>
      <c r="Z49" s="46">
        <f>0</f>
        <v>0</v>
      </c>
      <c r="AA49" s="46">
        <f>0</f>
        <v>0</v>
      </c>
      <c r="AB49" s="35">
        <f>550*0.0536/Assumptions!F208/2</f>
        <v>11.082706766917292</v>
      </c>
      <c r="AC49" s="46">
        <f>0</f>
        <v>0</v>
      </c>
      <c r="AD49" s="46">
        <f>0</f>
        <v>0</v>
      </c>
      <c r="AE49" s="46">
        <f>0</f>
        <v>0</v>
      </c>
      <c r="AF49" s="46">
        <f>0</f>
        <v>0</v>
      </c>
      <c r="AG49" s="46">
        <f>0</f>
        <v>0</v>
      </c>
      <c r="AH49" s="35">
        <f>550*0.0536/Assumptions!G208/2</f>
        <v>11.082706766917292</v>
      </c>
      <c r="AI49" s="46">
        <f>0</f>
        <v>0</v>
      </c>
      <c r="AJ49" s="46">
        <f>0</f>
        <v>0</v>
      </c>
      <c r="AK49" s="46">
        <f>0</f>
        <v>0</v>
      </c>
      <c r="AL49" s="46">
        <f>0</f>
        <v>0</v>
      </c>
      <c r="AM49" s="46">
        <f>0</f>
        <v>0</v>
      </c>
      <c r="AN49" s="35">
        <f>550*0.0536/Assumptions!G208/2</f>
        <v>11.082706766917292</v>
      </c>
      <c r="AO49" s="46">
        <f>0</f>
        <v>0</v>
      </c>
      <c r="AP49" s="46">
        <f>0</f>
        <v>0</v>
      </c>
      <c r="AQ49" s="46">
        <f>0</f>
        <v>0</v>
      </c>
      <c r="AR49" s="46">
        <f>0</f>
        <v>0</v>
      </c>
      <c r="AS49" s="46">
        <f>0</f>
        <v>0</v>
      </c>
      <c r="AT49" s="35">
        <f>550*0.0536/Assumptions!H208/2</f>
        <v>11.082706766917292</v>
      </c>
      <c r="AU49" s="46">
        <f>0</f>
        <v>0</v>
      </c>
      <c r="AV49" s="46">
        <f>0</f>
        <v>0</v>
      </c>
      <c r="AW49" s="46">
        <f>0</f>
        <v>0</v>
      </c>
      <c r="AX49" s="46">
        <f>0</f>
        <v>0</v>
      </c>
      <c r="AY49" s="46">
        <f>0</f>
        <v>0</v>
      </c>
      <c r="AZ49" s="35">
        <f>550*0.0536/Assumptions!H208/2</f>
        <v>11.082706766917292</v>
      </c>
      <c r="BA49" s="46">
        <f>0</f>
        <v>0</v>
      </c>
      <c r="BB49" s="46">
        <f>0</f>
        <v>0</v>
      </c>
      <c r="BC49" s="46">
        <f>0</f>
        <v>0</v>
      </c>
      <c r="BD49" s="46">
        <f>0</f>
        <v>0</v>
      </c>
      <c r="BE49" s="46">
        <f>0</f>
        <v>0</v>
      </c>
      <c r="BF49" s="35">
        <f>550*0.0536/Assumptions!I208/2</f>
        <v>11.082706766917292</v>
      </c>
      <c r="BG49" s="46">
        <f>0</f>
        <v>0</v>
      </c>
      <c r="BH49" s="46">
        <f>0</f>
        <v>0</v>
      </c>
      <c r="BI49" s="46">
        <f>0</f>
        <v>0</v>
      </c>
      <c r="BJ49" s="46">
        <f>0</f>
        <v>0</v>
      </c>
      <c r="BK49" s="46">
        <f>0</f>
        <v>0</v>
      </c>
      <c r="BL49" s="35">
        <f>550*0.0536/Assumptions!I208/2</f>
        <v>11.082706766917292</v>
      </c>
      <c r="BM49" s="32"/>
      <c r="BN49" s="32"/>
    </row>
    <row r="50" spans="1:66" ht="20" customHeight="1">
      <c r="A50" s="30"/>
      <c r="B50" s="30"/>
      <c r="C50" s="31" t="s">
        <v>319</v>
      </c>
      <c r="D50" s="31"/>
      <c r="E50" s="46">
        <f>0+E48-E49</f>
        <v>1.8471177944862154</v>
      </c>
      <c r="F50" s="46">
        <f t="shared" ref="F50:AK50" si="32">E50+F48-F49</f>
        <v>3.6942355889724308</v>
      </c>
      <c r="G50" s="46">
        <f t="shared" si="32"/>
        <v>5.5413533834586461</v>
      </c>
      <c r="H50" s="46">
        <f t="shared" si="32"/>
        <v>7.3884711779448615</v>
      </c>
      <c r="I50" s="46">
        <f t="shared" si="32"/>
        <v>9.2355889724310778</v>
      </c>
      <c r="J50" s="46">
        <f t="shared" si="32"/>
        <v>0</v>
      </c>
      <c r="K50" s="46">
        <f t="shared" si="32"/>
        <v>1.8471177944862154</v>
      </c>
      <c r="L50" s="46">
        <f t="shared" si="32"/>
        <v>3.6942355889724308</v>
      </c>
      <c r="M50" s="46">
        <f t="shared" si="32"/>
        <v>5.5413533834586461</v>
      </c>
      <c r="N50" s="46">
        <f t="shared" si="32"/>
        <v>7.3884711779448615</v>
      </c>
      <c r="O50" s="46">
        <f t="shared" si="32"/>
        <v>9.2355889724310778</v>
      </c>
      <c r="P50" s="46">
        <f t="shared" si="32"/>
        <v>0</v>
      </c>
      <c r="Q50" s="46">
        <f t="shared" si="32"/>
        <v>1.8471177944862154</v>
      </c>
      <c r="R50" s="46">
        <f t="shared" si="32"/>
        <v>3.6942355889724308</v>
      </c>
      <c r="S50" s="46">
        <f t="shared" si="32"/>
        <v>5.5413533834586461</v>
      </c>
      <c r="T50" s="46">
        <f t="shared" si="32"/>
        <v>7.3884711779448615</v>
      </c>
      <c r="U50" s="46">
        <f t="shared" si="32"/>
        <v>9.2355889724310778</v>
      </c>
      <c r="V50" s="46">
        <f t="shared" si="32"/>
        <v>0</v>
      </c>
      <c r="W50" s="46">
        <f t="shared" si="32"/>
        <v>1.8471177944862154</v>
      </c>
      <c r="X50" s="46">
        <f t="shared" si="32"/>
        <v>3.6942355889724308</v>
      </c>
      <c r="Y50" s="46">
        <f t="shared" si="32"/>
        <v>5.5413533834586461</v>
      </c>
      <c r="Z50" s="46">
        <f t="shared" si="32"/>
        <v>7.3884711779448615</v>
      </c>
      <c r="AA50" s="46">
        <f t="shared" si="32"/>
        <v>9.2355889724310778</v>
      </c>
      <c r="AB50" s="46">
        <f t="shared" si="32"/>
        <v>0</v>
      </c>
      <c r="AC50" s="46">
        <f t="shared" si="32"/>
        <v>1.8471177944862154</v>
      </c>
      <c r="AD50" s="46">
        <f t="shared" si="32"/>
        <v>3.6942355889724308</v>
      </c>
      <c r="AE50" s="46">
        <f t="shared" si="32"/>
        <v>5.5413533834586461</v>
      </c>
      <c r="AF50" s="46">
        <f t="shared" si="32"/>
        <v>7.3884711779448615</v>
      </c>
      <c r="AG50" s="46">
        <f t="shared" si="32"/>
        <v>9.2355889724310778</v>
      </c>
      <c r="AH50" s="46">
        <f t="shared" si="32"/>
        <v>0</v>
      </c>
      <c r="AI50" s="46">
        <f t="shared" si="32"/>
        <v>1.8471177944862154</v>
      </c>
      <c r="AJ50" s="46">
        <f t="shared" si="32"/>
        <v>3.6942355889724308</v>
      </c>
      <c r="AK50" s="46">
        <f t="shared" si="32"/>
        <v>5.5413533834586461</v>
      </c>
      <c r="AL50" s="46">
        <f t="shared" ref="AL50:BQ50" si="33">AK50+AL48-AL49</f>
        <v>7.3884711779448615</v>
      </c>
      <c r="AM50" s="46">
        <f t="shared" si="33"/>
        <v>9.2355889724310778</v>
      </c>
      <c r="AN50" s="46">
        <f t="shared" si="33"/>
        <v>0</v>
      </c>
      <c r="AO50" s="46">
        <f t="shared" si="33"/>
        <v>1.8471177944862154</v>
      </c>
      <c r="AP50" s="46">
        <f t="shared" si="33"/>
        <v>3.6942355889724308</v>
      </c>
      <c r="AQ50" s="46">
        <f t="shared" si="33"/>
        <v>5.5413533834586461</v>
      </c>
      <c r="AR50" s="46">
        <f t="shared" si="33"/>
        <v>7.3884711779448615</v>
      </c>
      <c r="AS50" s="46">
        <f t="shared" si="33"/>
        <v>9.2355889724310778</v>
      </c>
      <c r="AT50" s="46">
        <f t="shared" si="33"/>
        <v>0</v>
      </c>
      <c r="AU50" s="46">
        <f t="shared" si="33"/>
        <v>1.8471177944862154</v>
      </c>
      <c r="AV50" s="46">
        <f t="shared" si="33"/>
        <v>3.6942355889724308</v>
      </c>
      <c r="AW50" s="46">
        <f t="shared" si="33"/>
        <v>5.5413533834586461</v>
      </c>
      <c r="AX50" s="46">
        <f t="shared" si="33"/>
        <v>7.3884711779448615</v>
      </c>
      <c r="AY50" s="46">
        <f t="shared" si="33"/>
        <v>9.2355889724310778</v>
      </c>
      <c r="AZ50" s="46">
        <f t="shared" si="33"/>
        <v>0</v>
      </c>
      <c r="BA50" s="46">
        <f t="shared" si="33"/>
        <v>1.8471177944862154</v>
      </c>
      <c r="BB50" s="46">
        <f t="shared" si="33"/>
        <v>3.6942355889724308</v>
      </c>
      <c r="BC50" s="46">
        <f t="shared" si="33"/>
        <v>5.5413533834586461</v>
      </c>
      <c r="BD50" s="46">
        <f t="shared" si="33"/>
        <v>7.3884711779448615</v>
      </c>
      <c r="BE50" s="46">
        <f t="shared" si="33"/>
        <v>9.2355889724310778</v>
      </c>
      <c r="BF50" s="46">
        <f t="shared" si="33"/>
        <v>0</v>
      </c>
      <c r="BG50" s="46">
        <f t="shared" si="33"/>
        <v>1.8471177944862154</v>
      </c>
      <c r="BH50" s="46">
        <f t="shared" si="33"/>
        <v>3.6942355889724308</v>
      </c>
      <c r="BI50" s="46">
        <f t="shared" si="33"/>
        <v>5.5413533834586461</v>
      </c>
      <c r="BJ50" s="46">
        <f t="shared" si="33"/>
        <v>7.3884711779448615</v>
      </c>
      <c r="BK50" s="46">
        <f t="shared" si="33"/>
        <v>9.2355889724310778</v>
      </c>
      <c r="BL50" s="46">
        <f t="shared" si="33"/>
        <v>0</v>
      </c>
      <c r="BM50" s="32"/>
      <c r="BN50" s="32"/>
    </row>
    <row r="51" spans="1:66" ht="20" customHeight="1">
      <c r="A51" s="30"/>
      <c r="B51" s="30"/>
      <c r="C51" s="31" t="s">
        <v>320</v>
      </c>
      <c r="D51" s="31"/>
      <c r="E51" s="32">
        <v>100</v>
      </c>
      <c r="F51" s="32">
        <v>20</v>
      </c>
      <c r="G51" s="32">
        <v>-30</v>
      </c>
      <c r="H51" s="32">
        <v>0</v>
      </c>
      <c r="I51" s="32">
        <v>0</v>
      </c>
      <c r="J51" s="32">
        <v>0</v>
      </c>
      <c r="K51" s="32">
        <v>0</v>
      </c>
      <c r="L51" s="32">
        <v>0</v>
      </c>
      <c r="M51" s="32">
        <v>0</v>
      </c>
      <c r="N51" s="32">
        <v>0</v>
      </c>
      <c r="O51" s="32">
        <v>0</v>
      </c>
      <c r="P51" s="32">
        <v>0</v>
      </c>
      <c r="Q51" s="32">
        <v>0</v>
      </c>
      <c r="R51" s="32">
        <v>0</v>
      </c>
      <c r="S51" s="32">
        <v>0</v>
      </c>
      <c r="T51" s="32">
        <v>0</v>
      </c>
      <c r="U51" s="32">
        <v>0</v>
      </c>
      <c r="V51" s="32">
        <v>0</v>
      </c>
      <c r="W51" s="32">
        <v>0</v>
      </c>
      <c r="X51" s="32">
        <v>0</v>
      </c>
      <c r="Y51" s="32">
        <v>0</v>
      </c>
      <c r="Z51" s="32">
        <v>0</v>
      </c>
      <c r="AA51" s="32">
        <v>0</v>
      </c>
      <c r="AB51" s="32">
        <v>0</v>
      </c>
      <c r="AC51" s="32">
        <v>0</v>
      </c>
      <c r="AD51" s="32">
        <v>0</v>
      </c>
      <c r="AE51" s="32">
        <v>0</v>
      </c>
      <c r="AF51" s="32">
        <v>0</v>
      </c>
      <c r="AG51" s="32">
        <v>0</v>
      </c>
      <c r="AH51" s="32">
        <v>0</v>
      </c>
      <c r="AI51" s="32">
        <v>0</v>
      </c>
      <c r="AJ51" s="32">
        <v>0</v>
      </c>
      <c r="AK51" s="32">
        <v>0</v>
      </c>
      <c r="AL51" s="32">
        <v>0</v>
      </c>
      <c r="AM51" s="32">
        <v>0</v>
      </c>
      <c r="AN51" s="32">
        <v>0</v>
      </c>
      <c r="AO51" s="32">
        <v>0</v>
      </c>
      <c r="AP51" s="32">
        <v>0</v>
      </c>
      <c r="AQ51" s="32">
        <v>0</v>
      </c>
      <c r="AR51" s="32">
        <v>0</v>
      </c>
      <c r="AS51" s="32">
        <v>0</v>
      </c>
      <c r="AT51" s="32">
        <v>0</v>
      </c>
      <c r="AU51" s="32">
        <v>0</v>
      </c>
      <c r="AV51" s="32">
        <v>0</v>
      </c>
      <c r="AW51" s="32">
        <v>0</v>
      </c>
      <c r="AX51" s="32">
        <v>0</v>
      </c>
      <c r="AY51" s="32">
        <v>0</v>
      </c>
      <c r="AZ51" s="32">
        <v>0</v>
      </c>
      <c r="BA51" s="32">
        <v>0</v>
      </c>
      <c r="BB51" s="32">
        <v>0</v>
      </c>
      <c r="BC51" s="32">
        <v>0</v>
      </c>
      <c r="BD51" s="32">
        <v>0</v>
      </c>
      <c r="BE51" s="32">
        <v>0</v>
      </c>
      <c r="BF51" s="32">
        <v>0</v>
      </c>
      <c r="BG51" s="32">
        <v>0</v>
      </c>
      <c r="BH51" s="32">
        <v>0</v>
      </c>
      <c r="BI51" s="32">
        <v>0</v>
      </c>
      <c r="BJ51" s="32">
        <v>0</v>
      </c>
      <c r="BK51" s="32">
        <v>0</v>
      </c>
      <c r="BL51" s="32">
        <v>0</v>
      </c>
      <c r="BM51" s="32"/>
      <c r="BN51" s="32"/>
    </row>
    <row r="52" spans="1:66" ht="20" customHeight="1">
      <c r="A52" s="30"/>
      <c r="B52" s="30"/>
      <c r="C52" s="31" t="s">
        <v>188</v>
      </c>
      <c r="D52" s="31"/>
      <c r="E52" s="35">
        <f>'Revenue costs'!E22-'Revenue costs'!E24-'Revenue costs'!E25-Registrations!E89+Transfers!E25-E22-E48+E49-E23-E19-Transfers!E31+Transfers!E35+E57</f>
        <v>-0.60002694490874031</v>
      </c>
      <c r="F52" s="35">
        <f>'Revenue costs'!F22-'Revenue costs'!F24-'Revenue costs'!F25-Registrations!F89+Transfers!F25-F22-F48+F49-F23-F19-Transfers!F31+Transfers!F35+F57</f>
        <v>17.943499753816472</v>
      </c>
      <c r="G52" s="35">
        <f>'Revenue costs'!G22-'Revenue costs'!G24-'Revenue costs'!G25-Registrations!G89+Transfers!G25-G22-G48+G49-G23-G19-Transfers!G31+Transfers!G35+G57</f>
        <v>15.148302676987306</v>
      </c>
      <c r="H52" s="35">
        <f>'Revenue costs'!H22-'Revenue costs'!H24-'Revenue costs'!H25-Registrations!H89+Transfers!H25-H22-H48+H49-H23-H19-Transfers!H31+Transfers!H35+H57</f>
        <v>-5.4189379057061675</v>
      </c>
      <c r="I52" s="35">
        <f>'Revenue costs'!I22-'Revenue costs'!I24-'Revenue costs'!I25-Registrations!I89+Transfers!I25-I22-I48+I49-I23-I19-Transfers!I31+Transfers!I35+I57</f>
        <v>-4.6931684125577462</v>
      </c>
      <c r="J52" s="35">
        <f>'Revenue costs'!J22-'Revenue costs'!J24-'Revenue costs'!J25-Registrations!J89+Transfers!J25-J22-J48+J49-J23-J19-Transfers!J31+Transfers!J35+J57</f>
        <v>-4.6228907696905859</v>
      </c>
      <c r="K52" s="35">
        <f>'Revenue costs'!K22-'Revenue costs'!K24-'Revenue costs'!K25-Registrations!K89+Transfers!K25-K22-K48+K49-K23-K19-Transfers!K31+Transfers!K35+K57</f>
        <v>-4.9615750712690687</v>
      </c>
      <c r="L52" s="35">
        <f>'Revenue costs'!L22-'Revenue costs'!L24-'Revenue costs'!L25-Registrations!L89+Transfers!L25-L22-L48+L49-L23-L19-Transfers!L31+Transfers!L35+L57</f>
        <v>-4.9204489685060802</v>
      </c>
      <c r="M52" s="35">
        <f>'Revenue costs'!M22-'Revenue costs'!M24-'Revenue costs'!M25-Registrations!M89+Transfers!M25-M22-M48+M49-M23-M19-Transfers!M31+Transfers!M35+M57</f>
        <v>-4.8520121574968282</v>
      </c>
      <c r="N52" s="35">
        <f>'Revenue costs'!N22-'Revenue costs'!N24-'Revenue costs'!N25-Registrations!N89+Transfers!N25-N22-N48+N49-N23-N19-Transfers!N31+Transfers!N35+N57</f>
        <v>-4.7832000197959541</v>
      </c>
      <c r="O52" s="35">
        <f>'Revenue costs'!O22-'Revenue costs'!O24-'Revenue costs'!O25-Registrations!O89+Transfers!O25-O22-O48+O49-O23-O19-Transfers!O31+Transfers!O35+O57</f>
        <v>-4.7140105035316884</v>
      </c>
      <c r="P52" s="35">
        <f>'Revenue costs'!P22-'Revenue costs'!P24-'Revenue costs'!P25-Registrations!P89+Transfers!P25-P22-P48+P49-P23-P19-Transfers!P31+Transfers!P35+P57</f>
        <v>-4.6444415456411541</v>
      </c>
      <c r="Q52" s="35">
        <f>'Revenue costs'!Q22-'Revenue costs'!Q24-'Revenue costs'!Q25-Registrations!Q89+Transfers!Q25-Q22-Q48+Q49-Q23-Q19-Transfers!Q31+Transfers!Q35+Q57</f>
        <v>-6.3432535295169572</v>
      </c>
      <c r="R52" s="35">
        <f>'Revenue costs'!R22-'Revenue costs'!R24-'Revenue costs'!R25-Registrations!R89+Transfers!R25-R22-R48+R49-R23-R19-Transfers!R31+Transfers!R35+R57</f>
        <v>27.262048351040423</v>
      </c>
      <c r="S52" s="35">
        <f>'Revenue costs'!S22-'Revenue costs'!S24-'Revenue costs'!S25-Registrations!S89+Transfers!S25-S22-S48+S49-S23-S19-Transfers!S31+Transfers!S35+S57</f>
        <v>-5.8628878741036567</v>
      </c>
      <c r="T52" s="35">
        <f>'Revenue costs'!T22-'Revenue costs'!T24-'Revenue costs'!T25-Registrations!T89+Transfers!T25-T22-T48+T49-T23-T19-Transfers!T31+Transfers!T35+T57</f>
        <v>-5.8655247899734428</v>
      </c>
      <c r="U52" s="35">
        <f>'Revenue costs'!U22-'Revenue costs'!U24-'Revenue costs'!U25-Registrations!U89+Transfers!U25-U22-U48+U49-U23-U19-Transfers!U31+Transfers!U35+U57</f>
        <v>-5.8168991288518601</v>
      </c>
      <c r="V52" s="35">
        <f>'Revenue costs'!V22-'Revenue costs'!V24-'Revenue costs'!V25-Registrations!V89+Transfers!V25-V22-V48+V49-V23-V19-Transfers!V31+Transfers!V35+V57</f>
        <v>-5.7680057280716328</v>
      </c>
      <c r="W52" s="35">
        <f>'Revenue costs'!W22-'Revenue costs'!W24-'Revenue costs'!W25-Registrations!W89+Transfers!W25-W22-W48+W49-W23-W19-Transfers!W31+Transfers!W35+W57</f>
        <v>-5.8992395165327443</v>
      </c>
      <c r="X52" s="35">
        <f>'Revenue costs'!X22-'Revenue costs'!X24-'Revenue costs'!X25-Registrations!X89+Transfers!X25-X22-X48+X49-X23-X19-Transfers!X31+Transfers!X35+X57</f>
        <v>-5.8512737538049118</v>
      </c>
      <c r="Y52" s="35">
        <f>'Revenue costs'!Y22-'Revenue costs'!Y24-'Revenue costs'!Y25-Registrations!Y89+Transfers!Y25-Y22-Y48+Y49-Y23-Y19-Transfers!Y31+Transfers!Y35+Y57</f>
        <v>-5.8030457703534726</v>
      </c>
      <c r="Z52" s="35">
        <f>'Revenue costs'!Z22-'Revenue costs'!Z24-'Revenue costs'!Z25-Registrations!Z89+Transfers!Z25-Z22-Z48+Z49-Z23-Z19-Transfers!Z31+Transfers!Z35+Z57</f>
        <v>-5.7545541360131152</v>
      </c>
      <c r="AA52" s="35">
        <f>'Revenue costs'!AA22-'Revenue costs'!AA24-'Revenue costs'!AA25-Registrations!AA89+Transfers!AA25-AA22-AA48+AA49-AA23-AA19-Transfers!AA31+Transfers!AA35+AA57</f>
        <v>-5.7057974128318625</v>
      </c>
      <c r="AB52" s="35">
        <f>'Revenue costs'!AB22-'Revenue costs'!AB24-'Revenue costs'!AB25-Registrations!AB89+Transfers!AB25-AB22-AB48+AB49-AB23-AB19-Transfers!AB31+Transfers!AB35+AB57</f>
        <v>-5.6567741550287298</v>
      </c>
      <c r="AC52" s="35">
        <f>'Revenue costs'!AC22-'Revenue costs'!AC24-'Revenue costs'!AC25-Registrations!AC89+Transfers!AC25-AC22-AC48+AC49-AC23-AC19-Transfers!AC31+Transfers!AC35+AC57</f>
        <v>-3.3953854239643073</v>
      </c>
      <c r="AD52" s="35">
        <f>'Revenue costs'!AD22-'Revenue costs'!AD24-'Revenue costs'!AD25-Registrations!AD89+Transfers!AD25-AD22-AD48+AD49-AD23-AD19-Transfers!AD31+Transfers!AD35+AD57</f>
        <v>30.19395310000823</v>
      </c>
      <c r="AE52" s="35">
        <f>'Revenue costs'!AE22-'Revenue costs'!AE24-'Revenue costs'!AE25-Registrations!AE89+Transfers!AE25-AE22-AE48+AE49-AE23-AE19-Transfers!AE31+Transfers!AE35+AE57</f>
        <v>-2.8551438232399078</v>
      </c>
      <c r="AF52" s="35">
        <f>'Revenue costs'!AF22-'Revenue costs'!AF24-'Revenue costs'!AF25-Registrations!AF89+Transfers!AF25-AF22-AF48+AF49-AF23-AF19-Transfers!AF31+Transfers!AF35+AF57</f>
        <v>-2.8367014982511476</v>
      </c>
      <c r="AG52" s="35">
        <f>'Revenue costs'!AG22-'Revenue costs'!AG24-'Revenue costs'!AG25-Registrations!AG89+Transfers!AG25-AG22-AG48+AG49-AG23-AG19-Transfers!AG31+Transfers!AG35+AG57</f>
        <v>-2.7797027466073825</v>
      </c>
      <c r="AH52" s="35">
        <f>'Revenue costs'!AH22-'Revenue costs'!AH24-'Revenue costs'!AH25-Registrations!AH89+Transfers!AH25-AH22-AH48+AH49-AH23-AH19-Transfers!AH31+Transfers!AH35+AH57</f>
        <v>-2.7223931077566883</v>
      </c>
      <c r="AI52" s="35">
        <f>'Revenue costs'!AI22-'Revenue costs'!AI24-'Revenue costs'!AI25-Registrations!AI89+Transfers!AI25-AI22-AI48+AI49-AI23-AI19-Transfers!AI31+Transfers!AI35+AI57</f>
        <v>-2.7184879173117813</v>
      </c>
      <c r="AJ52" s="35">
        <f>'Revenue costs'!AJ22-'Revenue costs'!AJ24-'Revenue costs'!AJ25-Registrations!AJ89+Transfers!AJ25-AJ22-AJ48+AJ49-AJ23-AJ19-Transfers!AJ31+Transfers!AJ35+AJ57</f>
        <v>-2.6608166587182365</v>
      </c>
      <c r="AK52" s="35">
        <f>'Revenue costs'!AK22-'Revenue costs'!AK24-'Revenue costs'!AK25-Registrations!AK89+Transfers!AK25-AK22-AK48+AK49-AK23-AK19-Transfers!AK31+Transfers!AK35+AK57</f>
        <v>-2.6028307390526826</v>
      </c>
      <c r="AL52" s="35">
        <f>'Revenue costs'!AL22-'Revenue costs'!AL24-'Revenue costs'!AL25-Registrations!AL89+Transfers!AL25-AL22-AL48+AL49-AL23-AL19-Transfers!AL31+Transfers!AL35+AL57</f>
        <v>-2.5443659446319908</v>
      </c>
      <c r="AM52" s="35">
        <f>'Revenue costs'!AM22-'Revenue costs'!AM24-'Revenue costs'!AM25-Registrations!AM89+Transfers!AM25-AM22-AM48+AM49-AM23-AM19-Transfers!AM31+Transfers!AM35+AM57</f>
        <v>-2.4852030055778176</v>
      </c>
      <c r="AN52" s="35">
        <f>'Revenue costs'!AN22-'Revenue costs'!AN24-'Revenue costs'!AN25-Registrations!AN89+Transfers!AN25-AN22-AN48+AN49-AN23-AN19-Transfers!AN31+Transfers!AN35+AN57</f>
        <v>-2.4257172975953969</v>
      </c>
      <c r="AO52" s="35">
        <f>'Revenue costs'!AO22-'Revenue costs'!AO24-'Revenue costs'!AO25-Registrations!AO89+Transfers!AO25-AO22-AO48+AO49-AO23-AO19-Transfers!AO31+Transfers!AO35+AO57</f>
        <v>-0.64120659543838587</v>
      </c>
      <c r="AP52" s="35">
        <f>'Revenue costs'!AP22-'Revenue costs'!AP24-'Revenue costs'!AP25-Registrations!AP89+Transfers!AP25-AP22-AP48+AP49-AP23-AP19-Transfers!AP31+Transfers!AP35+AP57</f>
        <v>32.936042253852044</v>
      </c>
      <c r="AQ52" s="35">
        <f>'Revenue costs'!AQ22-'Revenue costs'!AQ24-'Revenue costs'!AQ25-Registrations!AQ89+Transfers!AQ25-AQ22-AQ48+AQ49-AQ23-AQ19-Transfers!AQ31+Transfers!AQ35+AQ57</f>
        <v>-5.7112287937005651E-2</v>
      </c>
      <c r="AR52" s="35">
        <f>'Revenue costs'!AR22-'Revenue costs'!AR24-'Revenue costs'!AR25-Registrations!AR89+Transfers!AR25-AR22-AR48+AR49-AR23-AR19-Transfers!AR31+Transfers!AR35+AR57</f>
        <v>-3.4708745858939571E-2</v>
      </c>
      <c r="AS52" s="35">
        <f>'Revenue costs'!AS22-'Revenue costs'!AS24-'Revenue costs'!AS25-Registrations!AS89+Transfers!AS25-AS22-AS48+AS49-AS23-AS19-Transfers!AS31+Transfers!AS35+AS57</f>
        <v>2.6272364682319943E-2</v>
      </c>
      <c r="AT52" s="35">
        <f>'Revenue costs'!AT22-'Revenue costs'!AT24-'Revenue costs'!AT25-Registrations!AT89+Transfers!AT25-AT22-AT48+AT49-AT23-AT19-Transfers!AT31+Transfers!AT35+AT57</f>
        <v>8.7585617474354671E-2</v>
      </c>
      <c r="AU52" s="35">
        <f>'Revenue costs'!AU22-'Revenue costs'!AU24-'Revenue costs'!AU25-Registrations!AU89+Transfers!AU25-AU22-AU48+AU49-AU23-AU19-Transfers!AU31+Transfers!AU35+AU57</f>
        <v>6.16611425948701E-2</v>
      </c>
      <c r="AV52" s="35">
        <f>'Revenue costs'!AV22-'Revenue costs'!AV24-'Revenue costs'!AV25-Registrations!AV89+Transfers!AV25-AV22-AV48+AV49-AV23-AV19-Transfers!AV31+Transfers!AV35+AV57</f>
        <v>0.12305755998884244</v>
      </c>
      <c r="AW52" s="35">
        <f>'Revenue costs'!AW22-'Revenue costs'!AW24-'Revenue costs'!AW25-Registrations!AW89+Transfers!AW25-AW22-AW48+AW49-AW23-AW19-Transfers!AW31+Transfers!AW35+AW57</f>
        <v>0.18478793451677128</v>
      </c>
      <c r="AX52" s="35">
        <f>'Revenue costs'!AX22-'Revenue costs'!AX24-'Revenue costs'!AX25-Registrations!AX89+Transfers!AX25-AX22-AX48+AX49-AX23-AX19-Transfers!AX31+Transfers!AX35+AX57</f>
        <v>0.24685408078923007</v>
      </c>
      <c r="AY52" s="35">
        <f>'Revenue costs'!AY22-'Revenue costs'!AY24-'Revenue costs'!AY25-Registrations!AY89+Transfers!AY25-AY22-AY48+AY49-AY23-AY19-Transfers!AY31+Transfers!AY35+AY57</f>
        <v>0.3092578232690576</v>
      </c>
      <c r="AZ52" s="35">
        <f>'Revenue costs'!AZ22-'Revenue costs'!AZ24-'Revenue costs'!AZ25-Registrations!AZ89+Transfers!AZ25-AZ22-AZ48+AZ49-AZ23-AZ19-Transfers!AZ31+Transfers!AZ35+AZ57</f>
        <v>0.37200099632481087</v>
      </c>
      <c r="BA52" s="35">
        <f>'Revenue costs'!BA22-'Revenue costs'!BA24-'Revenue costs'!BA25-Registrations!BA89+Transfers!BA25-BA22-BA48+BA49-BA23-BA19-Transfers!BA31+Transfers!BA35+BA57</f>
        <v>1.189876796229159</v>
      </c>
      <c r="BB52" s="35">
        <f>'Revenue costs'!BB22-'Revenue costs'!BB24-'Revenue costs'!BB25-Registrations!BB89+Transfers!BB25-BB22-BB48+BB49-BB23-BB19-Transfers!BB31+Transfers!BB35+BB57</f>
        <v>34.760280975520743</v>
      </c>
      <c r="BC52" s="35">
        <f>'Revenue costs'!BC22-'Revenue costs'!BC24-'Revenue costs'!BC25-Registrations!BC89+Transfers!BC25-BC22-BC48+BC49-BC23-BC19-Transfers!BC31+Transfers!BC35+BC57</f>
        <v>1.823836427942231</v>
      </c>
      <c r="BD52" s="35">
        <f>'Revenue costs'!BD22-'Revenue costs'!BD24-'Revenue costs'!BD25-Registrations!BD89+Transfers!BD25-BD22-BD48+BD49-BD23-BD19-Transfers!BD31+Transfers!BD35+BD57</f>
        <v>1.860255247541275</v>
      </c>
      <c r="BE52" s="35">
        <f>'Revenue costs'!BE22-'Revenue costs'!BE24-'Revenue costs'!BE25-Registrations!BE89+Transfers!BE25-BE22-BE48+BE49-BE23-BE19-Transfers!BE31+Transfers!BE35+BE57</f>
        <v>1.9225085873444341</v>
      </c>
      <c r="BF52" s="35">
        <f>'Revenue costs'!BF22-'Revenue costs'!BF24-'Revenue costs'!BF25-Registrations!BF89+Transfers!BF25-BF22-BF48+BF49-BF23-BF19-Transfers!BF31+Transfers!BF35+BF57</f>
        <v>1.9851001247222315</v>
      </c>
      <c r="BG52" s="35">
        <f>'Revenue costs'!BG22-'Revenue costs'!BG24-'Revenue costs'!BG25-Registrations!BG89+Transfers!BG25-BG22-BG48+BG49-BG23-BG19-Transfers!BG31+Transfers!BG35+BG57</f>
        <v>1.9590830017387908</v>
      </c>
      <c r="BH52" s="35">
        <f>'Revenue costs'!BH22-'Revenue costs'!BH24-'Revenue costs'!BH25-Registrations!BH89+Transfers!BH25-BH22-BH48+BH49-BH23-BH19-Transfers!BH31+Transfers!BH35+BH57</f>
        <v>2.0217568337100444</v>
      </c>
      <c r="BI52" s="35">
        <f>'Revenue costs'!BI22-'Revenue costs'!BI24-'Revenue costs'!BI25-Registrations!BI89+Transfers!BI25-BI22-BI48+BI49-BI23-BI19-Transfers!BI31+Transfers!BI35+BI57</f>
        <v>2.084370965165264</v>
      </c>
      <c r="BJ52" s="35">
        <f>'Revenue costs'!BJ22-'Revenue costs'!BJ24-'Revenue costs'!BJ25-Registrations!BJ89+Transfers!BJ25-BJ22-BJ48+BJ49-BJ23-BJ19-Transfers!BJ31+Transfers!BJ35+BJ57</f>
        <v>2.1453532939610915</v>
      </c>
      <c r="BK52" s="35">
        <f>'Revenue costs'!BK22-'Revenue costs'!BK24-'Revenue costs'!BK25-Registrations!BK89+Transfers!BK25-BK22-BK48+BK49-BK23-BK19-Transfers!BK31+Transfers!BK35+BK57</f>
        <v>2.2065838919209</v>
      </c>
      <c r="BL52" s="35">
        <f>'Revenue costs'!BL22-'Revenue costs'!BL24-'Revenue costs'!BL25-Registrations!BL89+Transfers!BL25-BL22-BL48+BL49-BL23-BL19-Transfers!BL31+Transfers!BL35+BL57</f>
        <v>2.2680637697911523</v>
      </c>
      <c r="BM52" s="32"/>
      <c r="BN52" s="32"/>
    </row>
    <row r="53" spans="1:66" ht="20" customHeight="1">
      <c r="A53" s="30"/>
      <c r="B53" s="30"/>
      <c r="C53" s="31" t="s">
        <v>321</v>
      </c>
      <c r="D53" s="31"/>
      <c r="E53" s="35">
        <f>Assumptions!$E$310</f>
        <v>0</v>
      </c>
      <c r="F53" s="35">
        <f t="shared" ref="F53:AK53" si="34">E55</f>
        <v>0.60002694490874031</v>
      </c>
      <c r="G53" s="35">
        <f t="shared" si="34"/>
        <v>0</v>
      </c>
      <c r="H53" s="35">
        <f t="shared" si="34"/>
        <v>0</v>
      </c>
      <c r="I53" s="35">
        <f t="shared" si="34"/>
        <v>5.4189379057061675</v>
      </c>
      <c r="J53" s="35">
        <f t="shared" si="34"/>
        <v>10.112106318263914</v>
      </c>
      <c r="K53" s="35">
        <f t="shared" si="34"/>
        <v>14.7349970879545</v>
      </c>
      <c r="L53" s="35">
        <f t="shared" si="34"/>
        <v>19.696572159223571</v>
      </c>
      <c r="M53" s="35">
        <f t="shared" si="34"/>
        <v>24.61702112772965</v>
      </c>
      <c r="N53" s="35">
        <f t="shared" si="34"/>
        <v>29.46903328522648</v>
      </c>
      <c r="O53" s="35">
        <f t="shared" si="34"/>
        <v>34.252233305022436</v>
      </c>
      <c r="P53" s="35">
        <f t="shared" si="34"/>
        <v>38.966243808554125</v>
      </c>
      <c r="Q53" s="35">
        <f t="shared" si="34"/>
        <v>43.610685354195283</v>
      </c>
      <c r="R53" s="35">
        <f t="shared" si="34"/>
        <v>49.95393888371224</v>
      </c>
      <c r="S53" s="35">
        <f t="shared" si="34"/>
        <v>22.691890532671817</v>
      </c>
      <c r="T53" s="35">
        <f t="shared" si="34"/>
        <v>28.554778406775473</v>
      </c>
      <c r="U53" s="35">
        <f t="shared" si="34"/>
        <v>34.420303196748918</v>
      </c>
      <c r="V53" s="35">
        <f t="shared" si="34"/>
        <v>40.237202325600776</v>
      </c>
      <c r="W53" s="35">
        <f t="shared" si="34"/>
        <v>46.005208053672412</v>
      </c>
      <c r="X53" s="35">
        <f t="shared" si="34"/>
        <v>51.904447570205157</v>
      </c>
      <c r="Y53" s="35">
        <f t="shared" si="34"/>
        <v>57.755721324010068</v>
      </c>
      <c r="Z53" s="35">
        <f t="shared" si="34"/>
        <v>63.558767094363539</v>
      </c>
      <c r="AA53" s="35">
        <f t="shared" si="34"/>
        <v>69.313321230376658</v>
      </c>
      <c r="AB53" s="35">
        <f t="shared" si="34"/>
        <v>75.019118643208515</v>
      </c>
      <c r="AC53" s="35">
        <f t="shared" si="34"/>
        <v>80.675892798237243</v>
      </c>
      <c r="AD53" s="35">
        <f t="shared" si="34"/>
        <v>84.071278222201556</v>
      </c>
      <c r="AE53" s="35">
        <f t="shared" si="34"/>
        <v>53.877325122193326</v>
      </c>
      <c r="AF53" s="35">
        <f t="shared" si="34"/>
        <v>56.732468945433233</v>
      </c>
      <c r="AG53" s="35">
        <f t="shared" si="34"/>
        <v>59.569170443684378</v>
      </c>
      <c r="AH53" s="35">
        <f t="shared" si="34"/>
        <v>62.348873190291762</v>
      </c>
      <c r="AI53" s="35">
        <f t="shared" si="34"/>
        <v>65.071266298048457</v>
      </c>
      <c r="AJ53" s="35">
        <f t="shared" si="34"/>
        <v>67.789754215360233</v>
      </c>
      <c r="AK53" s="35">
        <f t="shared" si="34"/>
        <v>70.450570874078466</v>
      </c>
      <c r="AL53" s="35">
        <f t="shared" ref="AL53:BL53" si="35">AK55</f>
        <v>73.053401613131143</v>
      </c>
      <c r="AM53" s="35">
        <f t="shared" si="35"/>
        <v>75.597767557763135</v>
      </c>
      <c r="AN53" s="35">
        <f t="shared" si="35"/>
        <v>78.08297056334095</v>
      </c>
      <c r="AO53" s="35">
        <f t="shared" si="35"/>
        <v>80.508687860936348</v>
      </c>
      <c r="AP53" s="35">
        <f t="shared" si="35"/>
        <v>81.149894456374739</v>
      </c>
      <c r="AQ53" s="35">
        <f t="shared" si="35"/>
        <v>48.213852202522695</v>
      </c>
      <c r="AR53" s="35">
        <f t="shared" si="35"/>
        <v>48.270964490459697</v>
      </c>
      <c r="AS53" s="35">
        <f t="shared" si="35"/>
        <v>48.30567323631864</v>
      </c>
      <c r="AT53" s="35">
        <f t="shared" si="35"/>
        <v>48.279400871636319</v>
      </c>
      <c r="AU53" s="35">
        <f t="shared" si="35"/>
        <v>48.191815254161966</v>
      </c>
      <c r="AV53" s="35">
        <f t="shared" si="35"/>
        <v>48.130154111567094</v>
      </c>
      <c r="AW53" s="35">
        <f t="shared" si="35"/>
        <v>48.00709655157825</v>
      </c>
      <c r="AX53" s="35">
        <f t="shared" si="35"/>
        <v>47.822308617061481</v>
      </c>
      <c r="AY53" s="35">
        <f t="shared" si="35"/>
        <v>47.575454536272254</v>
      </c>
      <c r="AZ53" s="35">
        <f t="shared" si="35"/>
        <v>47.266196713003197</v>
      </c>
      <c r="BA53" s="35">
        <f t="shared" si="35"/>
        <v>46.894195716678389</v>
      </c>
      <c r="BB53" s="35">
        <f t="shared" si="35"/>
        <v>45.704318920449232</v>
      </c>
      <c r="BC53" s="35">
        <f t="shared" si="35"/>
        <v>10.944037944928489</v>
      </c>
      <c r="BD53" s="35">
        <f t="shared" si="35"/>
        <v>9.120201516986258</v>
      </c>
      <c r="BE53" s="35">
        <f t="shared" si="35"/>
        <v>7.259946269444983</v>
      </c>
      <c r="BF53" s="35">
        <f t="shared" si="35"/>
        <v>5.3374376821005489</v>
      </c>
      <c r="BG53" s="35">
        <f t="shared" si="35"/>
        <v>3.3523375573783172</v>
      </c>
      <c r="BH53" s="35">
        <f t="shared" si="35"/>
        <v>1.3932545556395264</v>
      </c>
      <c r="BI53" s="35">
        <f t="shared" si="35"/>
        <v>0</v>
      </c>
      <c r="BJ53" s="35">
        <f t="shared" si="35"/>
        <v>0</v>
      </c>
      <c r="BK53" s="35">
        <f t="shared" si="35"/>
        <v>0</v>
      </c>
      <c r="BL53" s="35">
        <f t="shared" si="35"/>
        <v>0</v>
      </c>
      <c r="BM53" s="32"/>
      <c r="BN53" s="32"/>
    </row>
    <row r="54" spans="1:66" ht="20" customHeight="1">
      <c r="A54" s="30"/>
      <c r="B54" s="30"/>
      <c r="C54" s="31" t="s">
        <v>322</v>
      </c>
      <c r="D54" s="31"/>
      <c r="E54" s="46">
        <f t="shared" ref="E54:AJ54" si="36">MAX(0,E52-E53)</f>
        <v>0</v>
      </c>
      <c r="F54" s="46">
        <f t="shared" si="36"/>
        <v>17.34347280890773</v>
      </c>
      <c r="G54" s="46">
        <f t="shared" si="36"/>
        <v>15.148302676987306</v>
      </c>
      <c r="H54" s="46">
        <f t="shared" si="36"/>
        <v>0</v>
      </c>
      <c r="I54" s="46">
        <f t="shared" si="36"/>
        <v>0</v>
      </c>
      <c r="J54" s="46">
        <f t="shared" si="36"/>
        <v>0</v>
      </c>
      <c r="K54" s="46">
        <f t="shared" si="36"/>
        <v>0</v>
      </c>
      <c r="L54" s="46">
        <f t="shared" si="36"/>
        <v>0</v>
      </c>
      <c r="M54" s="46">
        <f t="shared" si="36"/>
        <v>0</v>
      </c>
      <c r="N54" s="46">
        <f t="shared" si="36"/>
        <v>0</v>
      </c>
      <c r="O54" s="46">
        <f t="shared" si="36"/>
        <v>0</v>
      </c>
      <c r="P54" s="46">
        <f t="shared" si="36"/>
        <v>0</v>
      </c>
      <c r="Q54" s="46">
        <f t="shared" si="36"/>
        <v>0</v>
      </c>
      <c r="R54" s="46">
        <f t="shared" si="36"/>
        <v>0</v>
      </c>
      <c r="S54" s="46">
        <f t="shared" si="36"/>
        <v>0</v>
      </c>
      <c r="T54" s="46">
        <f t="shared" si="36"/>
        <v>0</v>
      </c>
      <c r="U54" s="46">
        <f t="shared" si="36"/>
        <v>0</v>
      </c>
      <c r="V54" s="46">
        <f t="shared" si="36"/>
        <v>0</v>
      </c>
      <c r="W54" s="46">
        <f t="shared" si="36"/>
        <v>0</v>
      </c>
      <c r="X54" s="46">
        <f t="shared" si="36"/>
        <v>0</v>
      </c>
      <c r="Y54" s="46">
        <f t="shared" si="36"/>
        <v>0</v>
      </c>
      <c r="Z54" s="46">
        <f t="shared" si="36"/>
        <v>0</v>
      </c>
      <c r="AA54" s="46">
        <f t="shared" si="36"/>
        <v>0</v>
      </c>
      <c r="AB54" s="46">
        <f t="shared" si="36"/>
        <v>0</v>
      </c>
      <c r="AC54" s="46">
        <f t="shared" si="36"/>
        <v>0</v>
      </c>
      <c r="AD54" s="46">
        <f t="shared" si="36"/>
        <v>0</v>
      </c>
      <c r="AE54" s="46">
        <f t="shared" si="36"/>
        <v>0</v>
      </c>
      <c r="AF54" s="46">
        <f t="shared" si="36"/>
        <v>0</v>
      </c>
      <c r="AG54" s="46">
        <f t="shared" si="36"/>
        <v>0</v>
      </c>
      <c r="AH54" s="46">
        <f t="shared" si="36"/>
        <v>0</v>
      </c>
      <c r="AI54" s="46">
        <f t="shared" si="36"/>
        <v>0</v>
      </c>
      <c r="AJ54" s="46">
        <f t="shared" si="36"/>
        <v>0</v>
      </c>
      <c r="AK54" s="46">
        <f t="shared" ref="AK54:BP54" si="37">MAX(0,AK52-AK53)</f>
        <v>0</v>
      </c>
      <c r="AL54" s="46">
        <f t="shared" si="37"/>
        <v>0</v>
      </c>
      <c r="AM54" s="46">
        <f t="shared" si="37"/>
        <v>0</v>
      </c>
      <c r="AN54" s="46">
        <f t="shared" si="37"/>
        <v>0</v>
      </c>
      <c r="AO54" s="46">
        <f t="shared" si="37"/>
        <v>0</v>
      </c>
      <c r="AP54" s="46">
        <f t="shared" si="37"/>
        <v>0</v>
      </c>
      <c r="AQ54" s="46">
        <f t="shared" si="37"/>
        <v>0</v>
      </c>
      <c r="AR54" s="46">
        <f t="shared" si="37"/>
        <v>0</v>
      </c>
      <c r="AS54" s="46">
        <f t="shared" si="37"/>
        <v>0</v>
      </c>
      <c r="AT54" s="46">
        <f t="shared" si="37"/>
        <v>0</v>
      </c>
      <c r="AU54" s="46">
        <f t="shared" si="37"/>
        <v>0</v>
      </c>
      <c r="AV54" s="46">
        <f t="shared" si="37"/>
        <v>0</v>
      </c>
      <c r="AW54" s="46">
        <f t="shared" si="37"/>
        <v>0</v>
      </c>
      <c r="AX54" s="46">
        <f t="shared" si="37"/>
        <v>0</v>
      </c>
      <c r="AY54" s="46">
        <f t="shared" si="37"/>
        <v>0</v>
      </c>
      <c r="AZ54" s="46">
        <f t="shared" si="37"/>
        <v>0</v>
      </c>
      <c r="BA54" s="46">
        <f t="shared" si="37"/>
        <v>0</v>
      </c>
      <c r="BB54" s="46">
        <f t="shared" si="37"/>
        <v>0</v>
      </c>
      <c r="BC54" s="46">
        <f t="shared" si="37"/>
        <v>0</v>
      </c>
      <c r="BD54" s="46">
        <f t="shared" si="37"/>
        <v>0</v>
      </c>
      <c r="BE54" s="46">
        <f t="shared" si="37"/>
        <v>0</v>
      </c>
      <c r="BF54" s="46">
        <f t="shared" si="37"/>
        <v>0</v>
      </c>
      <c r="BG54" s="46">
        <f t="shared" si="37"/>
        <v>0</v>
      </c>
      <c r="BH54" s="46">
        <f t="shared" si="37"/>
        <v>0.62850227807051806</v>
      </c>
      <c r="BI54" s="46">
        <f t="shared" si="37"/>
        <v>2.084370965165264</v>
      </c>
      <c r="BJ54" s="46">
        <f t="shared" si="37"/>
        <v>2.1453532939610915</v>
      </c>
      <c r="BK54" s="46">
        <f t="shared" si="37"/>
        <v>2.2065838919209</v>
      </c>
      <c r="BL54" s="46">
        <f t="shared" si="37"/>
        <v>2.2680637697911523</v>
      </c>
      <c r="BM54" s="32"/>
      <c r="BN54" s="32"/>
    </row>
    <row r="55" spans="1:66" ht="20" customHeight="1">
      <c r="A55" s="30"/>
      <c r="B55" s="30"/>
      <c r="C55" s="31" t="s">
        <v>323</v>
      </c>
      <c r="D55" s="31"/>
      <c r="E55" s="46">
        <f t="shared" ref="E55:AJ55" si="38">MAX(0,E53-E52)</f>
        <v>0.60002694490874031</v>
      </c>
      <c r="F55" s="46">
        <f t="shared" si="38"/>
        <v>0</v>
      </c>
      <c r="G55" s="46">
        <f t="shared" si="38"/>
        <v>0</v>
      </c>
      <c r="H55" s="46">
        <f t="shared" si="38"/>
        <v>5.4189379057061675</v>
      </c>
      <c r="I55" s="46">
        <f t="shared" si="38"/>
        <v>10.112106318263914</v>
      </c>
      <c r="J55" s="46">
        <f t="shared" si="38"/>
        <v>14.7349970879545</v>
      </c>
      <c r="K55" s="46">
        <f t="shared" si="38"/>
        <v>19.696572159223571</v>
      </c>
      <c r="L55" s="46">
        <f t="shared" si="38"/>
        <v>24.61702112772965</v>
      </c>
      <c r="M55" s="46">
        <f t="shared" si="38"/>
        <v>29.46903328522648</v>
      </c>
      <c r="N55" s="46">
        <f t="shared" si="38"/>
        <v>34.252233305022436</v>
      </c>
      <c r="O55" s="46">
        <f t="shared" si="38"/>
        <v>38.966243808554125</v>
      </c>
      <c r="P55" s="46">
        <f t="shared" si="38"/>
        <v>43.610685354195283</v>
      </c>
      <c r="Q55" s="46">
        <f t="shared" si="38"/>
        <v>49.95393888371224</v>
      </c>
      <c r="R55" s="46">
        <f t="shared" si="38"/>
        <v>22.691890532671817</v>
      </c>
      <c r="S55" s="46">
        <f t="shared" si="38"/>
        <v>28.554778406775473</v>
      </c>
      <c r="T55" s="46">
        <f t="shared" si="38"/>
        <v>34.420303196748918</v>
      </c>
      <c r="U55" s="46">
        <f t="shared" si="38"/>
        <v>40.237202325600776</v>
      </c>
      <c r="V55" s="46">
        <f t="shared" si="38"/>
        <v>46.005208053672412</v>
      </c>
      <c r="W55" s="46">
        <f t="shared" si="38"/>
        <v>51.904447570205157</v>
      </c>
      <c r="X55" s="46">
        <f t="shared" si="38"/>
        <v>57.755721324010068</v>
      </c>
      <c r="Y55" s="46">
        <f t="shared" si="38"/>
        <v>63.558767094363539</v>
      </c>
      <c r="Z55" s="46">
        <f t="shared" si="38"/>
        <v>69.313321230376658</v>
      </c>
      <c r="AA55" s="46">
        <f t="shared" si="38"/>
        <v>75.019118643208515</v>
      </c>
      <c r="AB55" s="46">
        <f t="shared" si="38"/>
        <v>80.675892798237243</v>
      </c>
      <c r="AC55" s="46">
        <f t="shared" si="38"/>
        <v>84.071278222201556</v>
      </c>
      <c r="AD55" s="46">
        <f t="shared" si="38"/>
        <v>53.877325122193326</v>
      </c>
      <c r="AE55" s="46">
        <f t="shared" si="38"/>
        <v>56.732468945433233</v>
      </c>
      <c r="AF55" s="46">
        <f t="shared" si="38"/>
        <v>59.569170443684378</v>
      </c>
      <c r="AG55" s="46">
        <f t="shared" si="38"/>
        <v>62.348873190291762</v>
      </c>
      <c r="AH55" s="46">
        <f t="shared" si="38"/>
        <v>65.071266298048457</v>
      </c>
      <c r="AI55" s="46">
        <f t="shared" si="38"/>
        <v>67.789754215360233</v>
      </c>
      <c r="AJ55" s="46">
        <f t="shared" si="38"/>
        <v>70.450570874078466</v>
      </c>
      <c r="AK55" s="46">
        <f t="shared" ref="AK55:BL55" si="39">MAX(0,AK53-AK52)</f>
        <v>73.053401613131143</v>
      </c>
      <c r="AL55" s="46">
        <f t="shared" si="39"/>
        <v>75.597767557763135</v>
      </c>
      <c r="AM55" s="46">
        <f t="shared" si="39"/>
        <v>78.08297056334095</v>
      </c>
      <c r="AN55" s="46">
        <f t="shared" si="39"/>
        <v>80.508687860936348</v>
      </c>
      <c r="AO55" s="46">
        <f t="shared" si="39"/>
        <v>81.149894456374739</v>
      </c>
      <c r="AP55" s="46">
        <f t="shared" si="39"/>
        <v>48.213852202522695</v>
      </c>
      <c r="AQ55" s="46">
        <f t="shared" si="39"/>
        <v>48.270964490459697</v>
      </c>
      <c r="AR55" s="46">
        <f t="shared" si="39"/>
        <v>48.30567323631864</v>
      </c>
      <c r="AS55" s="46">
        <f t="shared" si="39"/>
        <v>48.279400871636319</v>
      </c>
      <c r="AT55" s="46">
        <f t="shared" si="39"/>
        <v>48.191815254161966</v>
      </c>
      <c r="AU55" s="46">
        <f t="shared" si="39"/>
        <v>48.130154111567094</v>
      </c>
      <c r="AV55" s="46">
        <f t="shared" si="39"/>
        <v>48.00709655157825</v>
      </c>
      <c r="AW55" s="46">
        <f t="shared" si="39"/>
        <v>47.822308617061481</v>
      </c>
      <c r="AX55" s="46">
        <f t="shared" si="39"/>
        <v>47.575454536272254</v>
      </c>
      <c r="AY55" s="46">
        <f t="shared" si="39"/>
        <v>47.266196713003197</v>
      </c>
      <c r="AZ55" s="46">
        <f t="shared" si="39"/>
        <v>46.894195716678389</v>
      </c>
      <c r="BA55" s="46">
        <f t="shared" si="39"/>
        <v>45.704318920449232</v>
      </c>
      <c r="BB55" s="46">
        <f t="shared" si="39"/>
        <v>10.944037944928489</v>
      </c>
      <c r="BC55" s="46">
        <f t="shared" si="39"/>
        <v>9.120201516986258</v>
      </c>
      <c r="BD55" s="46">
        <f t="shared" si="39"/>
        <v>7.259946269444983</v>
      </c>
      <c r="BE55" s="46">
        <f t="shared" si="39"/>
        <v>5.3374376821005489</v>
      </c>
      <c r="BF55" s="46">
        <f t="shared" si="39"/>
        <v>3.3523375573783172</v>
      </c>
      <c r="BG55" s="46">
        <f t="shared" si="39"/>
        <v>1.3932545556395264</v>
      </c>
      <c r="BH55" s="46">
        <f t="shared" si="39"/>
        <v>0</v>
      </c>
      <c r="BI55" s="46">
        <f t="shared" si="39"/>
        <v>0</v>
      </c>
      <c r="BJ55" s="46">
        <f t="shared" si="39"/>
        <v>0</v>
      </c>
      <c r="BK55" s="46">
        <f t="shared" si="39"/>
        <v>0</v>
      </c>
      <c r="BL55" s="46">
        <f t="shared" si="39"/>
        <v>0</v>
      </c>
      <c r="BM55" s="32"/>
      <c r="BN55" s="32"/>
    </row>
    <row r="56" spans="1:66" ht="20" customHeight="1">
      <c r="A56" s="30"/>
      <c r="B56" s="30"/>
      <c r="C56" s="31" t="s">
        <v>324</v>
      </c>
      <c r="D56" s="31"/>
      <c r="E56" s="35">
        <f>0</f>
        <v>0</v>
      </c>
      <c r="F56" s="35">
        <f>0</f>
        <v>0</v>
      </c>
      <c r="G56" s="35">
        <f>0</f>
        <v>0</v>
      </c>
      <c r="H56" s="35">
        <f>0</f>
        <v>0</v>
      </c>
      <c r="I56" s="35">
        <f>0</f>
        <v>0</v>
      </c>
      <c r="J56" s="35">
        <f>0</f>
        <v>0</v>
      </c>
      <c r="K56" s="35">
        <f>0</f>
        <v>0</v>
      </c>
      <c r="L56" s="35">
        <f>0</f>
        <v>0</v>
      </c>
      <c r="M56" s="35">
        <f>0</f>
        <v>0</v>
      </c>
      <c r="N56" s="35">
        <f>0</f>
        <v>0</v>
      </c>
      <c r="O56" s="35">
        <f>0</f>
        <v>0</v>
      </c>
      <c r="P56" s="35">
        <f>Assumptions!$E$311</f>
        <v>7.5620000000000003</v>
      </c>
      <c r="Q56" s="35">
        <f>0</f>
        <v>0</v>
      </c>
      <c r="R56" s="35">
        <f>0</f>
        <v>0</v>
      </c>
      <c r="S56" s="35">
        <f>0</f>
        <v>0</v>
      </c>
      <c r="T56" s="35">
        <f>0</f>
        <v>0</v>
      </c>
      <c r="U56" s="35">
        <f>0</f>
        <v>0</v>
      </c>
      <c r="V56" s="35">
        <f>0</f>
        <v>0</v>
      </c>
      <c r="W56" s="35">
        <f>0</f>
        <v>0</v>
      </c>
      <c r="X56" s="35">
        <f>0</f>
        <v>0</v>
      </c>
      <c r="Y56" s="35">
        <f>0</f>
        <v>0</v>
      </c>
      <c r="Z56" s="35">
        <f>0</f>
        <v>0</v>
      </c>
      <c r="AA56" s="35">
        <f>0</f>
        <v>0</v>
      </c>
      <c r="AB56" s="35">
        <f>0</f>
        <v>0</v>
      </c>
      <c r="AC56" s="35">
        <f>0</f>
        <v>0</v>
      </c>
      <c r="AD56" s="35">
        <f>0</f>
        <v>0</v>
      </c>
      <c r="AE56" s="35">
        <f>0</f>
        <v>0</v>
      </c>
      <c r="AF56" s="35">
        <f>0</f>
        <v>0</v>
      </c>
      <c r="AG56" s="35">
        <f>0</f>
        <v>0</v>
      </c>
      <c r="AH56" s="35">
        <f>0</f>
        <v>0</v>
      </c>
      <c r="AI56" s="35">
        <f>0</f>
        <v>0</v>
      </c>
      <c r="AJ56" s="35">
        <f>0</f>
        <v>0</v>
      </c>
      <c r="AK56" s="35">
        <f>0</f>
        <v>0</v>
      </c>
      <c r="AL56" s="35">
        <f>0</f>
        <v>0</v>
      </c>
      <c r="AM56" s="35">
        <f>0</f>
        <v>0</v>
      </c>
      <c r="AN56" s="35">
        <f>0</f>
        <v>0</v>
      </c>
      <c r="AO56" s="35">
        <f>0</f>
        <v>0</v>
      </c>
      <c r="AP56" s="35">
        <f>0</f>
        <v>0</v>
      </c>
      <c r="AQ56" s="35">
        <f>0</f>
        <v>0</v>
      </c>
      <c r="AR56" s="35">
        <f>0</f>
        <v>0</v>
      </c>
      <c r="AS56" s="35">
        <f>0</f>
        <v>0</v>
      </c>
      <c r="AT56" s="35">
        <f>0</f>
        <v>0</v>
      </c>
      <c r="AU56" s="35">
        <f>0</f>
        <v>0</v>
      </c>
      <c r="AV56" s="35">
        <f>0</f>
        <v>0</v>
      </c>
      <c r="AW56" s="35">
        <f>0</f>
        <v>0</v>
      </c>
      <c r="AX56" s="35">
        <f>0</f>
        <v>0</v>
      </c>
      <c r="AY56" s="35">
        <f>0</f>
        <v>0</v>
      </c>
      <c r="AZ56" s="35">
        <f>0</f>
        <v>0</v>
      </c>
      <c r="BA56" s="35">
        <f>0</f>
        <v>0</v>
      </c>
      <c r="BB56" s="35">
        <f>0</f>
        <v>0</v>
      </c>
      <c r="BC56" s="35">
        <f>0</f>
        <v>0</v>
      </c>
      <c r="BD56" s="35">
        <f>0</f>
        <v>0</v>
      </c>
      <c r="BE56" s="35">
        <f>0</f>
        <v>0</v>
      </c>
      <c r="BF56" s="35">
        <f>0</f>
        <v>0</v>
      </c>
      <c r="BG56" s="35">
        <f>0</f>
        <v>0</v>
      </c>
      <c r="BH56" s="35">
        <f>0</f>
        <v>0</v>
      </c>
      <c r="BI56" s="35">
        <f>0</f>
        <v>0</v>
      </c>
      <c r="BJ56" s="35">
        <f>0</f>
        <v>0</v>
      </c>
      <c r="BK56" s="35">
        <f>0</f>
        <v>0</v>
      </c>
      <c r="BL56" s="35">
        <f>0</f>
        <v>0</v>
      </c>
      <c r="BM56" s="32"/>
      <c r="BN56" s="32"/>
    </row>
    <row r="57" spans="1:66" ht="20" customHeight="1">
      <c r="A57" s="30"/>
      <c r="B57" s="30"/>
      <c r="C57" s="31" t="s">
        <v>325</v>
      </c>
      <c r="D57" s="31"/>
      <c r="E57" s="35">
        <f>Historical!$G$136</f>
        <v>1.4</v>
      </c>
      <c r="F57" s="35">
        <f>0</f>
        <v>0</v>
      </c>
      <c r="G57" s="35">
        <f>0</f>
        <v>0</v>
      </c>
      <c r="H57" s="35">
        <f>0</f>
        <v>0</v>
      </c>
      <c r="I57" s="35">
        <f>0</f>
        <v>0</v>
      </c>
      <c r="J57" s="35">
        <f>0</f>
        <v>0</v>
      </c>
      <c r="K57" s="35">
        <f>0</f>
        <v>0</v>
      </c>
      <c r="L57" s="35">
        <f>0</f>
        <v>0</v>
      </c>
      <c r="M57" s="35">
        <f>0</f>
        <v>0</v>
      </c>
      <c r="N57" s="35">
        <f>0</f>
        <v>0</v>
      </c>
      <c r="O57" s="35">
        <f>0</f>
        <v>0</v>
      </c>
      <c r="P57" s="35">
        <f>0</f>
        <v>0</v>
      </c>
      <c r="Q57" s="35">
        <f>0</f>
        <v>0</v>
      </c>
      <c r="R57" s="35">
        <f>0</f>
        <v>0</v>
      </c>
      <c r="S57" s="35">
        <f>0</f>
        <v>0</v>
      </c>
      <c r="T57" s="35">
        <f>0</f>
        <v>0</v>
      </c>
      <c r="U57" s="35">
        <f>0</f>
        <v>0</v>
      </c>
      <c r="V57" s="35">
        <f>0</f>
        <v>0</v>
      </c>
      <c r="W57" s="35">
        <f>0</f>
        <v>0</v>
      </c>
      <c r="X57" s="35">
        <f>0</f>
        <v>0</v>
      </c>
      <c r="Y57" s="35">
        <f>0</f>
        <v>0</v>
      </c>
      <c r="Z57" s="35">
        <f>0</f>
        <v>0</v>
      </c>
      <c r="AA57" s="35">
        <f>0</f>
        <v>0</v>
      </c>
      <c r="AB57" s="35">
        <f>0</f>
        <v>0</v>
      </c>
      <c r="AC57" s="35">
        <f>0</f>
        <v>0</v>
      </c>
      <c r="AD57" s="35">
        <f>0</f>
        <v>0</v>
      </c>
      <c r="AE57" s="35">
        <f>0</f>
        <v>0</v>
      </c>
      <c r="AF57" s="35">
        <f>0</f>
        <v>0</v>
      </c>
      <c r="AG57" s="35">
        <f>0</f>
        <v>0</v>
      </c>
      <c r="AH57" s="35">
        <f>0</f>
        <v>0</v>
      </c>
      <c r="AI57" s="35">
        <f>0</f>
        <v>0</v>
      </c>
      <c r="AJ57" s="35">
        <f>0</f>
        <v>0</v>
      </c>
      <c r="AK57" s="35">
        <f>0</f>
        <v>0</v>
      </c>
      <c r="AL57" s="35">
        <f>0</f>
        <v>0</v>
      </c>
      <c r="AM57" s="35">
        <f>0</f>
        <v>0</v>
      </c>
      <c r="AN57" s="35">
        <f>0</f>
        <v>0</v>
      </c>
      <c r="AO57" s="35">
        <f>0</f>
        <v>0</v>
      </c>
      <c r="AP57" s="35">
        <f>0</f>
        <v>0</v>
      </c>
      <c r="AQ57" s="35">
        <f>0</f>
        <v>0</v>
      </c>
      <c r="AR57" s="35">
        <f>0</f>
        <v>0</v>
      </c>
      <c r="AS57" s="35">
        <f>0</f>
        <v>0</v>
      </c>
      <c r="AT57" s="35">
        <f>0</f>
        <v>0</v>
      </c>
      <c r="AU57" s="35">
        <f>0</f>
        <v>0</v>
      </c>
      <c r="AV57" s="35">
        <f>0</f>
        <v>0</v>
      </c>
      <c r="AW57" s="35">
        <f>0</f>
        <v>0</v>
      </c>
      <c r="AX57" s="35">
        <f>0</f>
        <v>0</v>
      </c>
      <c r="AY57" s="35">
        <f>0</f>
        <v>0</v>
      </c>
      <c r="AZ57" s="35">
        <f>0</f>
        <v>0</v>
      </c>
      <c r="BA57" s="35">
        <f>0</f>
        <v>0</v>
      </c>
      <c r="BB57" s="35">
        <f>0</f>
        <v>0</v>
      </c>
      <c r="BC57" s="35">
        <f>0</f>
        <v>0</v>
      </c>
      <c r="BD57" s="35">
        <f>0</f>
        <v>0</v>
      </c>
      <c r="BE57" s="35">
        <f>0</f>
        <v>0</v>
      </c>
      <c r="BF57" s="35">
        <f>0</f>
        <v>0</v>
      </c>
      <c r="BG57" s="35">
        <f>0</f>
        <v>0</v>
      </c>
      <c r="BH57" s="35">
        <f>0</f>
        <v>0</v>
      </c>
      <c r="BI57" s="35">
        <f>0</f>
        <v>0</v>
      </c>
      <c r="BJ57" s="35">
        <f>0</f>
        <v>0</v>
      </c>
      <c r="BK57" s="35">
        <f>0</f>
        <v>0</v>
      </c>
      <c r="BL57" s="35">
        <f>0</f>
        <v>0</v>
      </c>
      <c r="BM57" s="32"/>
      <c r="BN57" s="32"/>
    </row>
    <row r="58" spans="1:66" ht="20" customHeight="1">
      <c r="A58" s="30"/>
      <c r="B58" s="30"/>
      <c r="C58" s="31"/>
      <c r="D58" s="31"/>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row>
    <row r="59" spans="1:66" ht="20" customHeight="1">
      <c r="A59" s="30"/>
      <c r="B59" s="30"/>
      <c r="C59" s="31"/>
      <c r="D59" s="31"/>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row>
    <row r="60" spans="1:66" ht="20" customHeight="1">
      <c r="A60" s="30"/>
      <c r="B60" s="30"/>
      <c r="C60" s="31"/>
      <c r="D60" s="31"/>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row>
    <row r="61" spans="1:66" ht="20" customHeight="1">
      <c r="A61" s="30"/>
      <c r="B61" s="30"/>
      <c r="C61" s="31"/>
      <c r="D61" s="31"/>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row>
    <row r="62" spans="1:66" ht="20" customHeight="1">
      <c r="A62" s="30"/>
      <c r="B62" s="30"/>
      <c r="C62" s="31"/>
      <c r="D62" s="31"/>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row>
    <row r="63" spans="1:66" ht="20" customHeight="1">
      <c r="A63" s="30"/>
      <c r="B63" s="30"/>
      <c r="C63" s="31"/>
      <c r="D63" s="31"/>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row>
    <row r="64" spans="1:66" ht="20" customHeight="1">
      <c r="A64" s="30"/>
      <c r="B64" s="30"/>
      <c r="C64" s="31"/>
      <c r="D64" s="31"/>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row>
    <row r="65" spans="1:66" ht="20" customHeight="1">
      <c r="A65" s="30"/>
      <c r="B65" s="30"/>
      <c r="C65" s="31"/>
      <c r="D65" s="31"/>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row>
    <row r="66" spans="1:66" ht="20" customHeight="1">
      <c r="A66" s="30"/>
      <c r="B66" s="30"/>
      <c r="C66" s="31"/>
      <c r="D66" s="31"/>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row>
    <row r="67" spans="1:66" ht="20" customHeight="1">
      <c r="A67" s="30"/>
      <c r="B67" s="30"/>
      <c r="C67" s="31"/>
      <c r="D67" s="31"/>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row>
    <row r="68" spans="1:66" ht="20" customHeight="1">
      <c r="A68" s="30"/>
      <c r="B68" s="30"/>
      <c r="C68" s="31"/>
      <c r="D68" s="31"/>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row>
    <row r="69" spans="1:66" ht="20" customHeight="1">
      <c r="A69" s="30"/>
      <c r="B69" s="30"/>
      <c r="C69" s="31"/>
      <c r="D69" s="31"/>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row>
    <row r="70" spans="1:66" ht="20" customHeight="1">
      <c r="A70" s="30"/>
      <c r="B70" s="30"/>
      <c r="C70" s="31"/>
      <c r="D70" s="31"/>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row>
    <row r="71" spans="1:66" ht="20" customHeight="1">
      <c r="A71" s="30"/>
      <c r="B71" s="30"/>
      <c r="C71" s="31"/>
      <c r="D71" s="31"/>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row>
    <row r="72" spans="1:66" ht="20" customHeight="1">
      <c r="A72" s="30"/>
      <c r="B72" s="30"/>
      <c r="C72" s="31"/>
      <c r="D72" s="31"/>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row>
    <row r="73" spans="1:66" ht="20" customHeight="1">
      <c r="A73" s="30"/>
      <c r="B73" s="30"/>
      <c r="C73" s="31"/>
      <c r="D73" s="31"/>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row>
    <row r="74" spans="1:66" ht="20" customHeight="1">
      <c r="A74" s="30"/>
      <c r="B74" s="30"/>
      <c r="C74" s="31"/>
      <c r="D74" s="31"/>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row>
    <row r="75" spans="1:66" ht="20" customHeight="1">
      <c r="A75" s="30"/>
      <c r="B75" s="30"/>
      <c r="C75" s="31"/>
      <c r="D75" s="31"/>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row>
    <row r="76" spans="1:66" ht="20" customHeight="1">
      <c r="A76" s="30"/>
      <c r="B76" s="30"/>
      <c r="C76" s="31"/>
      <c r="D76" s="31"/>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row>
    <row r="77" spans="1:66" ht="20" customHeight="1">
      <c r="A77" s="30"/>
      <c r="B77" s="30"/>
      <c r="C77" s="31"/>
      <c r="D77" s="31"/>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row>
    <row r="78" spans="1:66" ht="20" customHeight="1">
      <c r="A78" s="30"/>
      <c r="B78" s="30"/>
      <c r="C78" s="31"/>
      <c r="D78" s="31"/>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row>
    <row r="79" spans="1:66" ht="20" customHeight="1">
      <c r="A79" s="30"/>
      <c r="B79" s="30"/>
      <c r="C79" s="31"/>
      <c r="D79" s="31"/>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row>
    <row r="80" spans="1:66" ht="20" customHeight="1">
      <c r="A80" s="30"/>
      <c r="B80" s="30"/>
      <c r="C80" s="31"/>
      <c r="D80" s="31"/>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row>
    <row r="81" spans="1:66" ht="20" customHeight="1">
      <c r="A81" s="30"/>
      <c r="B81" s="30"/>
      <c r="C81" s="31"/>
      <c r="D81" s="31"/>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row>
    <row r="82" spans="1:66" ht="20" customHeight="1">
      <c r="A82" s="30"/>
      <c r="B82" s="30"/>
      <c r="C82" s="31"/>
      <c r="D82" s="31"/>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row>
    <row r="83" spans="1:66" ht="20" customHeight="1">
      <c r="A83" s="30"/>
      <c r="B83" s="30"/>
      <c r="C83" s="31"/>
      <c r="D83" s="31"/>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row>
    <row r="84" spans="1:66" ht="20" customHeight="1">
      <c r="A84" s="30"/>
      <c r="B84" s="30"/>
      <c r="C84" s="31"/>
      <c r="D84" s="31"/>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row>
    <row r="85" spans="1:66" ht="20" customHeight="1">
      <c r="A85" s="30"/>
      <c r="B85" s="30"/>
      <c r="C85" s="31"/>
      <c r="D85" s="31"/>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row>
    <row r="86" spans="1:66" ht="20" customHeight="1">
      <c r="A86" s="30"/>
      <c r="B86" s="30"/>
      <c r="C86" s="31"/>
      <c r="D86" s="31"/>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row>
    <row r="87" spans="1:66" ht="20" customHeight="1">
      <c r="A87" s="30"/>
      <c r="B87" s="30"/>
      <c r="C87" s="31"/>
      <c r="D87" s="31"/>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row>
    <row r="88" spans="1:66" ht="20" customHeight="1">
      <c r="A88" s="30"/>
      <c r="B88" s="30"/>
      <c r="C88" s="31"/>
      <c r="D88" s="31"/>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row>
    <row r="89" spans="1:66" ht="20" customHeight="1">
      <c r="A89" s="30"/>
      <c r="B89" s="30"/>
      <c r="C89" s="31"/>
      <c r="D89" s="31"/>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row>
    <row r="90" spans="1:66" ht="20" customHeight="1">
      <c r="A90" s="30"/>
      <c r="B90" s="30"/>
      <c r="C90" s="31"/>
      <c r="D90" s="31"/>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row>
    <row r="91" spans="1:66" ht="20" customHeight="1">
      <c r="A91" s="30"/>
      <c r="B91" s="30"/>
      <c r="C91" s="31"/>
      <c r="D91" s="31"/>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row>
    <row r="92" spans="1:66" ht="20" customHeight="1">
      <c r="A92" s="30"/>
      <c r="B92" s="30"/>
      <c r="C92" s="31"/>
      <c r="D92" s="31"/>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row>
    <row r="93" spans="1:66" ht="20" customHeight="1">
      <c r="A93" s="30"/>
      <c r="B93" s="30"/>
      <c r="C93" s="31"/>
      <c r="D93" s="31"/>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row>
    <row r="94" spans="1:66" ht="20" customHeight="1">
      <c r="A94" s="30"/>
      <c r="B94" s="30"/>
      <c r="C94" s="31"/>
      <c r="D94" s="31"/>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row>
    <row r="95" spans="1:66" ht="20" customHeight="1">
      <c r="A95" s="30"/>
      <c r="B95" s="30"/>
      <c r="C95" s="31"/>
      <c r="D95" s="31"/>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row>
    <row r="96" spans="1:66" ht="20" customHeight="1">
      <c r="A96" s="30"/>
      <c r="B96" s="30"/>
      <c r="C96" s="31"/>
      <c r="D96" s="31"/>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row>
    <row r="97" spans="1:66" ht="20" customHeight="1">
      <c r="A97" s="30"/>
      <c r="B97" s="30"/>
      <c r="C97" s="31"/>
      <c r="D97" s="31"/>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row>
    <row r="98" spans="1:66" ht="20" customHeight="1">
      <c r="A98" s="30"/>
      <c r="B98" s="30"/>
      <c r="C98" s="31"/>
      <c r="D98" s="31"/>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row>
    <row r="99" spans="1:66" ht="20" customHeight="1">
      <c r="A99" s="30"/>
      <c r="B99" s="30"/>
      <c r="C99" s="31"/>
      <c r="D99" s="31"/>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row>
    <row r="100" spans="1:66" ht="20" customHeight="1">
      <c r="A100" s="30"/>
      <c r="B100" s="30"/>
      <c r="C100" s="31"/>
      <c r="D100" s="31"/>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row>
    <row r="101" spans="1:66" ht="20" customHeight="1">
      <c r="A101" s="30"/>
      <c r="B101" s="30"/>
      <c r="C101" s="31"/>
      <c r="D101" s="31"/>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row>
    <row r="102" spans="1:66" ht="20" customHeight="1">
      <c r="A102" s="30"/>
      <c r="B102" s="30"/>
      <c r="C102" s="31"/>
      <c r="D102" s="31"/>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row>
    <row r="103" spans="1:66" ht="20" customHeight="1">
      <c r="A103" s="30"/>
      <c r="B103" s="30"/>
      <c r="C103" s="31"/>
      <c r="D103" s="31"/>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row>
    <row r="104" spans="1:66" ht="20" customHeight="1">
      <c r="A104" s="30"/>
      <c r="B104" s="30"/>
      <c r="C104" s="31"/>
      <c r="D104" s="31"/>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row>
    <row r="105" spans="1:66" ht="20" customHeight="1">
      <c r="A105" s="30"/>
      <c r="B105" s="30"/>
      <c r="C105" s="31"/>
      <c r="D105" s="31"/>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row>
    <row r="106" spans="1:66" ht="20" customHeight="1">
      <c r="A106" s="30"/>
      <c r="B106" s="30"/>
      <c r="C106" s="31"/>
      <c r="D106" s="31"/>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row>
    <row r="107" spans="1:66" ht="20" customHeight="1">
      <c r="A107" s="30"/>
      <c r="B107" s="30"/>
      <c r="C107" s="31"/>
      <c r="D107" s="31"/>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row>
    <row r="108" spans="1:66" ht="20" customHeight="1">
      <c r="A108" s="30"/>
      <c r="B108" s="30"/>
      <c r="C108" s="31"/>
      <c r="D108" s="31"/>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row>
    <row r="109" spans="1:66" ht="20" customHeight="1">
      <c r="A109" s="30"/>
      <c r="B109" s="30"/>
      <c r="C109" s="31"/>
      <c r="D109" s="31"/>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row>
    <row r="110" spans="1:66" ht="20" customHeight="1">
      <c r="A110" s="30"/>
      <c r="B110" s="30"/>
      <c r="C110" s="31"/>
      <c r="D110" s="31"/>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row>
    <row r="111" spans="1:66" ht="20" customHeight="1">
      <c r="A111" s="30"/>
      <c r="B111" s="30"/>
      <c r="C111" s="31"/>
      <c r="D111" s="31"/>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row>
    <row r="112" spans="1:66" ht="20" customHeight="1">
      <c r="A112" s="30"/>
      <c r="B112" s="30"/>
      <c r="C112" s="31"/>
      <c r="D112" s="31"/>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row>
    <row r="113" spans="1:66" ht="20" customHeight="1">
      <c r="A113" s="30"/>
      <c r="B113" s="30"/>
      <c r="C113" s="31"/>
      <c r="D113" s="31"/>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row>
    <row r="114" spans="1:66" ht="20" customHeight="1">
      <c r="A114" s="30"/>
      <c r="B114" s="30"/>
      <c r="C114" s="31"/>
      <c r="D114" s="31"/>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row>
    <row r="115" spans="1:66" ht="20" customHeight="1">
      <c r="A115" s="30"/>
      <c r="B115" s="30"/>
      <c r="C115" s="31"/>
      <c r="D115" s="31"/>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row>
    <row r="116" spans="1:66" ht="20" customHeight="1">
      <c r="A116" s="30"/>
      <c r="B116" s="30"/>
      <c r="C116" s="31"/>
      <c r="D116" s="31"/>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row>
    <row r="117" spans="1:66" ht="20" customHeight="1">
      <c r="A117" s="30"/>
      <c r="B117" s="30"/>
      <c r="C117" s="31"/>
      <c r="D117" s="31"/>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row>
    <row r="118" spans="1:66" ht="20" customHeight="1">
      <c r="A118" s="30"/>
      <c r="B118" s="30"/>
      <c r="C118" s="31"/>
      <c r="D118" s="31"/>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row>
    <row r="119" spans="1:66" ht="20" customHeight="1">
      <c r="A119" s="30"/>
      <c r="B119" s="30"/>
      <c r="C119" s="31"/>
      <c r="D119" s="31"/>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row>
    <row r="120" spans="1:66" ht="20" customHeight="1">
      <c r="A120" s="30"/>
      <c r="B120" s="30"/>
      <c r="C120" s="31"/>
      <c r="D120" s="31"/>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row>
    <row r="121" spans="1:66" ht="20" customHeight="1">
      <c r="A121" s="30"/>
      <c r="B121" s="30"/>
      <c r="C121" s="31"/>
      <c r="D121" s="31"/>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row>
    <row r="122" spans="1:66" ht="20" customHeight="1">
      <c r="A122" s="30"/>
      <c r="B122" s="30"/>
      <c r="C122" s="31"/>
      <c r="D122" s="31"/>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row>
    <row r="123" spans="1:66" ht="20" customHeight="1">
      <c r="A123" s="30"/>
      <c r="B123" s="30"/>
      <c r="C123" s="31"/>
      <c r="D123" s="31"/>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row>
    <row r="124" spans="1:66" ht="20" customHeight="1">
      <c r="A124" s="30"/>
      <c r="B124" s="30"/>
      <c r="C124" s="31"/>
      <c r="D124" s="31"/>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row>
    <row r="125" spans="1:66" ht="20" customHeight="1">
      <c r="A125" s="30"/>
      <c r="B125" s="30"/>
      <c r="C125" s="31"/>
      <c r="D125" s="31"/>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row>
    <row r="126" spans="1:66" ht="20" customHeight="1">
      <c r="A126" s="30"/>
      <c r="B126" s="30"/>
      <c r="C126" s="31"/>
      <c r="D126" s="31"/>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row>
    <row r="127" spans="1:66" ht="20" customHeight="1">
      <c r="A127" s="30"/>
      <c r="B127" s="30"/>
      <c r="C127" s="31"/>
      <c r="D127" s="31"/>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row>
    <row r="128" spans="1:66" ht="20" customHeight="1">
      <c r="A128" s="30"/>
      <c r="B128" s="30"/>
      <c r="C128" s="31"/>
      <c r="D128" s="31"/>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row>
    <row r="129" spans="1:66" ht="20" customHeight="1">
      <c r="A129" s="30"/>
      <c r="B129" s="30"/>
      <c r="C129" s="31"/>
      <c r="D129" s="31"/>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row>
    <row r="130" spans="1:66" ht="20" customHeight="1">
      <c r="A130" s="30"/>
      <c r="B130" s="30"/>
      <c r="C130" s="31"/>
      <c r="D130" s="31"/>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row>
    <row r="131" spans="1:66" ht="20" customHeight="1">
      <c r="A131" s="30"/>
      <c r="B131" s="30"/>
      <c r="C131" s="31"/>
      <c r="D131" s="31"/>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row>
    <row r="132" spans="1:66" ht="20" customHeight="1">
      <c r="A132" s="30"/>
      <c r="B132" s="30"/>
      <c r="C132" s="31"/>
      <c r="D132" s="31"/>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row>
    <row r="133" spans="1:66" ht="20" customHeight="1">
      <c r="A133" s="30"/>
      <c r="B133" s="30"/>
      <c r="C133" s="31"/>
      <c r="D133" s="31"/>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row>
    <row r="134" spans="1:66" ht="20" customHeight="1">
      <c r="A134" s="30"/>
      <c r="B134" s="30"/>
      <c r="C134" s="31"/>
      <c r="D134" s="31"/>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row>
    <row r="135" spans="1:66" ht="20" customHeight="1">
      <c r="A135" s="30"/>
      <c r="B135" s="30"/>
      <c r="C135" s="31"/>
      <c r="D135" s="31"/>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row>
    <row r="136" spans="1:66" ht="20" customHeight="1">
      <c r="A136" s="30"/>
      <c r="B136" s="30"/>
      <c r="C136" s="31"/>
      <c r="D136" s="31"/>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row>
    <row r="137" spans="1:66" ht="20" customHeight="1">
      <c r="A137" s="30"/>
      <c r="B137" s="30"/>
      <c r="C137" s="31"/>
      <c r="D137" s="31"/>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row>
    <row r="138" spans="1:66" ht="20" customHeight="1">
      <c r="A138" s="30"/>
      <c r="B138" s="30"/>
      <c r="C138" s="31"/>
      <c r="D138" s="31"/>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row>
    <row r="139" spans="1:66" ht="20" customHeight="1">
      <c r="A139" s="30"/>
      <c r="B139" s="30"/>
      <c r="C139" s="31"/>
      <c r="D139" s="31"/>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row>
    <row r="140" spans="1:66" ht="20" customHeight="1">
      <c r="A140" s="30"/>
      <c r="B140" s="30"/>
      <c r="C140" s="31"/>
      <c r="D140" s="31"/>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row>
    <row r="141" spans="1:66" ht="20" customHeight="1">
      <c r="A141" s="30"/>
      <c r="B141" s="30"/>
      <c r="C141" s="31"/>
      <c r="D141" s="31"/>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row>
    <row r="142" spans="1:66" ht="20" customHeight="1">
      <c r="A142" s="30"/>
      <c r="B142" s="30"/>
      <c r="C142" s="31"/>
      <c r="D142" s="31"/>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row>
    <row r="143" spans="1:66" ht="20" customHeight="1">
      <c r="A143" s="30"/>
      <c r="B143" s="30"/>
      <c r="C143" s="31"/>
      <c r="D143" s="31"/>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row>
    <row r="144" spans="1:66" ht="20" customHeight="1">
      <c r="A144" s="30"/>
      <c r="B144" s="30"/>
      <c r="C144" s="31"/>
      <c r="D144" s="31"/>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row>
    <row r="145" spans="1:66" ht="20" customHeight="1">
      <c r="A145" s="30"/>
      <c r="B145" s="30"/>
      <c r="C145" s="31"/>
      <c r="D145" s="31"/>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row>
    <row r="146" spans="1:66" ht="20" customHeight="1">
      <c r="A146" s="30"/>
      <c r="B146" s="30"/>
      <c r="C146" s="31"/>
      <c r="D146" s="31"/>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row>
    <row r="147" spans="1:66" ht="20" customHeight="1">
      <c r="A147" s="30"/>
      <c r="B147" s="30"/>
      <c r="C147" s="31"/>
      <c r="D147" s="31"/>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row>
    <row r="148" spans="1:66" ht="20" customHeight="1">
      <c r="A148" s="30"/>
      <c r="B148" s="30"/>
      <c r="C148" s="31"/>
      <c r="D148" s="31"/>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row>
    <row r="149" spans="1:66" ht="20" customHeight="1">
      <c r="A149" s="30"/>
      <c r="B149" s="30"/>
      <c r="C149" s="31"/>
      <c r="D149" s="31"/>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row>
    <row r="150" spans="1:66" ht="20" customHeight="1">
      <c r="A150" s="30"/>
      <c r="B150" s="30"/>
      <c r="C150" s="31"/>
      <c r="D150" s="31"/>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row>
    <row r="151" spans="1:66" ht="20" customHeight="1">
      <c r="A151" s="30"/>
      <c r="B151" s="30"/>
      <c r="C151" s="31"/>
      <c r="D151" s="31"/>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row>
    <row r="152" spans="1:66" ht="20" customHeight="1">
      <c r="A152" s="30"/>
      <c r="B152" s="30"/>
      <c r="C152" s="31"/>
      <c r="D152" s="31"/>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row>
    <row r="153" spans="1:66" ht="20" customHeight="1">
      <c r="A153" s="30"/>
      <c r="B153" s="30"/>
      <c r="C153" s="31"/>
      <c r="D153" s="31"/>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row>
    <row r="154" spans="1:66" ht="20" customHeight="1">
      <c r="A154" s="30"/>
      <c r="B154" s="30"/>
      <c r="C154" s="31"/>
      <c r="D154" s="31"/>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row>
    <row r="155" spans="1:66" ht="20" customHeight="1">
      <c r="A155" s="30"/>
      <c r="B155" s="30"/>
      <c r="C155" s="31"/>
      <c r="D155" s="31"/>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row>
    <row r="156" spans="1:66" ht="20" customHeight="1">
      <c r="A156" s="30"/>
      <c r="B156" s="30"/>
      <c r="C156" s="31"/>
      <c r="D156" s="31"/>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row>
    <row r="157" spans="1:66" ht="20" customHeight="1">
      <c r="A157" s="30"/>
      <c r="B157" s="30"/>
      <c r="C157" s="31"/>
      <c r="D157" s="31"/>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row>
    <row r="158" spans="1:66" ht="20" customHeight="1">
      <c r="A158" s="30"/>
      <c r="B158" s="30"/>
      <c r="C158" s="31"/>
      <c r="D158" s="31"/>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row>
    <row r="159" spans="1:66" ht="20" customHeight="1">
      <c r="A159" s="30"/>
      <c r="B159" s="30"/>
      <c r="C159" s="31"/>
      <c r="D159" s="31"/>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row>
    <row r="160" spans="1:66" ht="20" customHeight="1">
      <c r="A160" s="30"/>
      <c r="B160" s="30"/>
      <c r="C160" s="31"/>
      <c r="D160" s="31"/>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row>
    <row r="161" spans="1:66" ht="20" customHeight="1">
      <c r="A161" s="30"/>
      <c r="B161" s="30"/>
      <c r="C161" s="31"/>
      <c r="D161" s="31"/>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row>
    <row r="162" spans="1:66" ht="20" customHeight="1">
      <c r="A162" s="30"/>
      <c r="B162" s="30"/>
      <c r="C162" s="31"/>
      <c r="D162" s="31"/>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row>
    <row r="163" spans="1:66" ht="20" customHeight="1">
      <c r="A163" s="30"/>
      <c r="B163" s="30"/>
      <c r="C163" s="31"/>
      <c r="D163" s="31"/>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row>
    <row r="164" spans="1:66" ht="20" customHeight="1">
      <c r="A164" s="30"/>
      <c r="B164" s="30"/>
      <c r="C164" s="31"/>
      <c r="D164" s="31"/>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row>
    <row r="165" spans="1:66" ht="20" customHeight="1">
      <c r="A165" s="30"/>
      <c r="B165" s="30"/>
      <c r="C165" s="31"/>
      <c r="D165" s="31"/>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row>
    <row r="166" spans="1:66" ht="20" customHeight="1">
      <c r="A166" s="30"/>
      <c r="B166" s="30"/>
      <c r="C166" s="31"/>
      <c r="D166" s="31"/>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row>
    <row r="167" spans="1:66" ht="20" customHeight="1">
      <c r="A167" s="30"/>
      <c r="B167" s="30"/>
      <c r="C167" s="31"/>
      <c r="D167" s="31"/>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row>
    <row r="168" spans="1:66" ht="20" customHeight="1">
      <c r="A168" s="30"/>
      <c r="B168" s="30"/>
      <c r="C168" s="31"/>
      <c r="D168" s="31"/>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row>
    <row r="169" spans="1:66" ht="20" customHeight="1">
      <c r="A169" s="30"/>
      <c r="B169" s="30"/>
      <c r="C169" s="31"/>
      <c r="D169" s="31"/>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row>
    <row r="170" spans="1:66" ht="20" customHeight="1">
      <c r="A170" s="30"/>
      <c r="B170" s="30"/>
      <c r="C170" s="31"/>
      <c r="D170" s="31"/>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row>
    <row r="171" spans="1:66" ht="20" customHeight="1">
      <c r="A171" s="30"/>
      <c r="B171" s="30"/>
      <c r="C171" s="31"/>
      <c r="D171" s="31"/>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row>
    <row r="172" spans="1:66" ht="20" customHeight="1">
      <c r="A172" s="30"/>
      <c r="B172" s="30"/>
      <c r="C172" s="31"/>
      <c r="D172" s="31"/>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row>
    <row r="173" spans="1:66" ht="20" customHeight="1">
      <c r="A173" s="30"/>
      <c r="B173" s="30"/>
      <c r="C173" s="31"/>
      <c r="D173" s="31"/>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row>
    <row r="174" spans="1:66" ht="20" customHeight="1">
      <c r="A174" s="30"/>
      <c r="B174" s="30"/>
      <c r="C174" s="31"/>
      <c r="D174" s="31"/>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row>
    <row r="175" spans="1:66" ht="20" customHeight="1">
      <c r="A175" s="30"/>
      <c r="B175" s="30"/>
      <c r="C175" s="31"/>
      <c r="D175" s="31"/>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row>
    <row r="176" spans="1:66" ht="20" customHeight="1">
      <c r="A176" s="30"/>
      <c r="B176" s="30"/>
      <c r="C176" s="31"/>
      <c r="D176" s="31"/>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row>
    <row r="177" spans="1:66" ht="20" customHeight="1">
      <c r="A177" s="30"/>
      <c r="B177" s="30"/>
      <c r="C177" s="31"/>
      <c r="D177" s="31"/>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row>
    <row r="178" spans="1:66" ht="20" customHeight="1">
      <c r="A178" s="30"/>
      <c r="B178" s="30"/>
      <c r="C178" s="31"/>
      <c r="D178" s="31"/>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row>
    <row r="179" spans="1:66" ht="20" customHeight="1">
      <c r="A179" s="30"/>
      <c r="B179" s="30"/>
      <c r="C179" s="31"/>
      <c r="D179" s="31"/>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row>
    <row r="180" spans="1:66" ht="20" customHeight="1">
      <c r="A180" s="30"/>
      <c r="B180" s="30"/>
      <c r="C180" s="31"/>
      <c r="D180" s="31"/>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row>
    <row r="181" spans="1:66" ht="20" customHeight="1">
      <c r="A181" s="30"/>
      <c r="B181" s="30"/>
      <c r="C181" s="31"/>
      <c r="D181" s="31"/>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row>
    <row r="182" spans="1:66" ht="20" customHeight="1">
      <c r="A182" s="30"/>
      <c r="B182" s="30"/>
      <c r="C182" s="31"/>
      <c r="D182" s="31"/>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row>
    <row r="183" spans="1:66" ht="20" customHeight="1">
      <c r="A183" s="30"/>
      <c r="B183" s="30"/>
      <c r="C183" s="31"/>
      <c r="D183" s="31"/>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row>
    <row r="184" spans="1:66" ht="20" customHeight="1">
      <c r="A184" s="30"/>
      <c r="B184" s="30"/>
      <c r="C184" s="31"/>
      <c r="D184" s="31"/>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row>
    <row r="185" spans="1:66" ht="20" customHeight="1">
      <c r="A185" s="30"/>
      <c r="B185" s="30"/>
      <c r="C185" s="31"/>
      <c r="D185" s="31"/>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row>
    <row r="186" spans="1:66" ht="20" customHeight="1">
      <c r="A186" s="30"/>
      <c r="B186" s="30"/>
      <c r="C186" s="31"/>
      <c r="D186" s="31"/>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row>
    <row r="187" spans="1:66" ht="20" customHeight="1">
      <c r="A187" s="30"/>
      <c r="B187" s="30"/>
      <c r="C187" s="31"/>
      <c r="D187" s="31"/>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row>
    <row r="188" spans="1:66" ht="20" customHeight="1">
      <c r="A188" s="30"/>
      <c r="B188" s="30"/>
      <c r="C188" s="31"/>
      <c r="D188" s="31"/>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row>
    <row r="189" spans="1:66" ht="20" customHeight="1">
      <c r="A189" s="30"/>
      <c r="B189" s="30"/>
      <c r="C189" s="31"/>
      <c r="D189" s="31"/>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row>
    <row r="190" spans="1:66" ht="20" customHeight="1">
      <c r="A190" s="30"/>
      <c r="B190" s="30"/>
      <c r="C190" s="31"/>
      <c r="D190" s="31"/>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row>
    <row r="191" spans="1:66" ht="20" customHeight="1">
      <c r="A191" s="30"/>
      <c r="B191" s="30"/>
      <c r="C191" s="31"/>
      <c r="D191" s="31"/>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row>
    <row r="192" spans="1:66" ht="20" customHeight="1">
      <c r="A192" s="30"/>
      <c r="B192" s="30"/>
      <c r="C192" s="31"/>
      <c r="D192" s="31"/>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row>
    <row r="193" spans="1:66" ht="20" customHeight="1">
      <c r="A193" s="30"/>
      <c r="B193" s="30"/>
      <c r="C193" s="31"/>
      <c r="D193" s="31"/>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row>
    <row r="194" spans="1:66" ht="20" customHeight="1">
      <c r="A194" s="30"/>
      <c r="B194" s="30"/>
      <c r="C194" s="31"/>
      <c r="D194" s="31"/>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row>
    <row r="195" spans="1:66" ht="20" customHeight="1">
      <c r="A195" s="30"/>
      <c r="B195" s="30"/>
      <c r="C195" s="31"/>
      <c r="D195" s="31"/>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row>
    <row r="196" spans="1:66" ht="20" customHeight="1">
      <c r="A196" s="30"/>
      <c r="B196" s="30"/>
      <c r="C196" s="31"/>
      <c r="D196" s="31"/>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row>
    <row r="197" spans="1:66" ht="20" customHeight="1">
      <c r="A197" s="30"/>
      <c r="B197" s="30"/>
      <c r="C197" s="31"/>
      <c r="D197" s="31"/>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row>
    <row r="198" spans="1:66" ht="20" customHeight="1">
      <c r="A198" s="30"/>
      <c r="B198" s="30"/>
      <c r="C198" s="31"/>
      <c r="D198" s="31"/>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row>
    <row r="199" spans="1:66" ht="20" customHeight="1">
      <c r="A199" s="30"/>
      <c r="B199" s="30"/>
      <c r="C199" s="31"/>
      <c r="D199" s="31"/>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row>
    <row r="200" spans="1:66" ht="20" customHeight="1">
      <c r="A200" s="30"/>
      <c r="B200" s="30"/>
      <c r="C200" s="31"/>
      <c r="D200" s="31"/>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607483"/>
  </sheetPr>
  <dimension ref="A1:BN200"/>
  <sheetViews>
    <sheetView showGridLines="0" workbookViewId="0">
      <pane xSplit="4" ySplit="7" topLeftCell="E8" activePane="bottomRight" state="frozen"/>
      <selection pane="topRight"/>
      <selection pane="bottomLeft"/>
      <selection pane="bottomRight" activeCell="E8" sqref="E8"/>
    </sheetView>
  </sheetViews>
  <sheetFormatPr baseColWidth="10" defaultColWidth="8.83203125" defaultRowHeight="14"/>
  <cols>
    <col min="1" max="2" width="2" customWidth="1"/>
    <col min="3" max="3" width="48" customWidth="1"/>
    <col min="4" max="4" width="3" customWidth="1"/>
    <col min="5" max="66" width="14" customWidth="1"/>
  </cols>
  <sheetData>
    <row r="1" spans="1:66" ht="20" customHeight="1">
      <c r="A1" s="30"/>
      <c r="B1" s="30"/>
      <c r="C1" s="31"/>
      <c r="D1" s="31"/>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row>
    <row r="2" spans="1:66" ht="20" customHeight="1">
      <c r="A2" s="30"/>
      <c r="B2" s="30"/>
      <c r="C2" s="33" t="s">
        <v>326</v>
      </c>
      <c r="D2" s="31"/>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row>
    <row r="3" spans="1:66" ht="20" customHeight="1">
      <c r="A3" s="30"/>
      <c r="B3" s="30"/>
      <c r="C3" s="34" t="s">
        <v>49</v>
      </c>
      <c r="D3" s="31"/>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row>
    <row r="4" spans="1:66" ht="20" customHeight="1">
      <c r="A4" s="30"/>
      <c r="B4" s="30"/>
      <c r="C4" s="31" t="s">
        <v>2</v>
      </c>
      <c r="D4" s="31"/>
      <c r="E4" s="35" t="str">
        <f>CHOOSE(Assumptions!$E$5,"Base","Downside","Upside")</f>
        <v>Base</v>
      </c>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row>
    <row r="5" spans="1:66" ht="20" customHeight="1">
      <c r="A5" s="30"/>
      <c r="B5" s="30"/>
      <c r="C5" s="31"/>
      <c r="D5" s="31"/>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row>
    <row r="6" spans="1:66" ht="20" customHeight="1">
      <c r="A6" s="30"/>
      <c r="B6" s="30"/>
      <c r="C6" s="31"/>
      <c r="D6" s="31"/>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row>
    <row r="7" spans="1:66" ht="24" customHeight="1">
      <c r="A7" s="30"/>
      <c r="B7" s="30"/>
      <c r="C7" s="36" t="s">
        <v>327</v>
      </c>
      <c r="D7" s="36"/>
      <c r="E7" s="37">
        <v>2027</v>
      </c>
      <c r="F7" s="37">
        <v>2028</v>
      </c>
      <c r="G7" s="37">
        <v>2029</v>
      </c>
      <c r="H7" s="37">
        <v>2030</v>
      </c>
      <c r="I7" s="37">
        <v>2031</v>
      </c>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2"/>
      <c r="BN7" s="32"/>
    </row>
    <row r="8" spans="1:66" ht="20" customHeight="1">
      <c r="A8" s="30"/>
      <c r="B8" s="30"/>
      <c r="C8" s="31" t="s">
        <v>328</v>
      </c>
      <c r="D8" s="31"/>
      <c r="E8" s="35">
        <f>Statements!E8</f>
        <v>750</v>
      </c>
      <c r="F8" s="35">
        <f>Statements!F8</f>
        <v>714.70000000000027</v>
      </c>
      <c r="G8" s="35">
        <f>Statements!G8</f>
        <v>728.71500000000015</v>
      </c>
      <c r="H8" s="35">
        <f>Statements!H8</f>
        <v>743.11845000000005</v>
      </c>
      <c r="I8" s="35">
        <f>Statements!I8</f>
        <v>757.92136349999998</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row>
    <row r="9" spans="1:66" ht="20" customHeight="1">
      <c r="A9" s="30"/>
      <c r="B9" s="30"/>
      <c r="C9" s="31" t="s">
        <v>329</v>
      </c>
      <c r="D9" s="31"/>
      <c r="E9" s="35">
        <f>Assumptions!E238</f>
        <v>25</v>
      </c>
      <c r="F9" s="35">
        <f>Assumptions!F238</f>
        <v>25</v>
      </c>
      <c r="G9" s="35">
        <f>Assumptions!G238</f>
        <v>25</v>
      </c>
      <c r="H9" s="35">
        <f>Assumptions!H238</f>
        <v>25</v>
      </c>
      <c r="I9" s="35">
        <f>Assumptions!I238</f>
        <v>25</v>
      </c>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row>
    <row r="10" spans="1:66" ht="20" customHeight="1">
      <c r="A10" s="30"/>
      <c r="B10" s="30"/>
      <c r="C10" s="31" t="s">
        <v>330</v>
      </c>
      <c r="D10" s="31"/>
      <c r="E10" s="46">
        <f>E8-E9</f>
        <v>725</v>
      </c>
      <c r="F10" s="46">
        <f>F8-F9</f>
        <v>689.70000000000027</v>
      </c>
      <c r="G10" s="46">
        <f>G8-G9</f>
        <v>703.71500000000015</v>
      </c>
      <c r="H10" s="46">
        <f>H8-H9</f>
        <v>718.11845000000005</v>
      </c>
      <c r="I10" s="46">
        <f>I8-I9</f>
        <v>732.92136349999998</v>
      </c>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row>
    <row r="11" spans="1:66" ht="20" customHeight="1">
      <c r="A11" s="30"/>
      <c r="B11" s="30"/>
      <c r="C11" s="31" t="s">
        <v>331</v>
      </c>
      <c r="D11" s="31"/>
      <c r="E11" s="35">
        <f>(Historical!F68+Historical!G68+Statements!E15)/3</f>
        <v>45.418507936507929</v>
      </c>
      <c r="F11" s="35">
        <f>(Historical!G68+Statements!E15+Statements!F15)/3</f>
        <v>40.454243386243384</v>
      </c>
      <c r="G11" s="35">
        <f>(Statements!E15+Statements!F15+Statements!G15)/3</f>
        <v>36.110312169312174</v>
      </c>
      <c r="H11" s="35">
        <f>(Statements!F15+Statements!G15+Statements!H15)/3</f>
        <v>33.849206349206348</v>
      </c>
      <c r="I11" s="35">
        <f>(Statements!G15+Statements!H15+Statements!I15)/3</f>
        <v>33.849206349206348</v>
      </c>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row>
    <row r="12" spans="1:66" ht="20" customHeight="1">
      <c r="A12" s="30"/>
      <c r="B12" s="30"/>
      <c r="C12" s="31" t="s">
        <v>332</v>
      </c>
      <c r="D12" s="31"/>
      <c r="E12" s="46">
        <f>E10+E11</f>
        <v>770.41850793650792</v>
      </c>
      <c r="F12" s="46">
        <f>F10+F11</f>
        <v>730.15424338624371</v>
      </c>
      <c r="G12" s="46">
        <f>G10+G11</f>
        <v>739.82531216931227</v>
      </c>
      <c r="H12" s="46">
        <f>H10+H11</f>
        <v>751.96765634920644</v>
      </c>
      <c r="I12" s="46">
        <f>I10+I11</f>
        <v>766.77056984920637</v>
      </c>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row>
    <row r="13" spans="1:66" ht="20" customHeight="1">
      <c r="A13" s="30"/>
      <c r="B13" s="30"/>
      <c r="C13" s="31" t="s">
        <v>333</v>
      </c>
      <c r="D13" s="31"/>
      <c r="E13" s="35">
        <f>SUM('Revenue costs'!E20:P20)</f>
        <v>262.5</v>
      </c>
      <c r="F13" s="35">
        <f>SUM('Revenue costs'!Q20:AB20)</f>
        <v>264.75</v>
      </c>
      <c r="G13" s="35">
        <f>SUM('Revenue costs'!AC20:AN20)</f>
        <v>270.55499999999995</v>
      </c>
      <c r="H13" s="35">
        <f>SUM('Revenue costs'!AO20:AZ20)</f>
        <v>279.98610000000002</v>
      </c>
      <c r="I13" s="35">
        <f>SUM('Revenue costs'!BA20:BL20)</f>
        <v>293.11582200000004</v>
      </c>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row>
    <row r="14" spans="1:66" ht="20" customHeight="1">
      <c r="A14" s="30"/>
      <c r="B14" s="30"/>
      <c r="C14" s="31" t="s">
        <v>334</v>
      </c>
      <c r="D14" s="31"/>
      <c r="E14" s="35">
        <f>Statements!E12+Assumptions!E263</f>
        <v>183.95475099493953</v>
      </c>
      <c r="F14" s="35">
        <f>Statements!F12+Assumptions!F263</f>
        <v>167.57380561043786</v>
      </c>
      <c r="G14" s="35">
        <f>Statements!G12+Assumptions!G263</f>
        <v>141.08090116526321</v>
      </c>
      <c r="H14" s="35">
        <f>Statements!H12+Assumptions!H263</f>
        <v>115.34467756398099</v>
      </c>
      <c r="I14" s="35">
        <f>Statements!I12+Assumptions!I263</f>
        <v>95.989273957312321</v>
      </c>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row>
    <row r="15" spans="1:66" ht="20" customHeight="1">
      <c r="A15" s="30"/>
      <c r="B15" s="30"/>
      <c r="C15" s="31" t="s">
        <v>335</v>
      </c>
      <c r="D15" s="31"/>
      <c r="E15" s="35">
        <f>Assumptions!E258</f>
        <v>3</v>
      </c>
      <c r="F15" s="35">
        <f>Assumptions!F258</f>
        <v>3</v>
      </c>
      <c r="G15" s="35">
        <f>Assumptions!G258</f>
        <v>3</v>
      </c>
      <c r="H15" s="35">
        <f>Assumptions!H258</f>
        <v>3</v>
      </c>
      <c r="I15" s="35">
        <f>Assumptions!I258</f>
        <v>3</v>
      </c>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row>
    <row r="16" spans="1:66" ht="20" customHeight="1">
      <c r="A16" s="30"/>
      <c r="B16" s="30"/>
      <c r="C16" s="31" t="s">
        <v>336</v>
      </c>
      <c r="D16" s="31"/>
      <c r="E16" s="46">
        <f>SUM(E13:E15)</f>
        <v>449.45475099493956</v>
      </c>
      <c r="F16" s="46">
        <f>SUM(F13:F15)</f>
        <v>435.32380561043783</v>
      </c>
      <c r="G16" s="46">
        <f>SUM(G13:G15)</f>
        <v>414.63590116526314</v>
      </c>
      <c r="H16" s="46">
        <f>SUM(H13:H15)</f>
        <v>398.33077756398103</v>
      </c>
      <c r="I16" s="46">
        <f>SUM(I13:I15)</f>
        <v>392.10509595731236</v>
      </c>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row>
    <row r="17" spans="1:66" ht="20" customHeight="1">
      <c r="A17" s="30"/>
      <c r="B17" s="30"/>
      <c r="C17" s="31" t="s">
        <v>337</v>
      </c>
      <c r="D17" s="31"/>
      <c r="E17" s="48">
        <f>E16/E12</f>
        <v>0.58339038634827323</v>
      </c>
      <c r="F17" s="48">
        <f>F16/F12</f>
        <v>0.59620800612146307</v>
      </c>
      <c r="G17" s="48">
        <f>G16/G12</f>
        <v>0.56045108804059396</v>
      </c>
      <c r="H17" s="48">
        <f>H16/H12</f>
        <v>0.52971796619268441</v>
      </c>
      <c r="I17" s="48">
        <f>I16/I12</f>
        <v>0.51137212534699139</v>
      </c>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row>
    <row r="18" spans="1:66" ht="20" customHeight="1">
      <c r="A18" s="30"/>
      <c r="B18" s="30"/>
      <c r="C18" s="31" t="s">
        <v>338</v>
      </c>
      <c r="D18" s="31"/>
      <c r="E18" s="46">
        <f>0.85*E12-E16</f>
        <v>205.40098075109211</v>
      </c>
      <c r="F18" s="46">
        <f>0.85*F12-F16</f>
        <v>185.30730126786932</v>
      </c>
      <c r="G18" s="46">
        <f>0.85*G12-G16</f>
        <v>214.21561417865223</v>
      </c>
      <c r="H18" s="46">
        <f>0.85*H12-H16</f>
        <v>240.84173033284441</v>
      </c>
      <c r="I18" s="46">
        <f>0.85*I12-I16</f>
        <v>259.64988841451299</v>
      </c>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row>
    <row r="19" spans="1:66" ht="20" customHeight="1">
      <c r="A19" s="30"/>
      <c r="B19" s="30"/>
      <c r="C19" s="31"/>
      <c r="D19" s="31"/>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row>
    <row r="20" spans="1:66" ht="20" customHeight="1">
      <c r="A20" s="30"/>
      <c r="B20" s="30"/>
      <c r="C20" s="31" t="s">
        <v>339</v>
      </c>
      <c r="D20" s="31"/>
      <c r="E20" s="35">
        <f>Assumptions!E248</f>
        <v>-15</v>
      </c>
      <c r="F20" s="35">
        <f>Assumptions!F248</f>
        <v>-15</v>
      </c>
      <c r="G20" s="35">
        <f>Assumptions!G248</f>
        <v>-15</v>
      </c>
      <c r="H20" s="35">
        <f>Assumptions!H248</f>
        <v>-15</v>
      </c>
      <c r="I20" s="35">
        <f>Assumptions!I248</f>
        <v>-15</v>
      </c>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row>
    <row r="21" spans="1:66" ht="20" customHeight="1">
      <c r="A21" s="30"/>
      <c r="B21" s="30"/>
      <c r="C21" s="31" t="s">
        <v>340</v>
      </c>
      <c r="D21" s="31"/>
      <c r="E21" s="35">
        <f>Assumptions!E253</f>
        <v>0</v>
      </c>
      <c r="F21" s="35">
        <f>Assumptions!F253</f>
        <v>0</v>
      </c>
      <c r="G21" s="35">
        <f>Assumptions!G253</f>
        <v>0</v>
      </c>
      <c r="H21" s="35">
        <f>Assumptions!H253</f>
        <v>0</v>
      </c>
      <c r="I21" s="35">
        <f>Assumptions!I253</f>
        <v>0</v>
      </c>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row>
    <row r="22" spans="1:66" ht="20" customHeight="1">
      <c r="A22" s="30"/>
      <c r="B22" s="30"/>
      <c r="C22" s="31" t="s">
        <v>341</v>
      </c>
      <c r="D22" s="31"/>
      <c r="E22" s="46">
        <f>E12+E20+E21</f>
        <v>755.41850793650792</v>
      </c>
      <c r="F22" s="46">
        <f>F12+F20+F21</f>
        <v>715.15424338624371</v>
      </c>
      <c r="G22" s="46">
        <f>G12+G20+G21</f>
        <v>724.82531216931227</v>
      </c>
      <c r="H22" s="46">
        <f>H12+H20+H21</f>
        <v>736.96765634920644</v>
      </c>
      <c r="I22" s="46">
        <f>I12+I20+I21</f>
        <v>751.77056984920637</v>
      </c>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row>
    <row r="23" spans="1:66" ht="20" customHeight="1">
      <c r="A23" s="30"/>
      <c r="B23" s="30"/>
      <c r="C23" s="31" t="s">
        <v>342</v>
      </c>
      <c r="D23" s="31"/>
      <c r="E23" s="35">
        <f>Assumptions!E243</f>
        <v>5</v>
      </c>
      <c r="F23" s="35">
        <f>Assumptions!F243</f>
        <v>5</v>
      </c>
      <c r="G23" s="35">
        <f>Assumptions!G243</f>
        <v>5</v>
      </c>
      <c r="H23" s="35">
        <f>Assumptions!H243</f>
        <v>5</v>
      </c>
      <c r="I23" s="35">
        <f>Assumptions!I243</f>
        <v>5</v>
      </c>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row>
    <row r="24" spans="1:66" ht="20" customHeight="1">
      <c r="A24" s="30"/>
      <c r="B24" s="30"/>
      <c r="C24" s="31" t="s">
        <v>343</v>
      </c>
      <c r="D24" s="31"/>
      <c r="E24" s="46">
        <f>E16+E23</f>
        <v>454.45475099493956</v>
      </c>
      <c r="F24" s="46">
        <f>F16+F23</f>
        <v>440.32380561043783</v>
      </c>
      <c r="G24" s="46">
        <f>G16+G23</f>
        <v>419.63590116526314</v>
      </c>
      <c r="H24" s="46">
        <f>H16+H23</f>
        <v>403.33077756398103</v>
      </c>
      <c r="I24" s="46">
        <f>I16+I23</f>
        <v>397.10509595731236</v>
      </c>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row>
    <row r="25" spans="1:66" ht="20" customHeight="1">
      <c r="A25" s="30"/>
      <c r="B25" s="30"/>
      <c r="C25" s="31" t="s">
        <v>344</v>
      </c>
      <c r="D25" s="31"/>
      <c r="E25" s="48">
        <f>E24/E22</f>
        <v>0.60159335020308502</v>
      </c>
      <c r="F25" s="48">
        <f>F24/F22</f>
        <v>0.6157046674651776</v>
      </c>
      <c r="G25" s="48">
        <f>G24/G22</f>
        <v>0.57894763623712997</v>
      </c>
      <c r="H25" s="48">
        <f>H24/H22</f>
        <v>0.54728423166086115</v>
      </c>
      <c r="I25" s="48">
        <f>I24/I22</f>
        <v>0.52822644551909703</v>
      </c>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row>
    <row r="26" spans="1:66" ht="20" customHeight="1">
      <c r="A26" s="30"/>
      <c r="B26" s="30"/>
      <c r="C26" s="31" t="s">
        <v>345</v>
      </c>
      <c r="D26" s="31"/>
      <c r="E26" s="46">
        <f>0.85*E22-E24</f>
        <v>187.65098075109211</v>
      </c>
      <c r="F26" s="46">
        <f>0.85*F22-F24</f>
        <v>167.55730126786932</v>
      </c>
      <c r="G26" s="46">
        <f>0.85*G22-G24</f>
        <v>196.46561417865223</v>
      </c>
      <c r="H26" s="46">
        <f>0.85*H22-H24</f>
        <v>223.09173033284441</v>
      </c>
      <c r="I26" s="46">
        <f>0.85*I22-I24</f>
        <v>241.89988841451299</v>
      </c>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row>
    <row r="27" spans="1:66" ht="20" customHeight="1">
      <c r="A27" s="30"/>
      <c r="B27" s="30"/>
      <c r="C27" s="31"/>
      <c r="D27" s="31"/>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row>
    <row r="28" spans="1:66" ht="20" customHeight="1">
      <c r="A28" s="30"/>
      <c r="B28" s="30"/>
      <c r="C28" s="31" t="s">
        <v>346</v>
      </c>
      <c r="D28" s="31"/>
      <c r="E28" s="48">
        <f>0.3</f>
        <v>0.3</v>
      </c>
      <c r="F28" s="48">
        <f>E32</f>
        <v>0.3</v>
      </c>
      <c r="G28" s="48">
        <f>F32</f>
        <v>0.3</v>
      </c>
      <c r="H28" s="48">
        <f>G32</f>
        <v>0.3</v>
      </c>
      <c r="I28" s="48">
        <f>H32</f>
        <v>0.3</v>
      </c>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row>
    <row r="29" spans="1:66" ht="20" customHeight="1">
      <c r="A29" s="30"/>
      <c r="B29" s="30"/>
      <c r="C29" s="31" t="s">
        <v>347</v>
      </c>
      <c r="D29" s="31"/>
      <c r="E29" s="48">
        <f>0.85+E28</f>
        <v>1.1499999999999999</v>
      </c>
      <c r="F29" s="48">
        <f>0.85+F28</f>
        <v>1.1499999999999999</v>
      </c>
      <c r="G29" s="48">
        <f>0.85+G28</f>
        <v>1.1499999999999999</v>
      </c>
      <c r="H29" s="48">
        <f>0.85+H28</f>
        <v>1.1499999999999999</v>
      </c>
      <c r="I29" s="48">
        <f>0.85+I28</f>
        <v>1.1499999999999999</v>
      </c>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row>
    <row r="30" spans="1:66" ht="20" customHeight="1">
      <c r="A30" s="30"/>
      <c r="B30" s="30"/>
      <c r="C30" s="31" t="s">
        <v>348</v>
      </c>
      <c r="D30" s="31"/>
      <c r="E30" s="46">
        <f>E29*E22-E24</f>
        <v>414.27653313204451</v>
      </c>
      <c r="F30" s="46">
        <f>F29*F22-F24</f>
        <v>382.10357428374232</v>
      </c>
      <c r="G30" s="46">
        <f>G29*G22-G24</f>
        <v>413.91320782944592</v>
      </c>
      <c r="H30" s="46">
        <f>H29*H22-H24</f>
        <v>444.18202723760629</v>
      </c>
      <c r="I30" s="46">
        <f>I29*I22-I24</f>
        <v>467.43105936927492</v>
      </c>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row>
    <row r="31" spans="1:66" ht="20" customHeight="1">
      <c r="A31" s="30"/>
      <c r="B31" s="30"/>
      <c r="C31" s="31" t="s">
        <v>349</v>
      </c>
      <c r="D31" s="31"/>
      <c r="E31" s="102">
        <f>ROUND(MIN(MAX(0,-E26)/E12,MAX(0,ROUND((E17-0.85)*100,0)/100))*100,0)/100</f>
        <v>0</v>
      </c>
      <c r="F31" s="102">
        <f>ROUND(MIN(MAX(0,-F26)/F12,MAX(0,ROUND((F17-0.85)*100,0)/100))*100,0)/100</f>
        <v>0</v>
      </c>
      <c r="G31" s="102">
        <f>ROUND(MIN(MAX(0,-G26)/G12,MAX(0,ROUND((G17-0.85)*100,0)/100))*100,0)/100</f>
        <v>0</v>
      </c>
      <c r="H31" s="102">
        <f>ROUND(MIN(MAX(0,-H26)/H12,MAX(0,ROUND((H17-0.85)*100,0)/100))*100,0)/100</f>
        <v>0</v>
      </c>
      <c r="I31" s="102">
        <f>ROUND(MIN(MAX(0,-I26)/I12,MAX(0,ROUND((I17-0.85)*100,0)/100))*100,0)/100</f>
        <v>0</v>
      </c>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row>
    <row r="32" spans="1:66" ht="20" customHeight="1">
      <c r="A32" s="30"/>
      <c r="B32" s="30"/>
      <c r="C32" s="31" t="s">
        <v>350</v>
      </c>
      <c r="D32" s="31"/>
      <c r="E32" s="102">
        <f>MIN(0.3,MAX(0,E28+IF(OR(E26&gt;=0,E18&gt;=0),0.1,-E31)))</f>
        <v>0.3</v>
      </c>
      <c r="F32" s="102">
        <f>MIN(0.3,MAX(0,F28+IF(OR(F26&gt;=0,F18&gt;=0),0.1,-F31)))</f>
        <v>0.3</v>
      </c>
      <c r="G32" s="102">
        <f>MIN(0.3,MAX(0,G28+IF(OR(G26&gt;=0,G18&gt;=0),0.1,-G31)))</f>
        <v>0.3</v>
      </c>
      <c r="H32" s="102">
        <f>MIN(0.3,MAX(0,H28+IF(OR(H26&gt;=0,H18&gt;=0),0.1,-H31)))</f>
        <v>0.3</v>
      </c>
      <c r="I32" s="102">
        <f>MIN(0.3,MAX(0,I28+IF(OR(I26&gt;=0,I18&gt;=0),0.1,-I31)))</f>
        <v>0.3</v>
      </c>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row>
    <row r="33" spans="1:66" ht="20" customHeight="1">
      <c r="A33" s="30"/>
      <c r="B33" s="30"/>
      <c r="C33" s="31" t="s">
        <v>351</v>
      </c>
      <c r="D33" s="31"/>
      <c r="E33" s="35">
        <f>0</f>
        <v>0</v>
      </c>
      <c r="F33" s="35">
        <f>MAX(0,MIN(-F26,-F18))*MAX(0,ROUND((F17-0.85)*100,0))/100</f>
        <v>0</v>
      </c>
      <c r="G33" s="35">
        <f>MAX(0,MIN(-G26,-G18))*MAX(0,ROUND((G17-0.85)*100,0))/100</f>
        <v>0</v>
      </c>
      <c r="H33" s="35">
        <f>MAX(0,MIN(-H26,-H18))*MAX(0,ROUND((H17-0.85)*100,0))/100</f>
        <v>0</v>
      </c>
      <c r="I33" s="35">
        <f>MAX(0,MIN(-I26,-I18))*MAX(0,ROUND((I17-0.85)*100,0))/100</f>
        <v>0</v>
      </c>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row>
    <row r="34" spans="1:66" ht="20" customHeight="1">
      <c r="A34" s="30"/>
      <c r="B34" s="30"/>
      <c r="C34" s="31"/>
      <c r="D34" s="31"/>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row>
    <row r="35" spans="1:66" ht="20" customHeight="1">
      <c r="A35" s="30"/>
      <c r="B35" s="30"/>
      <c r="C35" s="31" t="s">
        <v>352</v>
      </c>
      <c r="D35" s="31"/>
      <c r="E35" s="46">
        <f>12.5</f>
        <v>12.5</v>
      </c>
      <c r="F35" s="35">
        <f>E35*(1+MAX(0,Assumptions!F283))</f>
        <v>12.75</v>
      </c>
      <c r="G35" s="35">
        <f>F35*(1+MAX(0,Assumptions!G283))</f>
        <v>13.005000000000001</v>
      </c>
      <c r="H35" s="35">
        <f>G35*(1+MAX(0,Assumptions!H283))</f>
        <v>13.2651</v>
      </c>
      <c r="I35" s="35">
        <f>H35*(1+MAX(0,Assumptions!I283))</f>
        <v>13.530402</v>
      </c>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row>
    <row r="36" spans="1:66" ht="20" customHeight="1">
      <c r="A36" s="30"/>
      <c r="B36" s="30"/>
      <c r="C36" s="31" t="s">
        <v>353</v>
      </c>
      <c r="D36" s="31"/>
      <c r="E36" s="35">
        <f>MIN('Debt cash'!E39:P39)</f>
        <v>179.49677141745772</v>
      </c>
      <c r="F36" s="35">
        <f>MIN('Debt cash'!Q39:AB39)</f>
        <v>159.77822271286959</v>
      </c>
      <c r="G36" s="35">
        <f>MIN('Debt cash'!AC39:AN39)</f>
        <v>168.36763632506296</v>
      </c>
      <c r="H36" s="35">
        <f>MIN('Debt cash'!AO39:AZ39)</f>
        <v>241.81273774540469</v>
      </c>
      <c r="I36" s="35">
        <f>MIN('Debt cash'!BA39:BL39)</f>
        <v>294.69047437821541</v>
      </c>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row>
    <row r="37" spans="1:66" ht="20" customHeight="1">
      <c r="A37" s="30"/>
      <c r="B37" s="30"/>
      <c r="C37" s="31" t="s">
        <v>354</v>
      </c>
      <c r="D37" s="31"/>
      <c r="E37" s="46">
        <f>E36-E35</f>
        <v>166.99677141745772</v>
      </c>
      <c r="F37" s="46">
        <f>F36-F35</f>
        <v>147.02822271286959</v>
      </c>
      <c r="G37" s="46">
        <f>G36-G35</f>
        <v>155.36263632506297</v>
      </c>
      <c r="H37" s="46">
        <f>H36-H35</f>
        <v>228.5476377454047</v>
      </c>
      <c r="I37" s="46">
        <f>I36-I35</f>
        <v>281.16007237821543</v>
      </c>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row>
    <row r="38" spans="1:66" ht="20" customHeight="1">
      <c r="A38" s="30"/>
      <c r="B38" s="30"/>
      <c r="C38" s="31" t="s">
        <v>355</v>
      </c>
      <c r="D38" s="31"/>
      <c r="E38" s="35">
        <f>IF(Capacity!$E$10&lt;0,Assumptions!E268,Capacity!$E$10)</f>
        <v>700</v>
      </c>
      <c r="F38" s="35">
        <f>IF(Capacity!$E$10&lt;0,Assumptions!F268,Capacity!$E$10)</f>
        <v>700</v>
      </c>
      <c r="G38" s="35">
        <f>IF(Capacity!$E$10&lt;0,Assumptions!G268,Capacity!$E$10)</f>
        <v>700</v>
      </c>
      <c r="H38" s="35">
        <f>IF(Capacity!$E$10&lt;0,Assumptions!H268,Capacity!$E$10)</f>
        <v>700</v>
      </c>
      <c r="I38" s="35">
        <f>IF(Capacity!$E$10&lt;0,Assumptions!I268,Capacity!$E$10)</f>
        <v>700</v>
      </c>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row>
    <row r="39" spans="1:66" ht="20" customHeight="1">
      <c r="A39" s="30"/>
      <c r="B39" s="30"/>
      <c r="C39" s="31" t="s">
        <v>356</v>
      </c>
      <c r="D39" s="31"/>
      <c r="E39" s="35">
        <f>SUM('Debt cash'!E15:AB15)-SUM('Debt cash'!E22:AB22)-SUM('Debt cash'!E25:AB25)+SUM('Debt cash'!E26:AB26)</f>
        <v>-152.68213099794622</v>
      </c>
      <c r="F39" s="35">
        <f>SUM('Debt cash'!Q15:AN15)-SUM('Debt cash'!Q22:AN22)-SUM('Debt cash'!Q25:AN25)+SUM('Debt cash'!Q26:AN26)</f>
        <v>53.130111873876004</v>
      </c>
      <c r="G39" s="35">
        <f>SUM('Debt cash'!AC15:AZ15)-SUM('Debt cash'!AC22:AZ22)-SUM('Debt cash'!AC25:AZ25)+SUM('Debt cash'!AC26:AZ26)</f>
        <v>143.49977113450734</v>
      </c>
      <c r="H39" s="35">
        <f>SUM('Debt cash'!AO15:BL15)-SUM('Debt cash'!AO22:BL22)-SUM('Debt cash'!AO25:BL25)+SUM('Debt cash'!AO26:BL26)</f>
        <v>119.48845504675421</v>
      </c>
      <c r="I39" s="35">
        <f>SUM('Debt cash'!BA15:BL15)-SUM('Debt cash'!BA22:BL22)-SUM('Debt cash'!BA25:BL25)+SUM('Debt cash'!BA26:BL26)</f>
        <v>60.709947653987683</v>
      </c>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row>
    <row r="40" spans="1:66" ht="20" customHeight="1">
      <c r="A40" s="30"/>
      <c r="B40" s="30"/>
      <c r="C40" s="31" t="s">
        <v>357</v>
      </c>
      <c r="D40" s="31"/>
      <c r="E40" s="35">
        <f>Assumptions!E278</f>
        <v>0</v>
      </c>
      <c r="F40" s="35">
        <f>Assumptions!F278</f>
        <v>0</v>
      </c>
      <c r="G40" s="35">
        <f>Assumptions!G278</f>
        <v>0</v>
      </c>
      <c r="H40" s="35">
        <f>Assumptions!H278</f>
        <v>0</v>
      </c>
      <c r="I40" s="35">
        <f>Assumptions!I278</f>
        <v>0</v>
      </c>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row>
    <row r="41" spans="1:66" ht="20" customHeight="1">
      <c r="A41" s="30"/>
      <c r="B41" s="30"/>
      <c r="C41" s="31" t="s">
        <v>358</v>
      </c>
      <c r="D41" s="31"/>
      <c r="E41" s="46">
        <f>E35/12.5*85</f>
        <v>85</v>
      </c>
      <c r="F41" s="46">
        <f>F35/12.5*85</f>
        <v>86.7</v>
      </c>
      <c r="G41" s="46">
        <f>G35/12.5*85</f>
        <v>88.433999999999997</v>
      </c>
      <c r="H41" s="46">
        <f>H35/12.5*85</f>
        <v>90.202680000000001</v>
      </c>
      <c r="I41" s="46">
        <f>I35/12.5*85</f>
        <v>92.006733600000004</v>
      </c>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row>
    <row r="42" spans="1:66" ht="20" customHeight="1">
      <c r="A42" s="30"/>
      <c r="B42" s="30"/>
      <c r="C42" s="31" t="s">
        <v>359</v>
      </c>
      <c r="D42" s="31"/>
      <c r="E42" s="35">
        <f>'Debt cash'!E8+IF('Debt cash'!E38&gt;=0,MAX(0,'Debt cash'!E27-'Debt cash'!E17)*Assumptions!E273,0)+0.4*E38+E39+E40-E41</f>
        <v>399.56386900205376</v>
      </c>
      <c r="F42" s="35">
        <f>'Debt cash'!Q8+IF('Debt cash'!Q38&gt;=0,MAX(0,'Debt cash'!Q27-'Debt cash'!Q17)*Assumptions!F273,0)+0.4*F38+F39+F40-F41</f>
        <v>482.58513274379442</v>
      </c>
      <c r="G42" s="35">
        <f>'Debt cash'!AC8+IF('Debt cash'!AC38&gt;=0,MAX(0,'Debt cash'!AC27-'Debt cash'!AC17)*Assumptions!G273,0)+0.4*G38+G39+G40-G41</f>
        <v>539.62964013656108</v>
      </c>
      <c r="H42" s="35">
        <f>'Debt cash'!AO8+IF('Debt cash'!AO38&gt;=0,MAX(0,'Debt cash'!AO27-'Debt cash'!AO17)*Assumptions!H273,0)+0.4*H38+H39+H40-H41</f>
        <v>598.57090779054852</v>
      </c>
      <c r="I42" s="35">
        <f>'Debt cash'!BA8+IF('Debt cash'!BA38&gt;=0,MAX(0,'Debt cash'!BA27-'Debt cash'!BA17)*Assumptions!I273,0)+0.4*I38+I39+I40-I41</f>
        <v>596.76685419054866</v>
      </c>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row>
    <row r="43" spans="1:66" ht="20" customHeight="1">
      <c r="A43" s="30"/>
      <c r="B43" s="30"/>
      <c r="C43" s="31" t="s">
        <v>360</v>
      </c>
      <c r="D43" s="31"/>
      <c r="E43" s="35">
        <f>Historical!G82</f>
        <v>1548.9010000000001</v>
      </c>
      <c r="F43" s="35">
        <f>Statements!E42</f>
        <v>1494.0988008148156</v>
      </c>
      <c r="G43" s="35">
        <f>Statements!F42</f>
        <v>1380.7070570920887</v>
      </c>
      <c r="H43" s="35">
        <f>Statements!G42</f>
        <v>1269.84140354632</v>
      </c>
      <c r="I43" s="35">
        <f>Statements!H42</f>
        <v>1204.4001597367924</v>
      </c>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row>
    <row r="44" spans="1:66" ht="20" customHeight="1">
      <c r="A44" s="30"/>
      <c r="B44" s="30"/>
      <c r="C44" s="31" t="s">
        <v>361</v>
      </c>
      <c r="D44" s="31"/>
      <c r="E44" s="35">
        <f>MAX(0,E38-Historical!G65)</f>
        <v>247.70800000000003</v>
      </c>
      <c r="F44" s="35">
        <f>MAX(0,F38-Statements!E39)</f>
        <v>254.98296800122813</v>
      </c>
      <c r="G44" s="35">
        <f>MAX(0,G38-Statements!F39)</f>
        <v>374.85333985721195</v>
      </c>
      <c r="H44" s="35">
        <f>MAX(0,H38-Statements!G39)</f>
        <v>468.23080726802101</v>
      </c>
      <c r="I44" s="35">
        <f>MAX(0,I38-Statements!H39)</f>
        <v>535.87205107754789</v>
      </c>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row>
    <row r="45" spans="1:66" ht="20" customHeight="1">
      <c r="A45" s="30"/>
      <c r="B45" s="30"/>
      <c r="C45" s="31" t="s">
        <v>362</v>
      </c>
      <c r="D45" s="31"/>
      <c r="E45" s="46">
        <f>E43+E44</f>
        <v>1796.6090000000002</v>
      </c>
      <c r="F45" s="46">
        <f>F43+F44</f>
        <v>1749.0817688160437</v>
      </c>
      <c r="G45" s="46">
        <f>G43+G44</f>
        <v>1755.5603969493006</v>
      </c>
      <c r="H45" s="46">
        <f>H43+H44</f>
        <v>1738.0722108143409</v>
      </c>
      <c r="I45" s="46">
        <f>I43+I44</f>
        <v>1740.2722108143403</v>
      </c>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row>
    <row r="46" spans="1:66" ht="20" customHeight="1">
      <c r="A46" s="30"/>
      <c r="B46" s="30"/>
      <c r="C46" s="31" t="s">
        <v>363</v>
      </c>
      <c r="D46" s="31"/>
      <c r="E46" s="35">
        <f>Historical!G84</f>
        <v>1398.538</v>
      </c>
      <c r="F46" s="35">
        <f>Statements!E48</f>
        <v>1363.8109878879229</v>
      </c>
      <c r="G46" s="35">
        <f>Statements!F48</f>
        <v>1288.4844516092385</v>
      </c>
      <c r="H46" s="35">
        <f>Statements!G48</f>
        <v>1178.4515931261697</v>
      </c>
      <c r="I46" s="35">
        <f>Statements!H48</f>
        <v>1080.3958571723849</v>
      </c>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row>
    <row r="47" spans="1:66" ht="20" customHeight="1">
      <c r="A47" s="30"/>
      <c r="B47" s="30"/>
      <c r="C47" s="31" t="s">
        <v>364</v>
      </c>
      <c r="D47" s="31"/>
      <c r="E47" s="48">
        <f>E46/E45</f>
        <v>0.77843203501707936</v>
      </c>
      <c r="F47" s="48">
        <f>F46/F45</f>
        <v>0.77972969143180126</v>
      </c>
      <c r="G47" s="48">
        <f>G46/G45</f>
        <v>0.73394481548358204</v>
      </c>
      <c r="H47" s="48">
        <f>H46/H45</f>
        <v>0.6780222281869569</v>
      </c>
      <c r="I47" s="48">
        <f>I46/I45</f>
        <v>0.62082003634754712</v>
      </c>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row>
    <row r="48" spans="1:66" ht="20" customHeight="1">
      <c r="A48" s="30"/>
      <c r="B48" s="30"/>
      <c r="C48" s="31" t="s">
        <v>365</v>
      </c>
      <c r="D48" s="31"/>
      <c r="E48" s="48">
        <f>0.9</f>
        <v>0.9</v>
      </c>
      <c r="F48" s="48">
        <f>0.85</f>
        <v>0.85</v>
      </c>
      <c r="G48" s="48">
        <f>0.8</f>
        <v>0.8</v>
      </c>
      <c r="H48" s="48">
        <f>0.8</f>
        <v>0.8</v>
      </c>
      <c r="I48" s="48">
        <f>0.8</f>
        <v>0.8</v>
      </c>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row>
    <row r="49" spans="1:66" ht="20" customHeight="1">
      <c r="A49" s="30"/>
      <c r="B49" s="30"/>
      <c r="C49" s="31" t="s">
        <v>366</v>
      </c>
      <c r="D49" s="31"/>
      <c r="E49" s="46">
        <f>E48*E45-E46</f>
        <v>218.41010000000006</v>
      </c>
      <c r="F49" s="46">
        <f>F48*F45-F46</f>
        <v>122.90851560571423</v>
      </c>
      <c r="G49" s="46">
        <f>G48*G45-G46</f>
        <v>115.96386595020203</v>
      </c>
      <c r="H49" s="46">
        <f>H48*H45-H46</f>
        <v>212.00617552530321</v>
      </c>
      <c r="I49" s="46">
        <f>I48*I45-I46</f>
        <v>311.82191147908748</v>
      </c>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row>
    <row r="50" spans="1:66" ht="20" customHeight="1">
      <c r="A50" s="30"/>
      <c r="B50" s="30"/>
      <c r="C50" s="31" t="s">
        <v>367</v>
      </c>
      <c r="D50" s="31"/>
      <c r="E50" s="32" t="s">
        <v>368</v>
      </c>
      <c r="F50" s="32" t="s">
        <v>368</v>
      </c>
      <c r="G50" s="32" t="s">
        <v>368</v>
      </c>
      <c r="H50" s="32" t="s">
        <v>368</v>
      </c>
      <c r="I50" s="32" t="s">
        <v>369</v>
      </c>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row>
    <row r="51" spans="1:66" ht="20" customHeight="1">
      <c r="A51" s="30"/>
      <c r="B51" s="30"/>
      <c r="C51" s="31"/>
      <c r="D51" s="31"/>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row>
    <row r="52" spans="1:66" ht="20" customHeight="1">
      <c r="A52" s="30"/>
      <c r="B52" s="30"/>
      <c r="C52" s="31"/>
      <c r="D52" s="31"/>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row>
    <row r="53" spans="1:66" ht="20" customHeight="1">
      <c r="A53" s="30"/>
      <c r="B53" s="30"/>
      <c r="C53" s="31"/>
      <c r="D53" s="31"/>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row>
    <row r="54" spans="1:66" ht="20" customHeight="1">
      <c r="A54" s="30"/>
      <c r="B54" s="30"/>
      <c r="C54" s="31"/>
      <c r="D54" s="31"/>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row>
    <row r="55" spans="1:66" ht="20" customHeight="1">
      <c r="A55" s="30"/>
      <c r="B55" s="30"/>
      <c r="C55" s="31"/>
      <c r="D55" s="31"/>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row>
    <row r="56" spans="1:66" ht="20" customHeight="1">
      <c r="A56" s="30"/>
      <c r="B56" s="30"/>
      <c r="C56" s="31"/>
      <c r="D56" s="31"/>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row>
    <row r="57" spans="1:66" ht="20" customHeight="1">
      <c r="A57" s="30"/>
      <c r="B57" s="30"/>
      <c r="C57" s="31"/>
      <c r="D57" s="31"/>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row>
    <row r="58" spans="1:66" ht="20" customHeight="1">
      <c r="A58" s="30"/>
      <c r="B58" s="30"/>
      <c r="C58" s="31"/>
      <c r="D58" s="31"/>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row>
    <row r="59" spans="1:66" ht="20" customHeight="1">
      <c r="A59" s="30"/>
      <c r="B59" s="30"/>
      <c r="C59" s="31"/>
      <c r="D59" s="31"/>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row>
    <row r="60" spans="1:66" ht="20" customHeight="1">
      <c r="A60" s="30"/>
      <c r="B60" s="30"/>
      <c r="C60" s="31"/>
      <c r="D60" s="31"/>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row>
    <row r="61" spans="1:66" ht="20" customHeight="1">
      <c r="A61" s="30"/>
      <c r="B61" s="30"/>
      <c r="C61" s="31"/>
      <c r="D61" s="31"/>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row>
    <row r="62" spans="1:66" ht="20" customHeight="1">
      <c r="A62" s="30"/>
      <c r="B62" s="30"/>
      <c r="C62" s="31"/>
      <c r="D62" s="31"/>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row>
    <row r="63" spans="1:66" ht="20" customHeight="1">
      <c r="A63" s="30"/>
      <c r="B63" s="30"/>
      <c r="C63" s="31"/>
      <c r="D63" s="31"/>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row>
    <row r="64" spans="1:66" ht="20" customHeight="1">
      <c r="A64" s="30"/>
      <c r="B64" s="30"/>
      <c r="C64" s="31"/>
      <c r="D64" s="31"/>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row>
    <row r="65" spans="1:66" ht="20" customHeight="1">
      <c r="A65" s="30"/>
      <c r="B65" s="30"/>
      <c r="C65" s="31"/>
      <c r="D65" s="31"/>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row>
    <row r="66" spans="1:66" ht="20" customHeight="1">
      <c r="A66" s="30"/>
      <c r="B66" s="30"/>
      <c r="C66" s="31"/>
      <c r="D66" s="31"/>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row>
    <row r="67" spans="1:66" ht="20" customHeight="1">
      <c r="A67" s="30"/>
      <c r="B67" s="30"/>
      <c r="C67" s="31"/>
      <c r="D67" s="31"/>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row>
    <row r="68" spans="1:66" ht="20" customHeight="1">
      <c r="A68" s="30"/>
      <c r="B68" s="30"/>
      <c r="C68" s="31"/>
      <c r="D68" s="31"/>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row>
    <row r="69" spans="1:66" ht="20" customHeight="1">
      <c r="A69" s="30"/>
      <c r="B69" s="30"/>
      <c r="C69" s="31"/>
      <c r="D69" s="31"/>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row>
    <row r="70" spans="1:66" ht="20" customHeight="1">
      <c r="A70" s="30"/>
      <c r="B70" s="30"/>
      <c r="C70" s="31"/>
      <c r="D70" s="31"/>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row>
    <row r="71" spans="1:66" ht="20" customHeight="1">
      <c r="A71" s="30"/>
      <c r="B71" s="30"/>
      <c r="C71" s="31"/>
      <c r="D71" s="31"/>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row>
    <row r="72" spans="1:66" ht="20" customHeight="1">
      <c r="A72" s="30"/>
      <c r="B72" s="30"/>
      <c r="C72" s="31"/>
      <c r="D72" s="31"/>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row>
    <row r="73" spans="1:66" ht="20" customHeight="1">
      <c r="A73" s="30"/>
      <c r="B73" s="30"/>
      <c r="C73" s="31"/>
      <c r="D73" s="31"/>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row>
    <row r="74" spans="1:66" ht="20" customHeight="1">
      <c r="A74" s="30"/>
      <c r="B74" s="30"/>
      <c r="C74" s="31"/>
      <c r="D74" s="31"/>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row>
    <row r="75" spans="1:66" ht="20" customHeight="1">
      <c r="A75" s="30"/>
      <c r="B75" s="30"/>
      <c r="C75" s="31"/>
      <c r="D75" s="31"/>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row>
    <row r="76" spans="1:66" ht="20" customHeight="1">
      <c r="A76" s="30"/>
      <c r="B76" s="30"/>
      <c r="C76" s="31"/>
      <c r="D76" s="31"/>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row>
    <row r="77" spans="1:66" ht="20" customHeight="1">
      <c r="A77" s="30"/>
      <c r="B77" s="30"/>
      <c r="C77" s="31"/>
      <c r="D77" s="31"/>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row>
    <row r="78" spans="1:66" ht="20" customHeight="1">
      <c r="A78" s="30"/>
      <c r="B78" s="30"/>
      <c r="C78" s="31"/>
      <c r="D78" s="31"/>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row>
    <row r="79" spans="1:66" ht="20" customHeight="1">
      <c r="A79" s="30"/>
      <c r="B79" s="30"/>
      <c r="C79" s="31"/>
      <c r="D79" s="31"/>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row>
    <row r="80" spans="1:66" ht="20" customHeight="1">
      <c r="A80" s="30"/>
      <c r="B80" s="30"/>
      <c r="C80" s="31"/>
      <c r="D80" s="31"/>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row>
    <row r="81" spans="1:66" ht="20" customHeight="1">
      <c r="A81" s="30"/>
      <c r="B81" s="30"/>
      <c r="C81" s="31"/>
      <c r="D81" s="31"/>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row>
    <row r="82" spans="1:66" ht="20" customHeight="1">
      <c r="A82" s="30"/>
      <c r="B82" s="30"/>
      <c r="C82" s="31"/>
      <c r="D82" s="31"/>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row>
    <row r="83" spans="1:66" ht="20" customHeight="1">
      <c r="A83" s="30"/>
      <c r="B83" s="30"/>
      <c r="C83" s="31"/>
      <c r="D83" s="31"/>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row>
    <row r="84" spans="1:66" ht="20" customHeight="1">
      <c r="A84" s="30"/>
      <c r="B84" s="30"/>
      <c r="C84" s="31"/>
      <c r="D84" s="31"/>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row>
    <row r="85" spans="1:66" ht="20" customHeight="1">
      <c r="A85" s="30"/>
      <c r="B85" s="30"/>
      <c r="C85" s="31"/>
      <c r="D85" s="31"/>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row>
    <row r="86" spans="1:66" ht="20" customHeight="1">
      <c r="A86" s="30"/>
      <c r="B86" s="30"/>
      <c r="C86" s="31"/>
      <c r="D86" s="31"/>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row>
    <row r="87" spans="1:66" ht="20" customHeight="1">
      <c r="A87" s="30"/>
      <c r="B87" s="30"/>
      <c r="C87" s="31"/>
      <c r="D87" s="31"/>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row>
    <row r="88" spans="1:66" ht="20" customHeight="1">
      <c r="A88" s="30"/>
      <c r="B88" s="30"/>
      <c r="C88" s="31"/>
      <c r="D88" s="31"/>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row>
    <row r="89" spans="1:66" ht="20" customHeight="1">
      <c r="A89" s="30"/>
      <c r="B89" s="30"/>
      <c r="C89" s="31"/>
      <c r="D89" s="31"/>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row>
    <row r="90" spans="1:66" ht="20" customHeight="1">
      <c r="A90" s="30"/>
      <c r="B90" s="30"/>
      <c r="C90" s="31"/>
      <c r="D90" s="31"/>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row>
    <row r="91" spans="1:66" ht="20" customHeight="1">
      <c r="A91" s="30"/>
      <c r="B91" s="30"/>
      <c r="C91" s="31"/>
      <c r="D91" s="31"/>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row>
    <row r="92" spans="1:66" ht="20" customHeight="1">
      <c r="A92" s="30"/>
      <c r="B92" s="30"/>
      <c r="C92" s="31"/>
      <c r="D92" s="31"/>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row>
    <row r="93" spans="1:66" ht="20" customHeight="1">
      <c r="A93" s="30"/>
      <c r="B93" s="30"/>
      <c r="C93" s="31"/>
      <c r="D93" s="31"/>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row>
    <row r="94" spans="1:66" ht="20" customHeight="1">
      <c r="A94" s="30"/>
      <c r="B94" s="30"/>
      <c r="C94" s="31"/>
      <c r="D94" s="31"/>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row>
    <row r="95" spans="1:66" ht="20" customHeight="1">
      <c r="A95" s="30"/>
      <c r="B95" s="30"/>
      <c r="C95" s="31"/>
      <c r="D95" s="31"/>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row>
    <row r="96" spans="1:66" ht="20" customHeight="1">
      <c r="A96" s="30"/>
      <c r="B96" s="30"/>
      <c r="C96" s="31"/>
      <c r="D96" s="31"/>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row>
    <row r="97" spans="1:66" ht="20" customHeight="1">
      <c r="A97" s="30"/>
      <c r="B97" s="30"/>
      <c r="C97" s="31"/>
      <c r="D97" s="31"/>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row>
    <row r="98" spans="1:66" ht="20" customHeight="1">
      <c r="A98" s="30"/>
      <c r="B98" s="30"/>
      <c r="C98" s="31"/>
      <c r="D98" s="31"/>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row>
    <row r="99" spans="1:66" ht="20" customHeight="1">
      <c r="A99" s="30"/>
      <c r="B99" s="30"/>
      <c r="C99" s="31"/>
      <c r="D99" s="31"/>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row>
    <row r="100" spans="1:66" ht="20" customHeight="1">
      <c r="A100" s="30"/>
      <c r="B100" s="30"/>
      <c r="C100" s="31"/>
      <c r="D100" s="31"/>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row>
    <row r="101" spans="1:66" ht="20" customHeight="1">
      <c r="A101" s="30"/>
      <c r="B101" s="30"/>
      <c r="C101" s="31"/>
      <c r="D101" s="31"/>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row>
    <row r="102" spans="1:66" ht="20" customHeight="1">
      <c r="A102" s="30"/>
      <c r="B102" s="30"/>
      <c r="C102" s="31"/>
      <c r="D102" s="31"/>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row>
    <row r="103" spans="1:66" ht="20" customHeight="1">
      <c r="A103" s="30"/>
      <c r="B103" s="30"/>
      <c r="C103" s="31"/>
      <c r="D103" s="31"/>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row>
    <row r="104" spans="1:66" ht="20" customHeight="1">
      <c r="A104" s="30"/>
      <c r="B104" s="30"/>
      <c r="C104" s="31"/>
      <c r="D104" s="31"/>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row>
    <row r="105" spans="1:66" ht="20" customHeight="1">
      <c r="A105" s="30"/>
      <c r="B105" s="30"/>
      <c r="C105" s="31"/>
      <c r="D105" s="31"/>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row>
    <row r="106" spans="1:66" ht="20" customHeight="1">
      <c r="A106" s="30"/>
      <c r="B106" s="30"/>
      <c r="C106" s="31"/>
      <c r="D106" s="31"/>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row>
    <row r="107" spans="1:66" ht="20" customHeight="1">
      <c r="A107" s="30"/>
      <c r="B107" s="30"/>
      <c r="C107" s="31"/>
      <c r="D107" s="31"/>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row>
    <row r="108" spans="1:66" ht="20" customHeight="1">
      <c r="A108" s="30"/>
      <c r="B108" s="30"/>
      <c r="C108" s="31"/>
      <c r="D108" s="31"/>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row>
    <row r="109" spans="1:66" ht="20" customHeight="1">
      <c r="A109" s="30"/>
      <c r="B109" s="30"/>
      <c r="C109" s="31"/>
      <c r="D109" s="31"/>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row>
    <row r="110" spans="1:66" ht="20" customHeight="1">
      <c r="A110" s="30"/>
      <c r="B110" s="30"/>
      <c r="C110" s="31"/>
      <c r="D110" s="31"/>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row>
    <row r="111" spans="1:66" ht="20" customHeight="1">
      <c r="A111" s="30"/>
      <c r="B111" s="30"/>
      <c r="C111" s="31"/>
      <c r="D111" s="31"/>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row>
    <row r="112" spans="1:66" ht="20" customHeight="1">
      <c r="A112" s="30"/>
      <c r="B112" s="30"/>
      <c r="C112" s="31"/>
      <c r="D112" s="31"/>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row>
    <row r="113" spans="1:66" ht="20" customHeight="1">
      <c r="A113" s="30"/>
      <c r="B113" s="30"/>
      <c r="C113" s="31"/>
      <c r="D113" s="31"/>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row>
    <row r="114" spans="1:66" ht="20" customHeight="1">
      <c r="A114" s="30"/>
      <c r="B114" s="30"/>
      <c r="C114" s="31"/>
      <c r="D114" s="31"/>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row>
    <row r="115" spans="1:66" ht="20" customHeight="1">
      <c r="A115" s="30"/>
      <c r="B115" s="30"/>
      <c r="C115" s="31"/>
      <c r="D115" s="31"/>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row>
    <row r="116" spans="1:66" ht="20" customHeight="1">
      <c r="A116" s="30"/>
      <c r="B116" s="30"/>
      <c r="C116" s="31"/>
      <c r="D116" s="31"/>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row>
    <row r="117" spans="1:66" ht="20" customHeight="1">
      <c r="A117" s="30"/>
      <c r="B117" s="30"/>
      <c r="C117" s="31"/>
      <c r="D117" s="31"/>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row>
    <row r="118" spans="1:66" ht="20" customHeight="1">
      <c r="A118" s="30"/>
      <c r="B118" s="30"/>
      <c r="C118" s="31"/>
      <c r="D118" s="31"/>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row>
    <row r="119" spans="1:66" ht="20" customHeight="1">
      <c r="A119" s="30"/>
      <c r="B119" s="30"/>
      <c r="C119" s="31"/>
      <c r="D119" s="31"/>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row>
    <row r="120" spans="1:66" ht="20" customHeight="1">
      <c r="A120" s="30"/>
      <c r="B120" s="30"/>
      <c r="C120" s="31"/>
      <c r="D120" s="31"/>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row>
    <row r="121" spans="1:66" ht="20" customHeight="1">
      <c r="A121" s="30"/>
      <c r="B121" s="30"/>
      <c r="C121" s="31"/>
      <c r="D121" s="31"/>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row>
    <row r="122" spans="1:66" ht="20" customHeight="1">
      <c r="A122" s="30"/>
      <c r="B122" s="30"/>
      <c r="C122" s="31"/>
      <c r="D122" s="31"/>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row>
    <row r="123" spans="1:66" ht="20" customHeight="1">
      <c r="A123" s="30"/>
      <c r="B123" s="30"/>
      <c r="C123" s="31"/>
      <c r="D123" s="31"/>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row>
    <row r="124" spans="1:66" ht="20" customHeight="1">
      <c r="A124" s="30"/>
      <c r="B124" s="30"/>
      <c r="C124" s="31"/>
      <c r="D124" s="31"/>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row>
    <row r="125" spans="1:66" ht="20" customHeight="1">
      <c r="A125" s="30"/>
      <c r="B125" s="30"/>
      <c r="C125" s="31"/>
      <c r="D125" s="31"/>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row>
    <row r="126" spans="1:66" ht="20" customHeight="1">
      <c r="A126" s="30"/>
      <c r="B126" s="30"/>
      <c r="C126" s="31"/>
      <c r="D126" s="31"/>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row>
    <row r="127" spans="1:66" ht="20" customHeight="1">
      <c r="A127" s="30"/>
      <c r="B127" s="30"/>
      <c r="C127" s="31"/>
      <c r="D127" s="31"/>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row>
    <row r="128" spans="1:66" ht="20" customHeight="1">
      <c r="A128" s="30"/>
      <c r="B128" s="30"/>
      <c r="C128" s="31"/>
      <c r="D128" s="31"/>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row>
    <row r="129" spans="1:66" ht="20" customHeight="1">
      <c r="A129" s="30"/>
      <c r="B129" s="30"/>
      <c r="C129" s="31"/>
      <c r="D129" s="31"/>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row>
    <row r="130" spans="1:66" ht="20" customHeight="1">
      <c r="A130" s="30"/>
      <c r="B130" s="30"/>
      <c r="C130" s="31"/>
      <c r="D130" s="31"/>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row>
    <row r="131" spans="1:66" ht="20" customHeight="1">
      <c r="A131" s="30"/>
      <c r="B131" s="30"/>
      <c r="C131" s="31"/>
      <c r="D131" s="31"/>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row>
    <row r="132" spans="1:66" ht="20" customHeight="1">
      <c r="A132" s="30"/>
      <c r="B132" s="30"/>
      <c r="C132" s="31"/>
      <c r="D132" s="31"/>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row>
    <row r="133" spans="1:66" ht="20" customHeight="1">
      <c r="A133" s="30"/>
      <c r="B133" s="30"/>
      <c r="C133" s="31"/>
      <c r="D133" s="31"/>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row>
    <row r="134" spans="1:66" ht="20" customHeight="1">
      <c r="A134" s="30"/>
      <c r="B134" s="30"/>
      <c r="C134" s="31"/>
      <c r="D134" s="31"/>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row>
    <row r="135" spans="1:66" ht="20" customHeight="1">
      <c r="A135" s="30"/>
      <c r="B135" s="30"/>
      <c r="C135" s="31"/>
      <c r="D135" s="31"/>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row>
    <row r="136" spans="1:66" ht="20" customHeight="1">
      <c r="A136" s="30"/>
      <c r="B136" s="30"/>
      <c r="C136" s="31"/>
      <c r="D136" s="31"/>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row>
    <row r="137" spans="1:66" ht="20" customHeight="1">
      <c r="A137" s="30"/>
      <c r="B137" s="30"/>
      <c r="C137" s="31"/>
      <c r="D137" s="31"/>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row>
    <row r="138" spans="1:66" ht="20" customHeight="1">
      <c r="A138" s="30"/>
      <c r="B138" s="30"/>
      <c r="C138" s="31"/>
      <c r="D138" s="31"/>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row>
    <row r="139" spans="1:66" ht="20" customHeight="1">
      <c r="A139" s="30"/>
      <c r="B139" s="30"/>
      <c r="C139" s="31"/>
      <c r="D139" s="31"/>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row>
    <row r="140" spans="1:66" ht="20" customHeight="1">
      <c r="A140" s="30"/>
      <c r="B140" s="30"/>
      <c r="C140" s="31"/>
      <c r="D140" s="31"/>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row>
    <row r="141" spans="1:66" ht="20" customHeight="1">
      <c r="A141" s="30"/>
      <c r="B141" s="30"/>
      <c r="C141" s="31"/>
      <c r="D141" s="31"/>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row>
    <row r="142" spans="1:66" ht="20" customHeight="1">
      <c r="A142" s="30"/>
      <c r="B142" s="30"/>
      <c r="C142" s="31"/>
      <c r="D142" s="31"/>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row>
    <row r="143" spans="1:66" ht="20" customHeight="1">
      <c r="A143" s="30"/>
      <c r="B143" s="30"/>
      <c r="C143" s="31"/>
      <c r="D143" s="31"/>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row>
    <row r="144" spans="1:66" ht="20" customHeight="1">
      <c r="A144" s="30"/>
      <c r="B144" s="30"/>
      <c r="C144" s="31"/>
      <c r="D144" s="31"/>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row>
    <row r="145" spans="1:66" ht="20" customHeight="1">
      <c r="A145" s="30"/>
      <c r="B145" s="30"/>
      <c r="C145" s="31"/>
      <c r="D145" s="31"/>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row>
    <row r="146" spans="1:66" ht="20" customHeight="1">
      <c r="A146" s="30"/>
      <c r="B146" s="30"/>
      <c r="C146" s="31"/>
      <c r="D146" s="31"/>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row>
    <row r="147" spans="1:66" ht="20" customHeight="1">
      <c r="A147" s="30"/>
      <c r="B147" s="30"/>
      <c r="C147" s="31"/>
      <c r="D147" s="31"/>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row>
    <row r="148" spans="1:66" ht="20" customHeight="1">
      <c r="A148" s="30"/>
      <c r="B148" s="30"/>
      <c r="C148" s="31"/>
      <c r="D148" s="31"/>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row>
    <row r="149" spans="1:66" ht="20" customHeight="1">
      <c r="A149" s="30"/>
      <c r="B149" s="30"/>
      <c r="C149" s="31"/>
      <c r="D149" s="31"/>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row>
    <row r="150" spans="1:66" ht="20" customHeight="1">
      <c r="A150" s="30"/>
      <c r="B150" s="30"/>
      <c r="C150" s="31"/>
      <c r="D150" s="31"/>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row>
    <row r="151" spans="1:66" ht="20" customHeight="1">
      <c r="A151" s="30"/>
      <c r="B151" s="30"/>
      <c r="C151" s="31"/>
      <c r="D151" s="31"/>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row>
    <row r="152" spans="1:66" ht="20" customHeight="1">
      <c r="A152" s="30"/>
      <c r="B152" s="30"/>
      <c r="C152" s="31"/>
      <c r="D152" s="31"/>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row>
    <row r="153" spans="1:66" ht="20" customHeight="1">
      <c r="A153" s="30"/>
      <c r="B153" s="30"/>
      <c r="C153" s="31"/>
      <c r="D153" s="31"/>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row>
    <row r="154" spans="1:66" ht="20" customHeight="1">
      <c r="A154" s="30"/>
      <c r="B154" s="30"/>
      <c r="C154" s="31"/>
      <c r="D154" s="31"/>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row>
    <row r="155" spans="1:66" ht="20" customHeight="1">
      <c r="A155" s="30"/>
      <c r="B155" s="30"/>
      <c r="C155" s="31"/>
      <c r="D155" s="31"/>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row>
    <row r="156" spans="1:66" ht="20" customHeight="1">
      <c r="A156" s="30"/>
      <c r="B156" s="30"/>
      <c r="C156" s="31"/>
      <c r="D156" s="31"/>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row>
    <row r="157" spans="1:66" ht="20" customHeight="1">
      <c r="A157" s="30"/>
      <c r="B157" s="30"/>
      <c r="C157" s="31"/>
      <c r="D157" s="31"/>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row>
    <row r="158" spans="1:66" ht="20" customHeight="1">
      <c r="A158" s="30"/>
      <c r="B158" s="30"/>
      <c r="C158" s="31"/>
      <c r="D158" s="31"/>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row>
    <row r="159" spans="1:66" ht="20" customHeight="1">
      <c r="A159" s="30"/>
      <c r="B159" s="30"/>
      <c r="C159" s="31"/>
      <c r="D159" s="31"/>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row>
    <row r="160" spans="1:66" ht="20" customHeight="1">
      <c r="A160" s="30"/>
      <c r="B160" s="30"/>
      <c r="C160" s="31"/>
      <c r="D160" s="31"/>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row>
    <row r="161" spans="1:66" ht="20" customHeight="1">
      <c r="A161" s="30"/>
      <c r="B161" s="30"/>
      <c r="C161" s="31"/>
      <c r="D161" s="31"/>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row>
    <row r="162" spans="1:66" ht="20" customHeight="1">
      <c r="A162" s="30"/>
      <c r="B162" s="30"/>
      <c r="C162" s="31"/>
      <c r="D162" s="31"/>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row>
    <row r="163" spans="1:66" ht="20" customHeight="1">
      <c r="A163" s="30"/>
      <c r="B163" s="30"/>
      <c r="C163" s="31"/>
      <c r="D163" s="31"/>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row>
    <row r="164" spans="1:66" ht="20" customHeight="1">
      <c r="A164" s="30"/>
      <c r="B164" s="30"/>
      <c r="C164" s="31"/>
      <c r="D164" s="31"/>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row>
    <row r="165" spans="1:66" ht="20" customHeight="1">
      <c r="A165" s="30"/>
      <c r="B165" s="30"/>
      <c r="C165" s="31"/>
      <c r="D165" s="31"/>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row>
    <row r="166" spans="1:66" ht="20" customHeight="1">
      <c r="A166" s="30"/>
      <c r="B166" s="30"/>
      <c r="C166" s="31"/>
      <c r="D166" s="31"/>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row>
    <row r="167" spans="1:66" ht="20" customHeight="1">
      <c r="A167" s="30"/>
      <c r="B167" s="30"/>
      <c r="C167" s="31"/>
      <c r="D167" s="31"/>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row>
    <row r="168" spans="1:66" ht="20" customHeight="1">
      <c r="A168" s="30"/>
      <c r="B168" s="30"/>
      <c r="C168" s="31"/>
      <c r="D168" s="31"/>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row>
    <row r="169" spans="1:66" ht="20" customHeight="1">
      <c r="A169" s="30"/>
      <c r="B169" s="30"/>
      <c r="C169" s="31"/>
      <c r="D169" s="31"/>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row>
    <row r="170" spans="1:66" ht="20" customHeight="1">
      <c r="A170" s="30"/>
      <c r="B170" s="30"/>
      <c r="C170" s="31"/>
      <c r="D170" s="31"/>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row>
    <row r="171" spans="1:66" ht="20" customHeight="1">
      <c r="A171" s="30"/>
      <c r="B171" s="30"/>
      <c r="C171" s="31"/>
      <c r="D171" s="31"/>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row>
    <row r="172" spans="1:66" ht="20" customHeight="1">
      <c r="A172" s="30"/>
      <c r="B172" s="30"/>
      <c r="C172" s="31"/>
      <c r="D172" s="31"/>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row>
    <row r="173" spans="1:66" ht="20" customHeight="1">
      <c r="A173" s="30"/>
      <c r="B173" s="30"/>
      <c r="C173" s="31"/>
      <c r="D173" s="31"/>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row>
    <row r="174" spans="1:66" ht="20" customHeight="1">
      <c r="A174" s="30"/>
      <c r="B174" s="30"/>
      <c r="C174" s="31"/>
      <c r="D174" s="31"/>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row>
    <row r="175" spans="1:66" ht="20" customHeight="1">
      <c r="A175" s="30"/>
      <c r="B175" s="30"/>
      <c r="C175" s="31"/>
      <c r="D175" s="31"/>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row>
    <row r="176" spans="1:66" ht="20" customHeight="1">
      <c r="A176" s="30"/>
      <c r="B176" s="30"/>
      <c r="C176" s="31"/>
      <c r="D176" s="31"/>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row>
    <row r="177" spans="1:66" ht="20" customHeight="1">
      <c r="A177" s="30"/>
      <c r="B177" s="30"/>
      <c r="C177" s="31"/>
      <c r="D177" s="31"/>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row>
    <row r="178" spans="1:66" ht="20" customHeight="1">
      <c r="A178" s="30"/>
      <c r="B178" s="30"/>
      <c r="C178" s="31"/>
      <c r="D178" s="31"/>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row>
    <row r="179" spans="1:66" ht="20" customHeight="1">
      <c r="A179" s="30"/>
      <c r="B179" s="30"/>
      <c r="C179" s="31"/>
      <c r="D179" s="31"/>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row>
    <row r="180" spans="1:66" ht="20" customHeight="1">
      <c r="A180" s="30"/>
      <c r="B180" s="30"/>
      <c r="C180" s="31"/>
      <c r="D180" s="31"/>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row>
    <row r="181" spans="1:66" ht="20" customHeight="1">
      <c r="A181" s="30"/>
      <c r="B181" s="30"/>
      <c r="C181" s="31"/>
      <c r="D181" s="31"/>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row>
    <row r="182" spans="1:66" ht="20" customHeight="1">
      <c r="A182" s="30"/>
      <c r="B182" s="30"/>
      <c r="C182" s="31"/>
      <c r="D182" s="31"/>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row>
    <row r="183" spans="1:66" ht="20" customHeight="1">
      <c r="A183" s="30"/>
      <c r="B183" s="30"/>
      <c r="C183" s="31"/>
      <c r="D183" s="31"/>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row>
    <row r="184" spans="1:66" ht="20" customHeight="1">
      <c r="A184" s="30"/>
      <c r="B184" s="30"/>
      <c r="C184" s="31"/>
      <c r="D184" s="31"/>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row>
    <row r="185" spans="1:66" ht="20" customHeight="1">
      <c r="A185" s="30"/>
      <c r="B185" s="30"/>
      <c r="C185" s="31"/>
      <c r="D185" s="31"/>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row>
    <row r="186" spans="1:66" ht="20" customHeight="1">
      <c r="A186" s="30"/>
      <c r="B186" s="30"/>
      <c r="C186" s="31"/>
      <c r="D186" s="31"/>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row>
    <row r="187" spans="1:66" ht="20" customHeight="1">
      <c r="A187" s="30"/>
      <c r="B187" s="30"/>
      <c r="C187" s="31"/>
      <c r="D187" s="31"/>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row>
    <row r="188" spans="1:66" ht="20" customHeight="1">
      <c r="A188" s="30"/>
      <c r="B188" s="30"/>
      <c r="C188" s="31"/>
      <c r="D188" s="31"/>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row>
    <row r="189" spans="1:66" ht="20" customHeight="1">
      <c r="A189" s="30"/>
      <c r="B189" s="30"/>
      <c r="C189" s="31"/>
      <c r="D189" s="31"/>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row>
    <row r="190" spans="1:66" ht="20" customHeight="1">
      <c r="A190" s="30"/>
      <c r="B190" s="30"/>
      <c r="C190" s="31"/>
      <c r="D190" s="31"/>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row>
    <row r="191" spans="1:66" ht="20" customHeight="1">
      <c r="A191" s="30"/>
      <c r="B191" s="30"/>
      <c r="C191" s="31"/>
      <c r="D191" s="31"/>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row>
    <row r="192" spans="1:66" ht="20" customHeight="1">
      <c r="A192" s="30"/>
      <c r="B192" s="30"/>
      <c r="C192" s="31"/>
      <c r="D192" s="31"/>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row>
    <row r="193" spans="1:66" ht="20" customHeight="1">
      <c r="A193" s="30"/>
      <c r="B193" s="30"/>
      <c r="C193" s="31"/>
      <c r="D193" s="31"/>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row>
    <row r="194" spans="1:66" ht="20" customHeight="1">
      <c r="A194" s="30"/>
      <c r="B194" s="30"/>
      <c r="C194" s="31"/>
      <c r="D194" s="31"/>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row>
    <row r="195" spans="1:66" ht="20" customHeight="1">
      <c r="A195" s="30"/>
      <c r="B195" s="30"/>
      <c r="C195" s="31"/>
      <c r="D195" s="31"/>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row>
    <row r="196" spans="1:66" ht="20" customHeight="1">
      <c r="A196" s="30"/>
      <c r="B196" s="30"/>
      <c r="C196" s="31"/>
      <c r="D196" s="31"/>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row>
    <row r="197" spans="1:66" ht="20" customHeight="1">
      <c r="A197" s="30"/>
      <c r="B197" s="30"/>
      <c r="C197" s="31"/>
      <c r="D197" s="31"/>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row>
    <row r="198" spans="1:66" ht="20" customHeight="1">
      <c r="A198" s="30"/>
      <c r="B198" s="30"/>
      <c r="C198" s="31"/>
      <c r="D198" s="31"/>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row>
    <row r="199" spans="1:66" ht="20" customHeight="1">
      <c r="A199" s="30"/>
      <c r="B199" s="30"/>
      <c r="C199" s="31"/>
      <c r="D199" s="31"/>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row>
    <row r="200" spans="1:66" ht="20" customHeight="1">
      <c r="A200" s="30"/>
      <c r="B200" s="30"/>
      <c r="C200" s="31"/>
      <c r="D200" s="31"/>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07483"/>
  </sheetPr>
  <dimension ref="A1:BN200"/>
  <sheetViews>
    <sheetView showGridLines="0" workbookViewId="0">
      <pane xSplit="4" ySplit="7" topLeftCell="E8" activePane="bottomRight" state="frozen"/>
      <selection pane="topRight"/>
      <selection pane="bottomLeft"/>
      <selection pane="bottomRight" activeCell="E8" sqref="E8"/>
    </sheetView>
  </sheetViews>
  <sheetFormatPr baseColWidth="10" defaultColWidth="8.83203125" defaultRowHeight="14"/>
  <cols>
    <col min="1" max="2" width="2" customWidth="1"/>
    <col min="3" max="3" width="48" customWidth="1"/>
    <col min="4" max="4" width="3" customWidth="1"/>
    <col min="5" max="66" width="14" customWidth="1"/>
  </cols>
  <sheetData>
    <row r="1" spans="1:66" ht="20" customHeight="1">
      <c r="A1" s="30"/>
      <c r="B1" s="30"/>
      <c r="C1" s="31"/>
      <c r="D1" s="31"/>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row>
    <row r="2" spans="1:66" ht="20" customHeight="1">
      <c r="A2" s="30"/>
      <c r="B2" s="30"/>
      <c r="C2" s="33" t="s">
        <v>370</v>
      </c>
      <c r="D2" s="31"/>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row>
    <row r="3" spans="1:66" ht="20" customHeight="1">
      <c r="A3" s="30"/>
      <c r="B3" s="30"/>
      <c r="C3" s="34" t="s">
        <v>49</v>
      </c>
      <c r="D3" s="31"/>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row>
    <row r="4" spans="1:66" ht="20" customHeight="1">
      <c r="A4" s="30"/>
      <c r="B4" s="30"/>
      <c r="C4" s="31" t="s">
        <v>2</v>
      </c>
      <c r="D4" s="31"/>
      <c r="E4" s="35" t="str">
        <f>CHOOSE(Assumptions!$E$5,"Base","Downside","Upside")</f>
        <v>Base</v>
      </c>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row>
    <row r="5" spans="1:66" ht="20" customHeight="1">
      <c r="A5" s="30"/>
      <c r="B5" s="30"/>
      <c r="C5" s="31"/>
      <c r="D5" s="31"/>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row>
    <row r="6" spans="1:66" ht="20" customHeight="1">
      <c r="A6" s="30"/>
      <c r="B6" s="30"/>
      <c r="C6" s="31"/>
      <c r="D6" s="31"/>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row>
    <row r="7" spans="1:66" ht="24" customHeight="1">
      <c r="A7" s="30"/>
      <c r="B7" s="30"/>
      <c r="C7" s="36" t="s">
        <v>371</v>
      </c>
      <c r="D7" s="36"/>
      <c r="E7" s="37">
        <v>2026</v>
      </c>
      <c r="F7" s="37">
        <v>2027</v>
      </c>
      <c r="G7" s="37">
        <v>2028</v>
      </c>
      <c r="H7" s="37">
        <v>2029</v>
      </c>
      <c r="I7" s="37">
        <v>2030</v>
      </c>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2"/>
      <c r="BN7" s="32"/>
    </row>
    <row r="8" spans="1:66" ht="20" customHeight="1">
      <c r="A8" s="30"/>
      <c r="B8" s="30"/>
      <c r="C8" s="31" t="s">
        <v>372</v>
      </c>
      <c r="D8" s="31"/>
      <c r="E8" s="35">
        <f>Historical!G139+SUM('Revenue costs'!E14:J14)</f>
        <v>721.99700000000007</v>
      </c>
      <c r="F8" s="35">
        <f>SUM('Revenue costs'!K14:V14)</f>
        <v>732.35000000000014</v>
      </c>
      <c r="G8" s="35">
        <f>SUM('Revenue costs'!W14:AH14)</f>
        <v>721.70750000000021</v>
      </c>
      <c r="H8" s="35">
        <f>SUM('Revenue costs'!AI14:AT14)</f>
        <v>735.91672500000004</v>
      </c>
      <c r="I8" s="35">
        <f>SUM('Revenue costs'!AU14:BF14)</f>
        <v>750.51990675000002</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row>
    <row r="9" spans="1:66" ht="20" customHeight="1">
      <c r="A9" s="30"/>
      <c r="B9" s="30"/>
      <c r="C9" s="31" t="s">
        <v>373</v>
      </c>
      <c r="D9" s="31"/>
      <c r="E9" s="35">
        <f>(Assumptions!E238+25)/2</f>
        <v>25</v>
      </c>
      <c r="F9" s="35">
        <f>(Assumptions!E238+Assumptions!F238)/2</f>
        <v>25</v>
      </c>
      <c r="G9" s="35">
        <f>(Assumptions!F238+Assumptions!G238)/2</f>
        <v>25</v>
      </c>
      <c r="H9" s="35">
        <f>(Assumptions!G238+Assumptions!H238)/2</f>
        <v>25</v>
      </c>
      <c r="I9" s="35">
        <f>(Assumptions!H238+Assumptions!I238)/2</f>
        <v>25</v>
      </c>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row>
    <row r="10" spans="1:66" ht="20" customHeight="1">
      <c r="A10" s="30"/>
      <c r="B10" s="30"/>
      <c r="C10" s="31" t="s">
        <v>374</v>
      </c>
      <c r="D10" s="31"/>
      <c r="E10" s="35">
        <f>Historical!G140*IF(Capacity!$E$9&lt;0,Assumptions!E48,Capacity!$E$9)+SUM('Revenue costs'!E20:J20)</f>
        <v>246.2235</v>
      </c>
      <c r="F10" s="35">
        <f>SUM('Revenue costs'!K20:V20)</f>
        <v>263.625</v>
      </c>
      <c r="G10" s="35">
        <f>SUM('Revenue costs'!W20:AH20)</f>
        <v>267.65249999999992</v>
      </c>
      <c r="H10" s="35">
        <f>SUM('Revenue costs'!AI20:AT20)</f>
        <v>275.27055000000001</v>
      </c>
      <c r="I10" s="35">
        <f>SUM('Revenue costs'!AU20:BF20)</f>
        <v>286.55096100000003</v>
      </c>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row>
    <row r="11" spans="1:66" ht="20" customHeight="1">
      <c r="A11" s="30"/>
      <c r="B11" s="30"/>
      <c r="C11" s="31" t="s">
        <v>375</v>
      </c>
      <c r="D11" s="31"/>
      <c r="E11" s="35">
        <f>Historical!G141+SUM(Registrations!E89:J89)</f>
        <v>190.41312697730797</v>
      </c>
      <c r="F11" s="35">
        <f>SUM(Registrations!K89:V89)</f>
        <v>179.17279542059711</v>
      </c>
      <c r="G11" s="35">
        <f>SUM(Registrations!W89:AH89)</f>
        <v>154.37906693910287</v>
      </c>
      <c r="H11" s="35">
        <f>SUM(Registrations!AI89:AT89)</f>
        <v>128.25947199092832</v>
      </c>
      <c r="I11" s="35">
        <f>SUM(Registrations!AU89:BF89)</f>
        <v>105.72254596462878</v>
      </c>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row>
    <row r="12" spans="1:66" ht="20" customHeight="1">
      <c r="A12" s="30"/>
      <c r="B12" s="30"/>
      <c r="C12" s="31" t="s">
        <v>376</v>
      </c>
      <c r="D12" s="31"/>
      <c r="E12" s="35">
        <f>Assumptions!E258+Assumptions!E263</f>
        <v>3</v>
      </c>
      <c r="F12" s="35">
        <f>Assumptions!F258+Assumptions!F263</f>
        <v>3</v>
      </c>
      <c r="G12" s="35">
        <f>Assumptions!G258+Assumptions!G263</f>
        <v>3</v>
      </c>
      <c r="H12" s="35">
        <f>Assumptions!H258+Assumptions!H263</f>
        <v>3</v>
      </c>
      <c r="I12" s="35">
        <f>Assumptions!I258+Assumptions!I263</f>
        <v>3</v>
      </c>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row>
    <row r="13" spans="1:66" ht="20" customHeight="1">
      <c r="A13" s="30"/>
      <c r="B13" s="30"/>
      <c r="C13" s="31" t="s">
        <v>377</v>
      </c>
      <c r="D13" s="31"/>
      <c r="E13" s="46">
        <f>SUM(E10:E12)</f>
        <v>439.63662697730797</v>
      </c>
      <c r="F13" s="46">
        <f>SUM(F10:F12)</f>
        <v>445.79779542059714</v>
      </c>
      <c r="G13" s="46">
        <f>SUM(G10:G12)</f>
        <v>425.03156693910279</v>
      </c>
      <c r="H13" s="46">
        <f>SUM(H10:H12)</f>
        <v>406.53002199092833</v>
      </c>
      <c r="I13" s="46">
        <f>SUM(I10:I12)</f>
        <v>395.27350696462884</v>
      </c>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row>
    <row r="14" spans="1:66" ht="20" customHeight="1">
      <c r="A14" s="30"/>
      <c r="B14" s="30"/>
      <c r="C14" s="31" t="s">
        <v>378</v>
      </c>
      <c r="D14" s="31"/>
      <c r="E14" s="35">
        <f>Historical!G142+SUM(Transfers!E25:J25)</f>
        <v>39.293523809523812</v>
      </c>
      <c r="F14" s="35">
        <f>SUM(Transfers!K25:V25)</f>
        <v>33.849206349206348</v>
      </c>
      <c r="G14" s="35">
        <f>SUM(Transfers!W25:AH25)</f>
        <v>33.849206349206348</v>
      </c>
      <c r="H14" s="35">
        <f>SUM(Transfers!AI25:AT25)</f>
        <v>33.849206349206348</v>
      </c>
      <c r="I14" s="35">
        <f>SUM(Transfers!AU25:BF25)</f>
        <v>33.849206349206348</v>
      </c>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row>
    <row r="15" spans="1:66" ht="20" customHeight="1">
      <c r="A15" s="30"/>
      <c r="B15" s="30"/>
      <c r="C15" s="31" t="s">
        <v>379</v>
      </c>
      <c r="D15" s="31"/>
      <c r="E15" s="35">
        <f>(Historical!G143+Historical!G144+E14)/3</f>
        <v>47.630507936507939</v>
      </c>
      <c r="F15" s="35">
        <f>(Historical!G144+E14+F14)/3</f>
        <v>44.571243386243388</v>
      </c>
      <c r="G15" s="46">
        <f>(E14+F14+G14)/3</f>
        <v>35.663978835978838</v>
      </c>
      <c r="H15" s="46">
        <f>(F14+G14+H14)/3</f>
        <v>33.849206349206348</v>
      </c>
      <c r="I15" s="46">
        <f>(G14+H14+I14)/3</f>
        <v>33.849206349206348</v>
      </c>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row>
    <row r="16" spans="1:66" ht="20" customHeight="1">
      <c r="A16" s="30"/>
      <c r="B16" s="30"/>
      <c r="C16" s="31" t="s">
        <v>380</v>
      </c>
      <c r="D16" s="31"/>
      <c r="E16" s="46">
        <f>E8-E9+E15</f>
        <v>744.62750793650798</v>
      </c>
      <c r="F16" s="46">
        <f>F8-F9+F15</f>
        <v>751.92124338624353</v>
      </c>
      <c r="G16" s="46">
        <f>G8-G9+G15</f>
        <v>732.37147883597902</v>
      </c>
      <c r="H16" s="46">
        <f>H8-H9+H15</f>
        <v>744.76593134920643</v>
      </c>
      <c r="I16" s="46">
        <f>I8-I9+I15</f>
        <v>759.3691130992064</v>
      </c>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row>
    <row r="17" spans="1:66" ht="20" customHeight="1">
      <c r="A17" s="30"/>
      <c r="B17" s="30"/>
      <c r="C17" s="31" t="s">
        <v>381</v>
      </c>
      <c r="D17" s="31"/>
      <c r="E17" s="48">
        <f>E13/E16</f>
        <v>0.59041147727085364</v>
      </c>
      <c r="F17" s="48">
        <f>F13/F16</f>
        <v>0.59287830918696593</v>
      </c>
      <c r="G17" s="48">
        <f>G13/G16</f>
        <v>0.58034969850907081</v>
      </c>
      <c r="H17" s="48">
        <f>H13/H16</f>
        <v>0.54584938015956885</v>
      </c>
      <c r="I17" s="48">
        <f>I13/I16</f>
        <v>0.52052881812825202</v>
      </c>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row>
    <row r="18" spans="1:66" ht="20" customHeight="1">
      <c r="A18" s="30"/>
      <c r="B18" s="30"/>
      <c r="C18" s="31" t="s">
        <v>382</v>
      </c>
      <c r="D18" s="31"/>
      <c r="E18" s="46">
        <f>0.7*E16-E13</f>
        <v>81.602628578247618</v>
      </c>
      <c r="F18" s="46">
        <f>0.7*F16-F13</f>
        <v>80.547074949773332</v>
      </c>
      <c r="G18" s="46">
        <f>0.7*G16-G13</f>
        <v>87.628468246082491</v>
      </c>
      <c r="H18" s="46">
        <f>0.7*H16-H13</f>
        <v>114.80612995351618</v>
      </c>
      <c r="I18" s="46">
        <f>0.7*I16-I13</f>
        <v>136.28487220481566</v>
      </c>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row>
    <row r="19" spans="1:66" ht="20" customHeight="1">
      <c r="A19" s="30"/>
      <c r="B19" s="30"/>
      <c r="C19" s="31" t="s">
        <v>383</v>
      </c>
      <c r="D19" s="31"/>
      <c r="E19" s="35">
        <f>Assumptions!E303</f>
        <v>1</v>
      </c>
      <c r="F19" s="35">
        <f>Assumptions!F303</f>
        <v>1</v>
      </c>
      <c r="G19" s="35">
        <f>Assumptions!G303</f>
        <v>1</v>
      </c>
      <c r="H19" s="35">
        <f>Assumptions!H303</f>
        <v>1</v>
      </c>
      <c r="I19" s="35">
        <f>Assumptions!I303</f>
        <v>1</v>
      </c>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row>
    <row r="20" spans="1:66" ht="20" customHeight="1">
      <c r="A20" s="30"/>
      <c r="B20" s="30"/>
      <c r="C20" s="31"/>
      <c r="D20" s="31"/>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row>
    <row r="21" spans="1:66" ht="20" customHeight="1">
      <c r="A21" s="30"/>
      <c r="B21" s="30"/>
      <c r="C21" s="31" t="s">
        <v>384</v>
      </c>
      <c r="D21" s="31"/>
      <c r="E21" s="32">
        <v>2026</v>
      </c>
      <c r="F21" s="32">
        <v>2027</v>
      </c>
      <c r="G21" s="32">
        <v>2028</v>
      </c>
      <c r="H21" s="32">
        <v>2029</v>
      </c>
      <c r="I21" s="32">
        <v>2030</v>
      </c>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row>
    <row r="22" spans="1:66" ht="20" customHeight="1">
      <c r="A22" s="30"/>
      <c r="B22" s="30"/>
      <c r="C22" s="31" t="s">
        <v>385</v>
      </c>
      <c r="D22" s="31"/>
      <c r="E22" s="35">
        <f>Historical!E29+Historical!F29+Historical!G29</f>
        <v>-217.37299999999999</v>
      </c>
      <c r="F22" s="35">
        <f>Historical!F29+Historical!G29+Statements!E21</f>
        <v>-97.767909868300308</v>
      </c>
      <c r="G22" s="35">
        <f>Historical!G29+Statements!E21+Statements!F21</f>
        <v>-95.169117312342252</v>
      </c>
      <c r="H22" s="35">
        <f>Statements!E21+Statements!F21+Statements!G21</f>
        <v>-48.016912375041329</v>
      </c>
      <c r="I22" s="35">
        <f>Statements!F21+Statements!G21+Statements!H21</f>
        <v>-3.2835103624830637</v>
      </c>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row>
    <row r="23" spans="1:66" ht="20" customHeight="1">
      <c r="A23" s="30"/>
      <c r="B23" s="30"/>
      <c r="C23" s="31" t="s">
        <v>386</v>
      </c>
      <c r="D23" s="31"/>
      <c r="E23" s="35">
        <f>Assumptions!E148+Assumptions!F148+Assumptions!G148</f>
        <v>105</v>
      </c>
      <c r="F23" s="35">
        <f>Assumptions!F148+Assumptions!G148+Assumptions!E288</f>
        <v>105</v>
      </c>
      <c r="G23" s="35">
        <f>Assumptions!G148+Assumptions!E288+Assumptions!F288</f>
        <v>105</v>
      </c>
      <c r="H23" s="35">
        <f>Assumptions!E288+Assumptions!F288+Assumptions!G288</f>
        <v>105</v>
      </c>
      <c r="I23" s="35">
        <f>Assumptions!F288+Assumptions!G288+Assumptions!H288</f>
        <v>105</v>
      </c>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row>
    <row r="24" spans="1:66" ht="20" customHeight="1">
      <c r="A24" s="30"/>
      <c r="B24" s="30"/>
      <c r="C24" s="31" t="s">
        <v>387</v>
      </c>
      <c r="D24" s="31"/>
      <c r="E24" s="46">
        <f>E22+E23</f>
        <v>-112.37299999999999</v>
      </c>
      <c r="F24" s="46">
        <f>F22+F23</f>
        <v>7.2320901316996924</v>
      </c>
      <c r="G24" s="46">
        <f>G22+G23</f>
        <v>9.8308826876577484</v>
      </c>
      <c r="H24" s="46">
        <f>H22+H23</f>
        <v>56.983087624958671</v>
      </c>
      <c r="I24" s="46">
        <f>I22+I23</f>
        <v>101.71648963751693</v>
      </c>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row>
    <row r="25" spans="1:66" ht="20" customHeight="1">
      <c r="A25" s="30"/>
      <c r="B25" s="30"/>
      <c r="C25" s="31" t="s">
        <v>388</v>
      </c>
      <c r="D25" s="31"/>
      <c r="E25" s="46">
        <f>158.542+79.985+0</f>
        <v>238.52699999999999</v>
      </c>
      <c r="F25" s="35">
        <f>79.985+0+Assumptions!E298</f>
        <v>79.984999999999999</v>
      </c>
      <c r="G25" s="35">
        <f>0+Assumptions!E298+Assumptions!F298</f>
        <v>0</v>
      </c>
      <c r="H25" s="35">
        <f>Assumptions!E298+Assumptions!F298+Assumptions!G298</f>
        <v>0</v>
      </c>
      <c r="I25" s="35">
        <f>Assumptions!F298+Assumptions!G298+Assumptions!H298</f>
        <v>0</v>
      </c>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row>
    <row r="26" spans="1:66" ht="20" customHeight="1">
      <c r="A26" s="30"/>
      <c r="B26" s="30"/>
      <c r="C26" s="31" t="s">
        <v>389</v>
      </c>
      <c r="D26" s="31"/>
      <c r="E26" s="35">
        <f>5*Assumptions!E293+MIN(55*Assumptions!E293,E25)</f>
        <v>51.599999999999994</v>
      </c>
      <c r="F26" s="35">
        <f>5*Assumptions!F293+MIN(55*Assumptions!F293,F25)</f>
        <v>51.599999999999994</v>
      </c>
      <c r="G26" s="35">
        <f>5*Assumptions!G293+MIN(55*Assumptions!G293,G25)</f>
        <v>4.3</v>
      </c>
      <c r="H26" s="35">
        <f>5*Assumptions!H293+MIN(55*Assumptions!H293,H25)</f>
        <v>4.3</v>
      </c>
      <c r="I26" s="35">
        <f>5*Assumptions!I293+MIN(55*Assumptions!I293,I25)</f>
        <v>4.3</v>
      </c>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row>
    <row r="27" spans="1:66" ht="20" customHeight="1">
      <c r="A27" s="30"/>
      <c r="B27" s="30"/>
      <c r="C27" s="31" t="s">
        <v>390</v>
      </c>
      <c r="D27" s="31"/>
      <c r="E27" s="46">
        <f>E24+E26</f>
        <v>-60.772999999999996</v>
      </c>
      <c r="F27" s="46">
        <f>F24+F26</f>
        <v>58.832090131699687</v>
      </c>
      <c r="G27" s="46">
        <f>G24+G26</f>
        <v>14.130882687657749</v>
      </c>
      <c r="H27" s="46">
        <f>H24+H26</f>
        <v>61.283087624958668</v>
      </c>
      <c r="I27" s="46">
        <f>I24+I26</f>
        <v>106.01648963751693</v>
      </c>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row>
    <row r="28" spans="1:66" ht="20" customHeight="1">
      <c r="A28" s="30"/>
      <c r="B28" s="30"/>
      <c r="C28" s="31"/>
      <c r="D28" s="31"/>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row>
    <row r="29" spans="1:66" ht="20" customHeight="1">
      <c r="A29" s="30"/>
      <c r="B29" s="30"/>
      <c r="C29" s="31" t="s">
        <v>391</v>
      </c>
      <c r="D29" s="31"/>
      <c r="E29" s="35">
        <f>MIN('Debt cash'!E33:P33)-Assumptions!E203</f>
        <v>0</v>
      </c>
      <c r="F29" s="35">
        <f>MIN('Debt cash'!Q33:AB33)-Assumptions!F203</f>
        <v>0</v>
      </c>
      <c r="G29" s="35">
        <f>MIN('Debt cash'!AC33:AN33)-Assumptions!G203</f>
        <v>0</v>
      </c>
      <c r="H29" s="35">
        <f>MIN('Debt cash'!AO33:AZ33)-Assumptions!H203</f>
        <v>0</v>
      </c>
      <c r="I29" s="35">
        <f>MIN('Debt cash'!BA33:BL33)-Assumptions!I203</f>
        <v>0</v>
      </c>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row>
    <row r="30" spans="1:66" ht="20" customHeight="1">
      <c r="A30" s="30"/>
      <c r="B30" s="30"/>
      <c r="C30" s="31" t="s">
        <v>392</v>
      </c>
      <c r="D30" s="31"/>
      <c r="E30" s="35">
        <f>MAX(0,-MIN('Debt cash'!E33:P33))</f>
        <v>0</v>
      </c>
      <c r="F30" s="35">
        <f>MAX(0,-MIN('Debt cash'!Q33:AB33))</f>
        <v>0</v>
      </c>
      <c r="G30" s="35">
        <f>MAX(0,-MIN('Debt cash'!AC33:AN33))</f>
        <v>0</v>
      </c>
      <c r="H30" s="35">
        <f>MAX(0,-MIN('Debt cash'!AO33:AZ33))</f>
        <v>0</v>
      </c>
      <c r="I30" s="35">
        <f>MAX(0,-MIN('Debt cash'!BA33:BL33))</f>
        <v>0</v>
      </c>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row>
    <row r="31" spans="1:66" ht="20" customHeight="1">
      <c r="A31" s="30"/>
      <c r="B31" s="30"/>
      <c r="C31" s="31" t="s">
        <v>393</v>
      </c>
      <c r="D31" s="31"/>
      <c r="E31" s="35">
        <f>Historical!G137</f>
        <v>190.74</v>
      </c>
      <c r="F31" s="35">
        <f>'Debt cash'!J42</f>
        <v>159.66350119313347</v>
      </c>
      <c r="G31" s="35">
        <f>'Debt cash'!V42</f>
        <v>127.39329022741556</v>
      </c>
      <c r="H31" s="35">
        <f>'Debt cash'!AH42</f>
        <v>107.32723198303954</v>
      </c>
      <c r="I31" s="35">
        <f>'Debt cash'!AT42</f>
        <v>123.206683026926</v>
      </c>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row>
    <row r="32" spans="1:66" ht="20" customHeight="1">
      <c r="A32" s="30"/>
      <c r="B32" s="30"/>
      <c r="C32" s="31" t="s">
        <v>394</v>
      </c>
      <c r="D32" s="31"/>
      <c r="E32" s="35">
        <f>MAX(0,-E33)</f>
        <v>0</v>
      </c>
      <c r="F32" s="35">
        <f>MAX(0,-F33)</f>
        <v>0</v>
      </c>
      <c r="G32" s="35">
        <f>MAX(0,-G33)</f>
        <v>0</v>
      </c>
      <c r="H32" s="35">
        <f>MAX(0,-H33)</f>
        <v>0</v>
      </c>
      <c r="I32" s="35">
        <f>MAX(0,-I33)</f>
        <v>0</v>
      </c>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row>
    <row r="33" spans="1:66" ht="20" customHeight="1">
      <c r="A33" s="30"/>
      <c r="B33" s="30"/>
      <c r="C33" s="31" t="s">
        <v>395</v>
      </c>
      <c r="D33" s="31"/>
      <c r="E33" s="35">
        <f>E31-MIN(0,Historical!G138*0.9)</f>
        <v>190.74</v>
      </c>
      <c r="F33" s="35">
        <f>F31-MIN(0,E31*0.9)</f>
        <v>159.66350119313347</v>
      </c>
      <c r="G33" s="35">
        <f>G31-MIN(0,F31*0.9)</f>
        <v>127.39329022741556</v>
      </c>
      <c r="H33" s="35">
        <f>H31-MIN(0,G31*0.9)</f>
        <v>107.32723198303954</v>
      </c>
      <c r="I33" s="35">
        <f>I31-MIN(0,H31*0.9)</f>
        <v>123.206683026926</v>
      </c>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row>
    <row r="34" spans="1:66" ht="20" customHeight="1">
      <c r="A34" s="30"/>
      <c r="B34" s="30"/>
      <c r="C34" s="31" t="s">
        <v>396</v>
      </c>
      <c r="D34" s="31"/>
      <c r="E34" s="32" t="s">
        <v>397</v>
      </c>
      <c r="F34" s="32" t="s">
        <v>397</v>
      </c>
      <c r="G34" s="32" t="s">
        <v>397</v>
      </c>
      <c r="H34" s="32" t="s">
        <v>397</v>
      </c>
      <c r="I34" s="32" t="s">
        <v>398</v>
      </c>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row>
    <row r="35" spans="1:66" ht="20" customHeight="1">
      <c r="A35" s="30"/>
      <c r="B35" s="30"/>
      <c r="C35" s="31"/>
      <c r="D35" s="31"/>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row>
    <row r="36" spans="1:66" ht="20" customHeight="1">
      <c r="A36" s="30"/>
      <c r="B36" s="30"/>
      <c r="C36" s="31"/>
      <c r="D36" s="31"/>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row>
    <row r="37" spans="1:66" ht="20" customHeight="1">
      <c r="A37" s="30"/>
      <c r="B37" s="30"/>
      <c r="C37" s="31" t="s">
        <v>399</v>
      </c>
      <c r="D37" s="31"/>
      <c r="E37" s="35">
        <f>SUM(Statements!G21:I21)+SUM(Assumptions!G288:I288)+5*Assumptions!I293+MIN(55*Assumptions!I293,SUM(Assumptions!G298:I298))</f>
        <v>199.30876699714614</v>
      </c>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row>
    <row r="38" spans="1:66" ht="20" customHeight="1">
      <c r="A38" s="30"/>
      <c r="B38" s="30"/>
      <c r="C38" s="31" t="s">
        <v>400</v>
      </c>
      <c r="D38" s="31"/>
      <c r="E38" s="35">
        <f>0.7*(SUM('Revenue costs'!BG14:BL14)*2-Assumptions!I238+AVERAGE(Statements!G15:I15))-SUM('Revenue costs'!BG20:BL20)*2-SUM(Registrations!BG89:BL89)*2-Assumptions!I258-Assumptions!I263</f>
        <v>145.81077289570669</v>
      </c>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row>
    <row r="39" spans="1:66" ht="20" customHeight="1">
      <c r="A39" s="30"/>
      <c r="B39" s="30"/>
      <c r="C39" s="31"/>
      <c r="D39" s="31"/>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row>
    <row r="40" spans="1:66" ht="20" customHeight="1">
      <c r="A40" s="30"/>
      <c r="B40" s="30"/>
      <c r="C40" s="31"/>
      <c r="D40" s="31"/>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row>
    <row r="41" spans="1:66" ht="20" customHeight="1">
      <c r="A41" s="30"/>
      <c r="B41" s="30"/>
      <c r="C41" s="31"/>
      <c r="D41" s="31"/>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row>
    <row r="42" spans="1:66" ht="20" customHeight="1">
      <c r="A42" s="30"/>
      <c r="B42" s="30"/>
      <c r="C42" s="31"/>
      <c r="D42" s="31"/>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row>
    <row r="43" spans="1:66" ht="20" customHeight="1">
      <c r="A43" s="30"/>
      <c r="B43" s="30"/>
      <c r="C43" s="31"/>
      <c r="D43" s="31"/>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row>
    <row r="44" spans="1:66" ht="20" customHeight="1">
      <c r="A44" s="30"/>
      <c r="B44" s="30"/>
      <c r="C44" s="31"/>
      <c r="D44" s="31"/>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row>
    <row r="45" spans="1:66" ht="20" customHeight="1">
      <c r="A45" s="30"/>
      <c r="B45" s="30"/>
      <c r="C45" s="31"/>
      <c r="D45" s="31"/>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row>
    <row r="46" spans="1:66" ht="20" customHeight="1">
      <c r="A46" s="30"/>
      <c r="B46" s="30"/>
      <c r="C46" s="31"/>
      <c r="D46" s="31"/>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row>
    <row r="47" spans="1:66" ht="20" customHeight="1">
      <c r="A47" s="30"/>
      <c r="B47" s="30"/>
      <c r="C47" s="31"/>
      <c r="D47" s="31"/>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row>
    <row r="48" spans="1:66" ht="20" customHeight="1">
      <c r="A48" s="30"/>
      <c r="B48" s="30"/>
      <c r="C48" s="31"/>
      <c r="D48" s="31"/>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row>
    <row r="49" spans="1:66" ht="20" customHeight="1">
      <c r="A49" s="30"/>
      <c r="B49" s="30"/>
      <c r="C49" s="31"/>
      <c r="D49" s="31"/>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row>
    <row r="50" spans="1:66" ht="20" customHeight="1">
      <c r="A50" s="30"/>
      <c r="B50" s="30"/>
      <c r="C50" s="31"/>
      <c r="D50" s="31"/>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row>
    <row r="51" spans="1:66" ht="20" customHeight="1">
      <c r="A51" s="30"/>
      <c r="B51" s="30"/>
      <c r="C51" s="31"/>
      <c r="D51" s="31"/>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row>
    <row r="52" spans="1:66" ht="20" customHeight="1">
      <c r="A52" s="30"/>
      <c r="B52" s="30"/>
      <c r="C52" s="31"/>
      <c r="D52" s="31"/>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row>
    <row r="53" spans="1:66" ht="20" customHeight="1">
      <c r="A53" s="30"/>
      <c r="B53" s="30"/>
      <c r="C53" s="31"/>
      <c r="D53" s="31"/>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row>
    <row r="54" spans="1:66" ht="20" customHeight="1">
      <c r="A54" s="30"/>
      <c r="B54" s="30"/>
      <c r="C54" s="31"/>
      <c r="D54" s="31"/>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row>
    <row r="55" spans="1:66" ht="20" customHeight="1">
      <c r="A55" s="30"/>
      <c r="B55" s="30"/>
      <c r="C55" s="31"/>
      <c r="D55" s="31"/>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row>
    <row r="56" spans="1:66" ht="20" customHeight="1">
      <c r="A56" s="30"/>
      <c r="B56" s="30"/>
      <c r="C56" s="31"/>
      <c r="D56" s="31"/>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row>
    <row r="57" spans="1:66" ht="20" customHeight="1">
      <c r="A57" s="30"/>
      <c r="B57" s="30"/>
      <c r="C57" s="31"/>
      <c r="D57" s="31"/>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row>
    <row r="58" spans="1:66" ht="20" customHeight="1">
      <c r="A58" s="30"/>
      <c r="B58" s="30"/>
      <c r="C58" s="31"/>
      <c r="D58" s="31"/>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row>
    <row r="59" spans="1:66" ht="20" customHeight="1">
      <c r="A59" s="30"/>
      <c r="B59" s="30"/>
      <c r="C59" s="31"/>
      <c r="D59" s="31"/>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row>
    <row r="60" spans="1:66" ht="20" customHeight="1">
      <c r="A60" s="30"/>
      <c r="B60" s="30"/>
      <c r="C60" s="31"/>
      <c r="D60" s="31"/>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row>
    <row r="61" spans="1:66" ht="20" customHeight="1">
      <c r="A61" s="30"/>
      <c r="B61" s="30"/>
      <c r="C61" s="31"/>
      <c r="D61" s="31"/>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row>
    <row r="62" spans="1:66" ht="20" customHeight="1">
      <c r="A62" s="30"/>
      <c r="B62" s="30"/>
      <c r="C62" s="31"/>
      <c r="D62" s="31"/>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row>
    <row r="63" spans="1:66" ht="20" customHeight="1">
      <c r="A63" s="30"/>
      <c r="B63" s="30"/>
      <c r="C63" s="31"/>
      <c r="D63" s="31"/>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row>
    <row r="64" spans="1:66" ht="20" customHeight="1">
      <c r="A64" s="30"/>
      <c r="B64" s="30"/>
      <c r="C64" s="31"/>
      <c r="D64" s="31"/>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row>
    <row r="65" spans="1:66" ht="20" customHeight="1">
      <c r="A65" s="30"/>
      <c r="B65" s="30"/>
      <c r="C65" s="31"/>
      <c r="D65" s="31"/>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row>
    <row r="66" spans="1:66" ht="20" customHeight="1">
      <c r="A66" s="30"/>
      <c r="B66" s="30"/>
      <c r="C66" s="31"/>
      <c r="D66" s="31"/>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row>
    <row r="67" spans="1:66" ht="20" customHeight="1">
      <c r="A67" s="30"/>
      <c r="B67" s="30"/>
      <c r="C67" s="31"/>
      <c r="D67" s="31"/>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row>
    <row r="68" spans="1:66" ht="20" customHeight="1">
      <c r="A68" s="30"/>
      <c r="B68" s="30"/>
      <c r="C68" s="31"/>
      <c r="D68" s="31"/>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row>
    <row r="69" spans="1:66" ht="20" customHeight="1">
      <c r="A69" s="30"/>
      <c r="B69" s="30"/>
      <c r="C69" s="31"/>
      <c r="D69" s="31"/>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row>
    <row r="70" spans="1:66" ht="20" customHeight="1">
      <c r="A70" s="30"/>
      <c r="B70" s="30"/>
      <c r="C70" s="31"/>
      <c r="D70" s="31"/>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row>
    <row r="71" spans="1:66" ht="20" customHeight="1">
      <c r="A71" s="30"/>
      <c r="B71" s="30"/>
      <c r="C71" s="31"/>
      <c r="D71" s="31"/>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row>
    <row r="72" spans="1:66" ht="20" customHeight="1">
      <c r="A72" s="30"/>
      <c r="B72" s="30"/>
      <c r="C72" s="31"/>
      <c r="D72" s="31"/>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row>
    <row r="73" spans="1:66" ht="20" customHeight="1">
      <c r="A73" s="30"/>
      <c r="B73" s="30"/>
      <c r="C73" s="31"/>
      <c r="D73" s="31"/>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row>
    <row r="74" spans="1:66" ht="20" customHeight="1">
      <c r="A74" s="30"/>
      <c r="B74" s="30"/>
      <c r="C74" s="31"/>
      <c r="D74" s="31"/>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row>
    <row r="75" spans="1:66" ht="20" customHeight="1">
      <c r="A75" s="30"/>
      <c r="B75" s="30"/>
      <c r="C75" s="31"/>
      <c r="D75" s="31"/>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row>
    <row r="76" spans="1:66" ht="20" customHeight="1">
      <c r="A76" s="30"/>
      <c r="B76" s="30"/>
      <c r="C76" s="31"/>
      <c r="D76" s="31"/>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row>
    <row r="77" spans="1:66" ht="20" customHeight="1">
      <c r="A77" s="30"/>
      <c r="B77" s="30"/>
      <c r="C77" s="31"/>
      <c r="D77" s="31"/>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row>
    <row r="78" spans="1:66" ht="20" customHeight="1">
      <c r="A78" s="30"/>
      <c r="B78" s="30"/>
      <c r="C78" s="31"/>
      <c r="D78" s="31"/>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row>
    <row r="79" spans="1:66" ht="20" customHeight="1">
      <c r="A79" s="30"/>
      <c r="B79" s="30"/>
      <c r="C79" s="31"/>
      <c r="D79" s="31"/>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row>
    <row r="80" spans="1:66" ht="20" customHeight="1">
      <c r="A80" s="30"/>
      <c r="B80" s="30"/>
      <c r="C80" s="31"/>
      <c r="D80" s="31"/>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row>
    <row r="81" spans="1:66" ht="20" customHeight="1">
      <c r="A81" s="30"/>
      <c r="B81" s="30"/>
      <c r="C81" s="31"/>
      <c r="D81" s="31"/>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row>
    <row r="82" spans="1:66" ht="20" customHeight="1">
      <c r="A82" s="30"/>
      <c r="B82" s="30"/>
      <c r="C82" s="31"/>
      <c r="D82" s="31"/>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row>
    <row r="83" spans="1:66" ht="20" customHeight="1">
      <c r="A83" s="30"/>
      <c r="B83" s="30"/>
      <c r="C83" s="31"/>
      <c r="D83" s="31"/>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row>
    <row r="84" spans="1:66" ht="20" customHeight="1">
      <c r="A84" s="30"/>
      <c r="B84" s="30"/>
      <c r="C84" s="31"/>
      <c r="D84" s="31"/>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row>
    <row r="85" spans="1:66" ht="20" customHeight="1">
      <c r="A85" s="30"/>
      <c r="B85" s="30"/>
      <c r="C85" s="31"/>
      <c r="D85" s="31"/>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row>
    <row r="86" spans="1:66" ht="20" customHeight="1">
      <c r="A86" s="30"/>
      <c r="B86" s="30"/>
      <c r="C86" s="31"/>
      <c r="D86" s="31"/>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row>
    <row r="87" spans="1:66" ht="20" customHeight="1">
      <c r="A87" s="30"/>
      <c r="B87" s="30"/>
      <c r="C87" s="31"/>
      <c r="D87" s="31"/>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row>
    <row r="88" spans="1:66" ht="20" customHeight="1">
      <c r="A88" s="30"/>
      <c r="B88" s="30"/>
      <c r="C88" s="31"/>
      <c r="D88" s="31"/>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row>
    <row r="89" spans="1:66" ht="20" customHeight="1">
      <c r="A89" s="30"/>
      <c r="B89" s="30"/>
      <c r="C89" s="31"/>
      <c r="D89" s="31"/>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row>
    <row r="90" spans="1:66" ht="20" customHeight="1">
      <c r="A90" s="30"/>
      <c r="B90" s="30"/>
      <c r="C90" s="31"/>
      <c r="D90" s="31"/>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row>
    <row r="91" spans="1:66" ht="20" customHeight="1">
      <c r="A91" s="30"/>
      <c r="B91" s="30"/>
      <c r="C91" s="31"/>
      <c r="D91" s="31"/>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row>
    <row r="92" spans="1:66" ht="20" customHeight="1">
      <c r="A92" s="30"/>
      <c r="B92" s="30"/>
      <c r="C92" s="31"/>
      <c r="D92" s="31"/>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row>
    <row r="93" spans="1:66" ht="20" customHeight="1">
      <c r="A93" s="30"/>
      <c r="B93" s="30"/>
      <c r="C93" s="31"/>
      <c r="D93" s="31"/>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row>
    <row r="94" spans="1:66" ht="20" customHeight="1">
      <c r="A94" s="30"/>
      <c r="B94" s="30"/>
      <c r="C94" s="31"/>
      <c r="D94" s="31"/>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row>
    <row r="95" spans="1:66" ht="20" customHeight="1">
      <c r="A95" s="30"/>
      <c r="B95" s="30"/>
      <c r="C95" s="31"/>
      <c r="D95" s="31"/>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row>
    <row r="96" spans="1:66" ht="20" customHeight="1">
      <c r="A96" s="30"/>
      <c r="B96" s="30"/>
      <c r="C96" s="31"/>
      <c r="D96" s="31"/>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row>
    <row r="97" spans="1:66" ht="20" customHeight="1">
      <c r="A97" s="30"/>
      <c r="B97" s="30"/>
      <c r="C97" s="31"/>
      <c r="D97" s="31"/>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row>
    <row r="98" spans="1:66" ht="20" customHeight="1">
      <c r="A98" s="30"/>
      <c r="B98" s="30"/>
      <c r="C98" s="31"/>
      <c r="D98" s="31"/>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row>
    <row r="99" spans="1:66" ht="20" customHeight="1">
      <c r="A99" s="30"/>
      <c r="B99" s="30"/>
      <c r="C99" s="31"/>
      <c r="D99" s="31"/>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row>
    <row r="100" spans="1:66" ht="20" customHeight="1">
      <c r="A100" s="30"/>
      <c r="B100" s="30"/>
      <c r="C100" s="31"/>
      <c r="D100" s="31"/>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row>
    <row r="101" spans="1:66" ht="20" customHeight="1">
      <c r="A101" s="30"/>
      <c r="B101" s="30"/>
      <c r="C101" s="31"/>
      <c r="D101" s="31"/>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row>
    <row r="102" spans="1:66" ht="20" customHeight="1">
      <c r="A102" s="30"/>
      <c r="B102" s="30"/>
      <c r="C102" s="31"/>
      <c r="D102" s="31"/>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row>
    <row r="103" spans="1:66" ht="20" customHeight="1">
      <c r="A103" s="30"/>
      <c r="B103" s="30"/>
      <c r="C103" s="31"/>
      <c r="D103" s="31"/>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row>
    <row r="104" spans="1:66" ht="20" customHeight="1">
      <c r="A104" s="30"/>
      <c r="B104" s="30"/>
      <c r="C104" s="31"/>
      <c r="D104" s="31"/>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row>
    <row r="105" spans="1:66" ht="20" customHeight="1">
      <c r="A105" s="30"/>
      <c r="B105" s="30"/>
      <c r="C105" s="31"/>
      <c r="D105" s="31"/>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row>
    <row r="106" spans="1:66" ht="20" customHeight="1">
      <c r="A106" s="30"/>
      <c r="B106" s="30"/>
      <c r="C106" s="31"/>
      <c r="D106" s="31"/>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row>
    <row r="107" spans="1:66" ht="20" customHeight="1">
      <c r="A107" s="30"/>
      <c r="B107" s="30"/>
      <c r="C107" s="31"/>
      <c r="D107" s="31"/>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row>
    <row r="108" spans="1:66" ht="20" customHeight="1">
      <c r="A108" s="30"/>
      <c r="B108" s="30"/>
      <c r="C108" s="31"/>
      <c r="D108" s="31"/>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row>
    <row r="109" spans="1:66" ht="20" customHeight="1">
      <c r="A109" s="30"/>
      <c r="B109" s="30"/>
      <c r="C109" s="31"/>
      <c r="D109" s="31"/>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row>
    <row r="110" spans="1:66" ht="20" customHeight="1">
      <c r="A110" s="30"/>
      <c r="B110" s="30"/>
      <c r="C110" s="31"/>
      <c r="D110" s="31"/>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row>
    <row r="111" spans="1:66" ht="20" customHeight="1">
      <c r="A111" s="30"/>
      <c r="B111" s="30"/>
      <c r="C111" s="31"/>
      <c r="D111" s="31"/>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row>
    <row r="112" spans="1:66" ht="20" customHeight="1">
      <c r="A112" s="30"/>
      <c r="B112" s="30"/>
      <c r="C112" s="31"/>
      <c r="D112" s="31"/>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row>
    <row r="113" spans="1:66" ht="20" customHeight="1">
      <c r="A113" s="30"/>
      <c r="B113" s="30"/>
      <c r="C113" s="31"/>
      <c r="D113" s="31"/>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row>
    <row r="114" spans="1:66" ht="20" customHeight="1">
      <c r="A114" s="30"/>
      <c r="B114" s="30"/>
      <c r="C114" s="31"/>
      <c r="D114" s="31"/>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row>
    <row r="115" spans="1:66" ht="20" customHeight="1">
      <c r="A115" s="30"/>
      <c r="B115" s="30"/>
      <c r="C115" s="31"/>
      <c r="D115" s="31"/>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row>
    <row r="116" spans="1:66" ht="20" customHeight="1">
      <c r="A116" s="30"/>
      <c r="B116" s="30"/>
      <c r="C116" s="31"/>
      <c r="D116" s="31"/>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row>
    <row r="117" spans="1:66" ht="20" customHeight="1">
      <c r="A117" s="30"/>
      <c r="B117" s="30"/>
      <c r="C117" s="31"/>
      <c r="D117" s="31"/>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row>
    <row r="118" spans="1:66" ht="20" customHeight="1">
      <c r="A118" s="30"/>
      <c r="B118" s="30"/>
      <c r="C118" s="31"/>
      <c r="D118" s="31"/>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row>
    <row r="119" spans="1:66" ht="20" customHeight="1">
      <c r="A119" s="30"/>
      <c r="B119" s="30"/>
      <c r="C119" s="31"/>
      <c r="D119" s="31"/>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row>
    <row r="120" spans="1:66" ht="20" customHeight="1">
      <c r="A120" s="30"/>
      <c r="B120" s="30"/>
      <c r="C120" s="31"/>
      <c r="D120" s="31"/>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row>
    <row r="121" spans="1:66" ht="20" customHeight="1">
      <c r="A121" s="30"/>
      <c r="B121" s="30"/>
      <c r="C121" s="31"/>
      <c r="D121" s="31"/>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row>
    <row r="122" spans="1:66" ht="20" customHeight="1">
      <c r="A122" s="30"/>
      <c r="B122" s="30"/>
      <c r="C122" s="31"/>
      <c r="D122" s="31"/>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row>
    <row r="123" spans="1:66" ht="20" customHeight="1">
      <c r="A123" s="30"/>
      <c r="B123" s="30"/>
      <c r="C123" s="31"/>
      <c r="D123" s="31"/>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row>
    <row r="124" spans="1:66" ht="20" customHeight="1">
      <c r="A124" s="30"/>
      <c r="B124" s="30"/>
      <c r="C124" s="31"/>
      <c r="D124" s="31"/>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row>
    <row r="125" spans="1:66" ht="20" customHeight="1">
      <c r="A125" s="30"/>
      <c r="B125" s="30"/>
      <c r="C125" s="31"/>
      <c r="D125" s="31"/>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row>
    <row r="126" spans="1:66" ht="20" customHeight="1">
      <c r="A126" s="30"/>
      <c r="B126" s="30"/>
      <c r="C126" s="31"/>
      <c r="D126" s="31"/>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row>
    <row r="127" spans="1:66" ht="20" customHeight="1">
      <c r="A127" s="30"/>
      <c r="B127" s="30"/>
      <c r="C127" s="31"/>
      <c r="D127" s="31"/>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row>
    <row r="128" spans="1:66" ht="20" customHeight="1">
      <c r="A128" s="30"/>
      <c r="B128" s="30"/>
      <c r="C128" s="31"/>
      <c r="D128" s="31"/>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row>
    <row r="129" spans="1:66" ht="20" customHeight="1">
      <c r="A129" s="30"/>
      <c r="B129" s="30"/>
      <c r="C129" s="31"/>
      <c r="D129" s="31"/>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row>
    <row r="130" spans="1:66" ht="20" customHeight="1">
      <c r="A130" s="30"/>
      <c r="B130" s="30"/>
      <c r="C130" s="31"/>
      <c r="D130" s="31"/>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row>
    <row r="131" spans="1:66" ht="20" customHeight="1">
      <c r="A131" s="30"/>
      <c r="B131" s="30"/>
      <c r="C131" s="31"/>
      <c r="D131" s="31"/>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row>
    <row r="132" spans="1:66" ht="20" customHeight="1">
      <c r="A132" s="30"/>
      <c r="B132" s="30"/>
      <c r="C132" s="31"/>
      <c r="D132" s="31"/>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row>
    <row r="133" spans="1:66" ht="20" customHeight="1">
      <c r="A133" s="30"/>
      <c r="B133" s="30"/>
      <c r="C133" s="31"/>
      <c r="D133" s="31"/>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row>
    <row r="134" spans="1:66" ht="20" customHeight="1">
      <c r="A134" s="30"/>
      <c r="B134" s="30"/>
      <c r="C134" s="31"/>
      <c r="D134" s="31"/>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row>
    <row r="135" spans="1:66" ht="20" customHeight="1">
      <c r="A135" s="30"/>
      <c r="B135" s="30"/>
      <c r="C135" s="31"/>
      <c r="D135" s="31"/>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row>
    <row r="136" spans="1:66" ht="20" customHeight="1">
      <c r="A136" s="30"/>
      <c r="B136" s="30"/>
      <c r="C136" s="31"/>
      <c r="D136" s="31"/>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row>
    <row r="137" spans="1:66" ht="20" customHeight="1">
      <c r="A137" s="30"/>
      <c r="B137" s="30"/>
      <c r="C137" s="31"/>
      <c r="D137" s="31"/>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row>
    <row r="138" spans="1:66" ht="20" customHeight="1">
      <c r="A138" s="30"/>
      <c r="B138" s="30"/>
      <c r="C138" s="31"/>
      <c r="D138" s="31"/>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row>
    <row r="139" spans="1:66" ht="20" customHeight="1">
      <c r="A139" s="30"/>
      <c r="B139" s="30"/>
      <c r="C139" s="31"/>
      <c r="D139" s="31"/>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row>
    <row r="140" spans="1:66" ht="20" customHeight="1">
      <c r="A140" s="30"/>
      <c r="B140" s="30"/>
      <c r="C140" s="31"/>
      <c r="D140" s="31"/>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row>
    <row r="141" spans="1:66" ht="20" customHeight="1">
      <c r="A141" s="30"/>
      <c r="B141" s="30"/>
      <c r="C141" s="31"/>
      <c r="D141" s="31"/>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row>
    <row r="142" spans="1:66" ht="20" customHeight="1">
      <c r="A142" s="30"/>
      <c r="B142" s="30"/>
      <c r="C142" s="31"/>
      <c r="D142" s="31"/>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row>
    <row r="143" spans="1:66" ht="20" customHeight="1">
      <c r="A143" s="30"/>
      <c r="B143" s="30"/>
      <c r="C143" s="31"/>
      <c r="D143" s="31"/>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row>
    <row r="144" spans="1:66" ht="20" customHeight="1">
      <c r="A144" s="30"/>
      <c r="B144" s="30"/>
      <c r="C144" s="31"/>
      <c r="D144" s="31"/>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row>
    <row r="145" spans="1:66" ht="20" customHeight="1">
      <c r="A145" s="30"/>
      <c r="B145" s="30"/>
      <c r="C145" s="31"/>
      <c r="D145" s="31"/>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row>
    <row r="146" spans="1:66" ht="20" customHeight="1">
      <c r="A146" s="30"/>
      <c r="B146" s="30"/>
      <c r="C146" s="31"/>
      <c r="D146" s="31"/>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row>
    <row r="147" spans="1:66" ht="20" customHeight="1">
      <c r="A147" s="30"/>
      <c r="B147" s="30"/>
      <c r="C147" s="31"/>
      <c r="D147" s="31"/>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row>
    <row r="148" spans="1:66" ht="20" customHeight="1">
      <c r="A148" s="30"/>
      <c r="B148" s="30"/>
      <c r="C148" s="31"/>
      <c r="D148" s="31"/>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row>
    <row r="149" spans="1:66" ht="20" customHeight="1">
      <c r="A149" s="30"/>
      <c r="B149" s="30"/>
      <c r="C149" s="31"/>
      <c r="D149" s="31"/>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row>
    <row r="150" spans="1:66" ht="20" customHeight="1">
      <c r="A150" s="30"/>
      <c r="B150" s="30"/>
      <c r="C150" s="31"/>
      <c r="D150" s="31"/>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row>
    <row r="151" spans="1:66" ht="20" customHeight="1">
      <c r="A151" s="30"/>
      <c r="B151" s="30"/>
      <c r="C151" s="31"/>
      <c r="D151" s="31"/>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row>
    <row r="152" spans="1:66" ht="20" customHeight="1">
      <c r="A152" s="30"/>
      <c r="B152" s="30"/>
      <c r="C152" s="31"/>
      <c r="D152" s="31"/>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row>
    <row r="153" spans="1:66" ht="20" customHeight="1">
      <c r="A153" s="30"/>
      <c r="B153" s="30"/>
      <c r="C153" s="31"/>
      <c r="D153" s="31"/>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row>
    <row r="154" spans="1:66" ht="20" customHeight="1">
      <c r="A154" s="30"/>
      <c r="B154" s="30"/>
      <c r="C154" s="31"/>
      <c r="D154" s="31"/>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row>
    <row r="155" spans="1:66" ht="20" customHeight="1">
      <c r="A155" s="30"/>
      <c r="B155" s="30"/>
      <c r="C155" s="31"/>
      <c r="D155" s="31"/>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row>
    <row r="156" spans="1:66" ht="20" customHeight="1">
      <c r="A156" s="30"/>
      <c r="B156" s="30"/>
      <c r="C156" s="31"/>
      <c r="D156" s="31"/>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row>
    <row r="157" spans="1:66" ht="20" customHeight="1">
      <c r="A157" s="30"/>
      <c r="B157" s="30"/>
      <c r="C157" s="31"/>
      <c r="D157" s="31"/>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row>
    <row r="158" spans="1:66" ht="20" customHeight="1">
      <c r="A158" s="30"/>
      <c r="B158" s="30"/>
      <c r="C158" s="31"/>
      <c r="D158" s="31"/>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row>
    <row r="159" spans="1:66" ht="20" customHeight="1">
      <c r="A159" s="30"/>
      <c r="B159" s="30"/>
      <c r="C159" s="31"/>
      <c r="D159" s="31"/>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row>
    <row r="160" spans="1:66" ht="20" customHeight="1">
      <c r="A160" s="30"/>
      <c r="B160" s="30"/>
      <c r="C160" s="31"/>
      <c r="D160" s="31"/>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row>
    <row r="161" spans="1:66" ht="20" customHeight="1">
      <c r="A161" s="30"/>
      <c r="B161" s="30"/>
      <c r="C161" s="31"/>
      <c r="D161" s="31"/>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row>
    <row r="162" spans="1:66" ht="20" customHeight="1">
      <c r="A162" s="30"/>
      <c r="B162" s="30"/>
      <c r="C162" s="31"/>
      <c r="D162" s="31"/>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row>
    <row r="163" spans="1:66" ht="20" customHeight="1">
      <c r="A163" s="30"/>
      <c r="B163" s="30"/>
      <c r="C163" s="31"/>
      <c r="D163" s="31"/>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row>
    <row r="164" spans="1:66" ht="20" customHeight="1">
      <c r="A164" s="30"/>
      <c r="B164" s="30"/>
      <c r="C164" s="31"/>
      <c r="D164" s="31"/>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row>
    <row r="165" spans="1:66" ht="20" customHeight="1">
      <c r="A165" s="30"/>
      <c r="B165" s="30"/>
      <c r="C165" s="31"/>
      <c r="D165" s="31"/>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row>
    <row r="166" spans="1:66" ht="20" customHeight="1">
      <c r="A166" s="30"/>
      <c r="B166" s="30"/>
      <c r="C166" s="31"/>
      <c r="D166" s="31"/>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row>
    <row r="167" spans="1:66" ht="20" customHeight="1">
      <c r="A167" s="30"/>
      <c r="B167" s="30"/>
      <c r="C167" s="31"/>
      <c r="D167" s="31"/>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row>
    <row r="168" spans="1:66" ht="20" customHeight="1">
      <c r="A168" s="30"/>
      <c r="B168" s="30"/>
      <c r="C168" s="31"/>
      <c r="D168" s="31"/>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row>
    <row r="169" spans="1:66" ht="20" customHeight="1">
      <c r="A169" s="30"/>
      <c r="B169" s="30"/>
      <c r="C169" s="31"/>
      <c r="D169" s="31"/>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row>
    <row r="170" spans="1:66" ht="20" customHeight="1">
      <c r="A170" s="30"/>
      <c r="B170" s="30"/>
      <c r="C170" s="31"/>
      <c r="D170" s="31"/>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row>
    <row r="171" spans="1:66" ht="20" customHeight="1">
      <c r="A171" s="30"/>
      <c r="B171" s="30"/>
      <c r="C171" s="31"/>
      <c r="D171" s="31"/>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row>
    <row r="172" spans="1:66" ht="20" customHeight="1">
      <c r="A172" s="30"/>
      <c r="B172" s="30"/>
      <c r="C172" s="31"/>
      <c r="D172" s="31"/>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row>
    <row r="173" spans="1:66" ht="20" customHeight="1">
      <c r="A173" s="30"/>
      <c r="B173" s="30"/>
      <c r="C173" s="31"/>
      <c r="D173" s="31"/>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row>
    <row r="174" spans="1:66" ht="20" customHeight="1">
      <c r="A174" s="30"/>
      <c r="B174" s="30"/>
      <c r="C174" s="31"/>
      <c r="D174" s="31"/>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row>
    <row r="175" spans="1:66" ht="20" customHeight="1">
      <c r="A175" s="30"/>
      <c r="B175" s="30"/>
      <c r="C175" s="31"/>
      <c r="D175" s="31"/>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row>
    <row r="176" spans="1:66" ht="20" customHeight="1">
      <c r="A176" s="30"/>
      <c r="B176" s="30"/>
      <c r="C176" s="31"/>
      <c r="D176" s="31"/>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row>
    <row r="177" spans="1:66" ht="20" customHeight="1">
      <c r="A177" s="30"/>
      <c r="B177" s="30"/>
      <c r="C177" s="31"/>
      <c r="D177" s="31"/>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row>
    <row r="178" spans="1:66" ht="20" customHeight="1">
      <c r="A178" s="30"/>
      <c r="B178" s="30"/>
      <c r="C178" s="31"/>
      <c r="D178" s="31"/>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row>
    <row r="179" spans="1:66" ht="20" customHeight="1">
      <c r="A179" s="30"/>
      <c r="B179" s="30"/>
      <c r="C179" s="31"/>
      <c r="D179" s="31"/>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row>
    <row r="180" spans="1:66" ht="20" customHeight="1">
      <c r="A180" s="30"/>
      <c r="B180" s="30"/>
      <c r="C180" s="31"/>
      <c r="D180" s="31"/>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row>
    <row r="181" spans="1:66" ht="20" customHeight="1">
      <c r="A181" s="30"/>
      <c r="B181" s="30"/>
      <c r="C181" s="31"/>
      <c r="D181" s="31"/>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row>
    <row r="182" spans="1:66" ht="20" customHeight="1">
      <c r="A182" s="30"/>
      <c r="B182" s="30"/>
      <c r="C182" s="31"/>
      <c r="D182" s="31"/>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row>
    <row r="183" spans="1:66" ht="20" customHeight="1">
      <c r="A183" s="30"/>
      <c r="B183" s="30"/>
      <c r="C183" s="31"/>
      <c r="D183" s="31"/>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row>
    <row r="184" spans="1:66" ht="20" customHeight="1">
      <c r="A184" s="30"/>
      <c r="B184" s="30"/>
      <c r="C184" s="31"/>
      <c r="D184" s="31"/>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row>
    <row r="185" spans="1:66" ht="20" customHeight="1">
      <c r="A185" s="30"/>
      <c r="B185" s="30"/>
      <c r="C185" s="31"/>
      <c r="D185" s="31"/>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row>
    <row r="186" spans="1:66" ht="20" customHeight="1">
      <c r="A186" s="30"/>
      <c r="B186" s="30"/>
      <c r="C186" s="31"/>
      <c r="D186" s="31"/>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row>
    <row r="187" spans="1:66" ht="20" customHeight="1">
      <c r="A187" s="30"/>
      <c r="B187" s="30"/>
      <c r="C187" s="31"/>
      <c r="D187" s="31"/>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row>
    <row r="188" spans="1:66" ht="20" customHeight="1">
      <c r="A188" s="30"/>
      <c r="B188" s="30"/>
      <c r="C188" s="31"/>
      <c r="D188" s="31"/>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row>
    <row r="189" spans="1:66" ht="20" customHeight="1">
      <c r="A189" s="30"/>
      <c r="B189" s="30"/>
      <c r="C189" s="31"/>
      <c r="D189" s="31"/>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row>
    <row r="190" spans="1:66" ht="20" customHeight="1">
      <c r="A190" s="30"/>
      <c r="B190" s="30"/>
      <c r="C190" s="31"/>
      <c r="D190" s="31"/>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row>
    <row r="191" spans="1:66" ht="20" customHeight="1">
      <c r="A191" s="30"/>
      <c r="B191" s="30"/>
      <c r="C191" s="31"/>
      <c r="D191" s="31"/>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row>
    <row r="192" spans="1:66" ht="20" customHeight="1">
      <c r="A192" s="30"/>
      <c r="B192" s="30"/>
      <c r="C192" s="31"/>
      <c r="D192" s="31"/>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row>
    <row r="193" spans="1:66" ht="20" customHeight="1">
      <c r="A193" s="30"/>
      <c r="B193" s="30"/>
      <c r="C193" s="31"/>
      <c r="D193" s="31"/>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row>
    <row r="194" spans="1:66" ht="20" customHeight="1">
      <c r="A194" s="30"/>
      <c r="B194" s="30"/>
      <c r="C194" s="31"/>
      <c r="D194" s="31"/>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row>
    <row r="195" spans="1:66" ht="20" customHeight="1">
      <c r="A195" s="30"/>
      <c r="B195" s="30"/>
      <c r="C195" s="31"/>
      <c r="D195" s="31"/>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row>
    <row r="196" spans="1:66" ht="20" customHeight="1">
      <c r="A196" s="30"/>
      <c r="B196" s="30"/>
      <c r="C196" s="31"/>
      <c r="D196" s="31"/>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row>
    <row r="197" spans="1:66" ht="20" customHeight="1">
      <c r="A197" s="30"/>
      <c r="B197" s="30"/>
      <c r="C197" s="31"/>
      <c r="D197" s="31"/>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row>
    <row r="198" spans="1:66" ht="20" customHeight="1">
      <c r="A198" s="30"/>
      <c r="B198" s="30"/>
      <c r="C198" s="31"/>
      <c r="D198" s="31"/>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row>
    <row r="199" spans="1:66" ht="20" customHeight="1">
      <c r="A199" s="30"/>
      <c r="B199" s="30"/>
      <c r="C199" s="31"/>
      <c r="D199" s="31"/>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row>
    <row r="200" spans="1:66" ht="20" customHeight="1">
      <c r="A200" s="30"/>
      <c r="B200" s="30"/>
      <c r="C200" s="31"/>
      <c r="D200" s="31"/>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51D2D"/>
  </sheetPr>
  <dimension ref="A1:BN200"/>
  <sheetViews>
    <sheetView showGridLines="0" workbookViewId="0"/>
  </sheetViews>
  <sheetFormatPr baseColWidth="10" defaultColWidth="8.83203125" defaultRowHeight="14"/>
  <cols>
    <col min="1" max="2" width="2" customWidth="1"/>
    <col min="3" max="3" width="48" customWidth="1"/>
    <col min="4" max="4" width="3" customWidth="1"/>
    <col min="5" max="66" width="14" customWidth="1"/>
  </cols>
  <sheetData>
    <row r="1" spans="1:66" ht="20" customHeight="1">
      <c r="A1" s="30"/>
      <c r="B1" s="30"/>
      <c r="C1" s="31"/>
      <c r="D1" s="31"/>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row>
    <row r="2" spans="1:66" ht="20" customHeight="1">
      <c r="A2" s="30"/>
      <c r="B2" s="30"/>
      <c r="C2" s="33" t="s">
        <v>401</v>
      </c>
      <c r="D2" s="31"/>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row>
    <row r="3" spans="1:66" ht="20" customHeight="1">
      <c r="A3" s="30"/>
      <c r="B3" s="30"/>
      <c r="C3" s="34" t="s">
        <v>49</v>
      </c>
      <c r="D3" s="31"/>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row>
    <row r="4" spans="1:66" ht="20" customHeight="1">
      <c r="A4" s="30"/>
      <c r="B4" s="30"/>
      <c r="C4" s="31" t="s">
        <v>2</v>
      </c>
      <c r="D4" s="31"/>
      <c r="E4" s="35" t="str">
        <f>CHOOSE(Assumptions!$E$5,"Base","Downside","Upside")</f>
        <v>Base</v>
      </c>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row>
    <row r="5" spans="1:66" ht="20" customHeight="1">
      <c r="A5" s="30"/>
      <c r="B5" s="30"/>
      <c r="C5" s="31"/>
      <c r="D5" s="31"/>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row>
    <row r="6" spans="1:66" ht="20" customHeight="1">
      <c r="A6" s="30"/>
      <c r="B6" s="30"/>
      <c r="C6" s="31" t="s">
        <v>402</v>
      </c>
      <c r="D6" s="31"/>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row>
    <row r="7" spans="1:66" ht="48" customHeight="1">
      <c r="A7" s="30"/>
      <c r="B7" s="30"/>
      <c r="C7" s="36" t="s">
        <v>403</v>
      </c>
      <c r="D7" s="36"/>
      <c r="E7" s="49" t="s">
        <v>404</v>
      </c>
      <c r="F7" s="49" t="s">
        <v>405</v>
      </c>
      <c r="G7" s="49" t="s">
        <v>406</v>
      </c>
      <c r="H7" s="49" t="s">
        <v>407</v>
      </c>
      <c r="I7" s="49" t="s">
        <v>408</v>
      </c>
      <c r="J7" s="49" t="s">
        <v>409</v>
      </c>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2"/>
      <c r="BN7" s="32"/>
    </row>
    <row r="8" spans="1:66" ht="20" customHeight="1">
      <c r="A8" s="30"/>
      <c r="B8" s="30"/>
      <c r="C8" s="31" t="s">
        <v>16</v>
      </c>
      <c r="D8" s="31"/>
      <c r="E8" s="32">
        <v>-593.06279970091271</v>
      </c>
      <c r="F8" s="32">
        <v>134.77822271286959</v>
      </c>
      <c r="G8" s="32">
        <v>-1756.4907978074361</v>
      </c>
      <c r="H8" s="32">
        <v>-758.65746447410277</v>
      </c>
      <c r="I8" s="32">
        <v>-60.549191028512041</v>
      </c>
      <c r="J8" s="32">
        <v>282.86206783970192</v>
      </c>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row>
    <row r="9" spans="1:66" ht="20" customHeight="1">
      <c r="A9" s="30"/>
      <c r="B9" s="30"/>
      <c r="C9" s="31" t="s">
        <v>17</v>
      </c>
      <c r="D9" s="31"/>
      <c r="E9" s="32">
        <v>52.000000000000028</v>
      </c>
      <c r="F9" s="32">
        <v>52.000000000000028</v>
      </c>
      <c r="G9" s="32">
        <v>-147.37718650000005</v>
      </c>
      <c r="H9" s="32">
        <v>-147.37718650000005</v>
      </c>
      <c r="I9" s="32">
        <v>92.123083333333369</v>
      </c>
      <c r="J9" s="32">
        <v>92.123083333333369</v>
      </c>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row>
    <row r="10" spans="1:66" ht="20" customHeight="1">
      <c r="A10" s="30"/>
      <c r="B10" s="30"/>
      <c r="C10" s="31" t="s">
        <v>18</v>
      </c>
      <c r="D10" s="31"/>
      <c r="E10" s="32">
        <v>167.55730126786932</v>
      </c>
      <c r="F10" s="32">
        <v>167.55730126786932</v>
      </c>
      <c r="G10" s="32">
        <v>-49.047594303818869</v>
      </c>
      <c r="H10" s="32">
        <v>-49.047594303818869</v>
      </c>
      <c r="I10" s="32">
        <v>274.18207384952223</v>
      </c>
      <c r="J10" s="32">
        <v>274.18207384952223</v>
      </c>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row>
    <row r="11" spans="1:66" ht="20" customHeight="1">
      <c r="A11" s="30"/>
      <c r="B11" s="30"/>
      <c r="C11" s="31" t="s">
        <v>19</v>
      </c>
      <c r="D11" s="31"/>
      <c r="E11" s="32">
        <v>-581.59320170091269</v>
      </c>
      <c r="F11" s="32">
        <v>147.02822271286959</v>
      </c>
      <c r="G11" s="32">
        <v>-1718.9907978074361</v>
      </c>
      <c r="H11" s="32">
        <v>-721.15746447410277</v>
      </c>
      <c r="I11" s="32">
        <v>-50.172423028512043</v>
      </c>
      <c r="J11" s="32">
        <v>295.36206783970192</v>
      </c>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row>
    <row r="12" spans="1:66" ht="20" customHeight="1">
      <c r="A12" s="30"/>
      <c r="B12" s="30"/>
      <c r="C12" s="31" t="s">
        <v>20</v>
      </c>
      <c r="D12" s="31"/>
      <c r="E12" s="32">
        <v>-94.258423662257329</v>
      </c>
      <c r="F12" s="32">
        <v>399.56386900205376</v>
      </c>
      <c r="G12" s="32">
        <v>-1581.4907978074359</v>
      </c>
      <c r="H12" s="32">
        <v>-583.65746447410243</v>
      </c>
      <c r="I12" s="32">
        <v>648.83736897148822</v>
      </c>
      <c r="J12" s="32">
        <v>707.74835176465558</v>
      </c>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row>
    <row r="13" spans="1:66" ht="20" customHeight="1">
      <c r="A13" s="30"/>
      <c r="B13" s="30"/>
      <c r="C13" s="31" t="s">
        <v>21</v>
      </c>
      <c r="D13" s="31"/>
      <c r="E13" s="32">
        <v>115.96386595020203</v>
      </c>
      <c r="F13" s="32">
        <v>115.96386595020203</v>
      </c>
      <c r="G13" s="32">
        <v>-479.25240369000505</v>
      </c>
      <c r="H13" s="32">
        <v>-572.05240369000535</v>
      </c>
      <c r="I13" s="32">
        <v>412.99911216612327</v>
      </c>
      <c r="J13" s="32">
        <v>412.99911216612327</v>
      </c>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row>
    <row r="14" spans="1:66" ht="20" customHeight="1">
      <c r="A14" s="30"/>
      <c r="B14" s="30"/>
      <c r="C14" s="31" t="s">
        <v>22</v>
      </c>
      <c r="D14" s="31"/>
      <c r="E14" s="32">
        <v>80.547074949773332</v>
      </c>
      <c r="F14" s="32">
        <v>80.547074949773332</v>
      </c>
      <c r="G14" s="32">
        <v>1.2816256204457659</v>
      </c>
      <c r="H14" s="32">
        <v>1.2816256204457659</v>
      </c>
      <c r="I14" s="32">
        <v>123.20912552499112</v>
      </c>
      <c r="J14" s="32">
        <v>123.20912552499112</v>
      </c>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row>
    <row r="15" spans="1:66" ht="20" customHeight="1">
      <c r="A15" s="30"/>
      <c r="B15" s="30"/>
      <c r="C15" s="31" t="s">
        <v>23</v>
      </c>
      <c r="D15" s="31"/>
      <c r="E15" s="32">
        <v>-60.772999999999996</v>
      </c>
      <c r="F15" s="32">
        <v>-60.772999999999996</v>
      </c>
      <c r="G15" s="32">
        <v>-58.37299999999999</v>
      </c>
      <c r="H15" s="32">
        <v>-58.37299999999999</v>
      </c>
      <c r="I15" s="32">
        <v>-63.172999999999995</v>
      </c>
      <c r="J15" s="32">
        <v>-63.172999999999995</v>
      </c>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row>
    <row r="16" spans="1:66" ht="20" customHeight="1">
      <c r="A16" s="30"/>
      <c r="B16" s="30"/>
      <c r="C16" s="31" t="s">
        <v>410</v>
      </c>
      <c r="D16" s="31"/>
      <c r="E16" s="32">
        <v>107.32723198303954</v>
      </c>
      <c r="F16" s="32">
        <v>107.32723198303954</v>
      </c>
      <c r="G16" s="32">
        <v>190.74</v>
      </c>
      <c r="H16" s="32">
        <v>190.74</v>
      </c>
      <c r="I16" s="32">
        <v>190.74</v>
      </c>
      <c r="J16" s="32">
        <v>190.74</v>
      </c>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row>
    <row r="17" spans="1:66" ht="20" customHeight="1">
      <c r="A17" s="30"/>
      <c r="B17" s="30"/>
      <c r="C17" s="31"/>
      <c r="D17" s="31"/>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row>
    <row r="18" spans="1:66" ht="42" customHeight="1">
      <c r="A18" s="30"/>
      <c r="B18" s="30"/>
      <c r="C18" s="31" t="s">
        <v>26</v>
      </c>
      <c r="D18" s="31"/>
      <c r="E18" s="50" t="s">
        <v>16</v>
      </c>
      <c r="F18" s="50" t="s">
        <v>23</v>
      </c>
      <c r="G18" s="50" t="s">
        <v>16</v>
      </c>
      <c r="H18" s="50" t="s">
        <v>16</v>
      </c>
      <c r="I18" s="50" t="s">
        <v>23</v>
      </c>
      <c r="J18" s="50" t="s">
        <v>23</v>
      </c>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row>
    <row r="19" spans="1:66" ht="20" customHeight="1">
      <c r="A19" s="30"/>
      <c r="B19" s="30"/>
      <c r="C19" s="31"/>
      <c r="D19" s="31"/>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row>
    <row r="20" spans="1:66" ht="20" customHeight="1">
      <c r="A20" s="30"/>
      <c r="B20" s="30"/>
      <c r="C20" s="31" t="s">
        <v>411</v>
      </c>
      <c r="D20" s="31"/>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row>
    <row r="21" spans="1:66" ht="20" customHeight="1">
      <c r="A21" s="30"/>
      <c r="B21" s="30"/>
      <c r="C21" s="31" t="s">
        <v>412</v>
      </c>
      <c r="D21" s="31"/>
      <c r="E21" s="32">
        <v>-593.06279970091271</v>
      </c>
      <c r="F21" s="32">
        <v>14.130882687657749</v>
      </c>
      <c r="G21" s="32">
        <v>-1756.4907978074361</v>
      </c>
      <c r="H21" s="32">
        <v>-758.65746447410277</v>
      </c>
      <c r="I21" s="32">
        <v>-60.549191028512041</v>
      </c>
      <c r="J21" s="32">
        <v>92.123083333333369</v>
      </c>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row>
    <row r="22" spans="1:66" ht="20" customHeight="1">
      <c r="A22" s="30"/>
      <c r="B22" s="30"/>
      <c r="C22" s="31"/>
      <c r="D22" s="31"/>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row>
    <row r="23" spans="1:66" ht="20" customHeight="1">
      <c r="A23" s="30"/>
      <c r="B23" s="30"/>
      <c r="C23" s="31"/>
      <c r="D23" s="31"/>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row>
    <row r="24" spans="1:66" ht="20" customHeight="1">
      <c r="A24" s="30"/>
      <c r="B24" s="30"/>
      <c r="C24" s="31" t="s">
        <v>413</v>
      </c>
      <c r="D24" s="31"/>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row>
    <row r="25" spans="1:66" ht="42" customHeight="1">
      <c r="A25" s="30"/>
      <c r="B25" s="30"/>
      <c r="C25" s="31" t="s">
        <v>414</v>
      </c>
      <c r="D25" s="31"/>
      <c r="E25" s="51" t="s">
        <v>415</v>
      </c>
      <c r="F25" s="51" t="s">
        <v>416</v>
      </c>
      <c r="G25" s="51" t="s">
        <v>417</v>
      </c>
      <c r="H25" s="51" t="s">
        <v>418</v>
      </c>
      <c r="I25" s="51" t="s">
        <v>419</v>
      </c>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row>
    <row r="26" spans="1:66" ht="20" customHeight="1">
      <c r="A26" s="30"/>
      <c r="B26" s="30"/>
      <c r="C26" s="31" t="s">
        <v>420</v>
      </c>
      <c r="D26" s="31"/>
      <c r="E26" s="32">
        <v>14.130882687657749</v>
      </c>
      <c r="F26" s="32">
        <v>134.77822271286959</v>
      </c>
      <c r="G26" s="32">
        <v>115.96386595020203</v>
      </c>
      <c r="H26" s="32">
        <v>114.4324285782476</v>
      </c>
      <c r="I26" s="32">
        <v>-60.772999999999996</v>
      </c>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row>
    <row r="27" spans="1:66" ht="20" customHeight="1">
      <c r="A27" s="30"/>
      <c r="B27" s="30"/>
      <c r="C27" s="31" t="s">
        <v>421</v>
      </c>
      <c r="D27" s="31"/>
      <c r="E27" s="32">
        <v>14.130882687657749</v>
      </c>
      <c r="F27" s="32">
        <v>134.77822271286959</v>
      </c>
      <c r="G27" s="32">
        <v>115.96386595020203</v>
      </c>
      <c r="H27" s="32">
        <v>29.022074949773355</v>
      </c>
      <c r="I27" s="32">
        <v>-60.772999999999996</v>
      </c>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row>
    <row r="28" spans="1:66" ht="20" customHeight="1">
      <c r="A28" s="30"/>
      <c r="B28" s="30"/>
      <c r="C28" s="31" t="s">
        <v>422</v>
      </c>
      <c r="D28" s="31"/>
      <c r="E28" s="32">
        <v>-183.91880593556743</v>
      </c>
      <c r="F28" s="32">
        <v>134.77822271286959</v>
      </c>
      <c r="G28" s="32">
        <v>-183.91880593556743</v>
      </c>
      <c r="H28" s="32">
        <v>80.547074949773332</v>
      </c>
      <c r="I28" s="32">
        <v>-60.772999999999996</v>
      </c>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row>
    <row r="29" spans="1:66" ht="20" customHeight="1">
      <c r="A29" s="30"/>
      <c r="B29" s="30"/>
      <c r="C29" s="31" t="s">
        <v>423</v>
      </c>
      <c r="D29" s="31"/>
      <c r="E29" s="32">
        <v>14.130882687657749</v>
      </c>
      <c r="F29" s="32">
        <v>134.77822271286959</v>
      </c>
      <c r="G29" s="32">
        <v>435.96386595020203</v>
      </c>
      <c r="H29" s="32">
        <v>80.547074949773332</v>
      </c>
      <c r="I29" s="32">
        <v>-60.772999999999996</v>
      </c>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row>
    <row r="30" spans="1:66" ht="20" customHeight="1">
      <c r="A30" s="30"/>
      <c r="B30" s="30"/>
      <c r="C30" s="31" t="s">
        <v>424</v>
      </c>
      <c r="D30" s="31"/>
      <c r="E30" s="32">
        <v>-59.381511021329359</v>
      </c>
      <c r="F30" s="32">
        <v>88.168963972805386</v>
      </c>
      <c r="G30" s="32">
        <v>44.797685987578461</v>
      </c>
      <c r="H30" s="32">
        <v>58.262289298411531</v>
      </c>
      <c r="I30" s="32">
        <v>-60.772999999999996</v>
      </c>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row>
    <row r="31" spans="1:66" ht="20" customHeight="1">
      <c r="A31" s="30"/>
      <c r="B31" s="30"/>
      <c r="C31" s="31" t="s">
        <v>425</v>
      </c>
      <c r="D31" s="31"/>
      <c r="E31" s="32">
        <v>48.433910291810335</v>
      </c>
      <c r="F31" s="32">
        <v>157.45713184750048</v>
      </c>
      <c r="G31" s="32">
        <v>134.24974084632595</v>
      </c>
      <c r="H31" s="32">
        <v>84.503238065278367</v>
      </c>
      <c r="I31" s="32">
        <v>-60.772999999999996</v>
      </c>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row>
    <row r="32" spans="1:66" ht="20" customHeight="1">
      <c r="A32" s="30"/>
      <c r="B32" s="30"/>
      <c r="C32" s="31" t="s">
        <v>426</v>
      </c>
      <c r="D32" s="31"/>
      <c r="E32" s="32">
        <v>6.3175754457635263</v>
      </c>
      <c r="F32" s="32">
        <v>129.47674043816528</v>
      </c>
      <c r="G32" s="32">
        <v>108.370875124348</v>
      </c>
      <c r="H32" s="32">
        <v>80.547074949773332</v>
      </c>
      <c r="I32" s="32">
        <v>-60.772999999999996</v>
      </c>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row>
    <row r="33" spans="1:66" ht="20" customHeight="1">
      <c r="A33" s="30"/>
      <c r="B33" s="30"/>
      <c r="C33" s="31" t="s">
        <v>427</v>
      </c>
      <c r="D33" s="31"/>
      <c r="E33" s="32">
        <v>21.80982980620924</v>
      </c>
      <c r="F33" s="32">
        <v>140.01065515364678</v>
      </c>
      <c r="G33" s="32">
        <v>123.42249665271356</v>
      </c>
      <c r="H33" s="32">
        <v>80.547074949773332</v>
      </c>
      <c r="I33" s="32">
        <v>-60.772999999999996</v>
      </c>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row>
    <row r="34" spans="1:66" ht="20" customHeight="1">
      <c r="A34" s="30"/>
      <c r="B34" s="30"/>
      <c r="C34" s="31"/>
      <c r="D34" s="31"/>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row>
    <row r="35" spans="1:66" ht="20" customHeight="1">
      <c r="A35" s="30"/>
      <c r="B35" s="30"/>
      <c r="C35" s="31"/>
      <c r="D35" s="31"/>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row>
    <row r="36" spans="1:66" ht="20" customHeight="1">
      <c r="A36" s="30"/>
      <c r="B36" s="30"/>
      <c r="C36" s="31"/>
      <c r="D36" s="31"/>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row>
    <row r="37" spans="1:66" ht="20" customHeight="1">
      <c r="A37" s="30"/>
      <c r="B37" s="30"/>
      <c r="C37" s="31" t="s">
        <v>428</v>
      </c>
      <c r="D37" s="31"/>
      <c r="E37" s="32">
        <v>757.92136349999998</v>
      </c>
      <c r="F37" s="32">
        <v>757.92136349999998</v>
      </c>
      <c r="G37" s="32">
        <v>619.0203855499999</v>
      </c>
      <c r="H37" s="32">
        <v>619.0203855499999</v>
      </c>
      <c r="I37" s="32">
        <v>905.44672864999995</v>
      </c>
      <c r="J37" s="32">
        <v>905.44672864999995</v>
      </c>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row>
    <row r="38" spans="1:66" ht="20" customHeight="1">
      <c r="A38" s="30"/>
      <c r="B38" s="30"/>
      <c r="C38" s="31" t="s">
        <v>429</v>
      </c>
      <c r="D38" s="31"/>
      <c r="E38" s="32">
        <v>182.85031789999982</v>
      </c>
      <c r="F38" s="32">
        <v>182.85031789999982</v>
      </c>
      <c r="G38" s="32">
        <v>-22.37718650000005</v>
      </c>
      <c r="H38" s="32">
        <v>-22.37718650000005</v>
      </c>
      <c r="I38" s="32">
        <v>294.77551409999995</v>
      </c>
      <c r="J38" s="32">
        <v>294.77551409999995</v>
      </c>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row>
    <row r="39" spans="1:66" ht="20" customHeight="1">
      <c r="A39" s="30"/>
      <c r="B39" s="30"/>
      <c r="C39" s="31" t="s">
        <v>430</v>
      </c>
      <c r="D39" s="31"/>
      <c r="E39" s="32">
        <v>206.53183535525204</v>
      </c>
      <c r="F39" s="32">
        <v>206.53183535525204</v>
      </c>
      <c r="G39" s="32">
        <v>-724.92317229237653</v>
      </c>
      <c r="H39" s="32">
        <v>-724.92317229237653</v>
      </c>
      <c r="I39" s="32">
        <v>656.86977781466987</v>
      </c>
      <c r="J39" s="32">
        <v>656.86977781466987</v>
      </c>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row>
    <row r="40" spans="1:66" ht="20" customHeight="1">
      <c r="A40" s="30"/>
      <c r="B40" s="30"/>
      <c r="C40" s="31" t="s">
        <v>37</v>
      </c>
      <c r="D40" s="31"/>
      <c r="E40" s="32">
        <v>424.29787127442751</v>
      </c>
      <c r="F40" s="32">
        <v>424.29787127442751</v>
      </c>
      <c r="G40" s="32">
        <v>-1746.5792581805442</v>
      </c>
      <c r="H40" s="32">
        <v>-1746.5792581805442</v>
      </c>
      <c r="I40" s="32">
        <v>1652.5289245817844</v>
      </c>
      <c r="J40" s="32">
        <v>1652.5289245817844</v>
      </c>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row>
    <row r="41" spans="1:66" ht="20" customHeight="1">
      <c r="A41" s="30"/>
      <c r="B41" s="30"/>
      <c r="C41" s="31" t="s">
        <v>431</v>
      </c>
      <c r="D41" s="31"/>
      <c r="E41" s="32">
        <v>0</v>
      </c>
      <c r="F41" s="32">
        <v>0</v>
      </c>
      <c r="G41" s="32">
        <v>0</v>
      </c>
      <c r="H41" s="32">
        <v>0</v>
      </c>
      <c r="I41" s="32">
        <v>1078.8831403656718</v>
      </c>
      <c r="J41" s="32">
        <v>1078.8831403656718</v>
      </c>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row>
    <row r="42" spans="1:66" ht="20" customHeight="1">
      <c r="A42" s="30"/>
      <c r="B42" s="30"/>
      <c r="C42" s="31" t="s">
        <v>432</v>
      </c>
      <c r="D42" s="31"/>
      <c r="E42" s="70">
        <v>0</v>
      </c>
      <c r="F42" s="70">
        <v>0</v>
      </c>
      <c r="G42" s="70">
        <v>0</v>
      </c>
      <c r="H42" s="70">
        <v>0</v>
      </c>
      <c r="I42" s="70">
        <v>8.2992093459624883</v>
      </c>
      <c r="J42" s="70">
        <v>8.2992093459624883</v>
      </c>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row>
    <row r="43" spans="1:66" ht="20" customHeight="1">
      <c r="A43" s="30"/>
      <c r="B43" s="30"/>
      <c r="C43" s="31" t="s">
        <v>42</v>
      </c>
      <c r="D43" s="31"/>
      <c r="E43" s="32">
        <v>38.500936978657982</v>
      </c>
      <c r="F43" s="32">
        <v>38.500936978657982</v>
      </c>
      <c r="G43" s="32">
        <v>-211.39906064971882</v>
      </c>
      <c r="H43" s="32">
        <v>-211.39906064971882</v>
      </c>
      <c r="I43" s="32">
        <v>141.14006430788595</v>
      </c>
      <c r="J43" s="32">
        <v>141.14006430788595</v>
      </c>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row>
    <row r="44" spans="1:66" ht="55" customHeight="1">
      <c r="A44" s="30"/>
      <c r="B44" s="30"/>
      <c r="C44" s="31" t="s">
        <v>433</v>
      </c>
      <c r="D44" s="31"/>
      <c r="E44" s="50" t="s">
        <v>434</v>
      </c>
      <c r="F44" s="50" t="s">
        <v>434</v>
      </c>
      <c r="G44" s="50" t="s">
        <v>435</v>
      </c>
      <c r="H44" s="50" t="s">
        <v>435</v>
      </c>
      <c r="I44" s="50" t="s">
        <v>436</v>
      </c>
      <c r="J44" s="50" t="s">
        <v>436</v>
      </c>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row>
    <row r="45" spans="1:66" ht="20" customHeight="1">
      <c r="A45" s="30"/>
      <c r="B45" s="30"/>
      <c r="C45" s="31" t="s">
        <v>9</v>
      </c>
      <c r="D45" s="31"/>
      <c r="E45" s="32">
        <v>593.06279970091271</v>
      </c>
      <c r="F45" s="32">
        <v>3.5527136788005009E-15</v>
      </c>
      <c r="G45" s="32">
        <v>1756.4907978074361</v>
      </c>
      <c r="H45" s="32">
        <v>758.65746447410277</v>
      </c>
      <c r="I45" s="32">
        <v>60.549191028512041</v>
      </c>
      <c r="J45" s="32">
        <v>0</v>
      </c>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row>
    <row r="46" spans="1:66" ht="20" customHeight="1">
      <c r="A46" s="30"/>
      <c r="B46" s="30"/>
      <c r="C46" s="31" t="s">
        <v>41</v>
      </c>
      <c r="D46" s="31"/>
      <c r="E46" s="71">
        <v>0.10047239999999999</v>
      </c>
      <c r="F46" s="71">
        <v>0.10047239999999999</v>
      </c>
      <c r="G46" s="71">
        <v>0.1107224</v>
      </c>
      <c r="H46" s="71">
        <v>0.1107224</v>
      </c>
      <c r="I46" s="71">
        <v>9.2972400000000011E-2</v>
      </c>
      <c r="J46" s="71">
        <v>9.2972400000000011E-2</v>
      </c>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row>
    <row r="47" spans="1:66" ht="20" customHeight="1">
      <c r="A47" s="30"/>
      <c r="B47" s="30"/>
      <c r="C47" s="31"/>
      <c r="D47" s="31"/>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row>
    <row r="48" spans="1:66" ht="20" customHeight="1">
      <c r="A48" s="30"/>
      <c r="B48" s="30"/>
      <c r="C48" s="31"/>
      <c r="D48" s="31"/>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row>
    <row r="49" spans="1:66" ht="20" customHeight="1">
      <c r="A49" s="30"/>
      <c r="B49" s="30"/>
      <c r="C49" s="31"/>
      <c r="D49" s="31"/>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row>
    <row r="50" spans="1:66" ht="20" customHeight="1">
      <c r="A50" s="30"/>
      <c r="B50" s="30"/>
      <c r="C50" s="31"/>
      <c r="D50" s="31"/>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row>
    <row r="51" spans="1:66" ht="20" customHeight="1">
      <c r="A51" s="30"/>
      <c r="B51" s="30"/>
      <c r="C51" s="31"/>
      <c r="D51" s="31"/>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row>
    <row r="52" spans="1:66" ht="20" customHeight="1">
      <c r="A52" s="30"/>
      <c r="B52" s="30"/>
      <c r="C52" s="31"/>
      <c r="D52" s="31"/>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row>
    <row r="53" spans="1:66" ht="20" customHeight="1">
      <c r="A53" s="30"/>
      <c r="B53" s="30"/>
      <c r="C53" s="31"/>
      <c r="D53" s="31"/>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row>
    <row r="54" spans="1:66" ht="20" customHeight="1">
      <c r="A54" s="30"/>
      <c r="B54" s="30"/>
      <c r="C54" s="31"/>
      <c r="D54" s="31"/>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row>
    <row r="55" spans="1:66" ht="20" customHeight="1">
      <c r="A55" s="30"/>
      <c r="B55" s="30"/>
      <c r="C55" s="31"/>
      <c r="D55" s="31"/>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row>
    <row r="56" spans="1:66" ht="20" customHeight="1">
      <c r="A56" s="30"/>
      <c r="B56" s="30"/>
      <c r="C56" s="31"/>
      <c r="D56" s="31"/>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row>
    <row r="57" spans="1:66" ht="20" customHeight="1">
      <c r="A57" s="30"/>
      <c r="B57" s="30"/>
      <c r="C57" s="31"/>
      <c r="D57" s="31"/>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row>
    <row r="58" spans="1:66" ht="20" customHeight="1">
      <c r="A58" s="30"/>
      <c r="B58" s="30"/>
      <c r="C58" s="31"/>
      <c r="D58" s="31"/>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row>
    <row r="59" spans="1:66" ht="20" customHeight="1">
      <c r="A59" s="30"/>
      <c r="B59" s="30"/>
      <c r="C59" s="31"/>
      <c r="D59" s="31"/>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row>
    <row r="60" spans="1:66" ht="20" customHeight="1">
      <c r="A60" s="30"/>
      <c r="B60" s="30"/>
      <c r="C60" s="31"/>
      <c r="D60" s="31"/>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row>
    <row r="61" spans="1:66" ht="20" customHeight="1">
      <c r="A61" s="30"/>
      <c r="B61" s="30"/>
      <c r="C61" s="31"/>
      <c r="D61" s="31"/>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row>
    <row r="62" spans="1:66" ht="20" customHeight="1">
      <c r="A62" s="30"/>
      <c r="B62" s="30"/>
      <c r="C62" s="31"/>
      <c r="D62" s="31"/>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row>
    <row r="63" spans="1:66" ht="20" customHeight="1">
      <c r="A63" s="30"/>
      <c r="B63" s="30"/>
      <c r="C63" s="31"/>
      <c r="D63" s="31"/>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row>
    <row r="64" spans="1:66" ht="20" customHeight="1">
      <c r="A64" s="30"/>
      <c r="B64" s="30"/>
      <c r="C64" s="31"/>
      <c r="D64" s="31"/>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row>
    <row r="65" spans="1:66" ht="20" customHeight="1">
      <c r="A65" s="30"/>
      <c r="B65" s="30"/>
      <c r="C65" s="31"/>
      <c r="D65" s="31"/>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row>
    <row r="66" spans="1:66" ht="20" customHeight="1">
      <c r="A66" s="30"/>
      <c r="B66" s="30"/>
      <c r="C66" s="31"/>
      <c r="D66" s="31"/>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row>
    <row r="67" spans="1:66" ht="20" customHeight="1">
      <c r="A67" s="30"/>
      <c r="B67" s="30"/>
      <c r="C67" s="31"/>
      <c r="D67" s="31"/>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row>
    <row r="68" spans="1:66" ht="20" customHeight="1">
      <c r="A68" s="30"/>
      <c r="B68" s="30"/>
      <c r="C68" s="31"/>
      <c r="D68" s="31"/>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row>
    <row r="69" spans="1:66" ht="20" customHeight="1">
      <c r="A69" s="30"/>
      <c r="B69" s="30"/>
      <c r="C69" s="31"/>
      <c r="D69" s="31"/>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row>
    <row r="70" spans="1:66" ht="20" customHeight="1">
      <c r="A70" s="30"/>
      <c r="B70" s="30"/>
      <c r="C70" s="31"/>
      <c r="D70" s="31"/>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row>
    <row r="71" spans="1:66" ht="20" customHeight="1">
      <c r="A71" s="30"/>
      <c r="B71" s="30"/>
      <c r="C71" s="31"/>
      <c r="D71" s="31"/>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row>
    <row r="72" spans="1:66" ht="20" customHeight="1">
      <c r="A72" s="30"/>
      <c r="B72" s="30"/>
      <c r="C72" s="31"/>
      <c r="D72" s="31"/>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row>
    <row r="73" spans="1:66" ht="20" customHeight="1">
      <c r="A73" s="30"/>
      <c r="B73" s="30"/>
      <c r="C73" s="31"/>
      <c r="D73" s="31"/>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row>
    <row r="74" spans="1:66" ht="20" customHeight="1">
      <c r="A74" s="30"/>
      <c r="B74" s="30"/>
      <c r="C74" s="31"/>
      <c r="D74" s="31"/>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row>
    <row r="75" spans="1:66" ht="20" customHeight="1">
      <c r="A75" s="30"/>
      <c r="B75" s="30"/>
      <c r="C75" s="31"/>
      <c r="D75" s="31"/>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row>
    <row r="76" spans="1:66" ht="20" customHeight="1">
      <c r="A76" s="30"/>
      <c r="B76" s="30"/>
      <c r="C76" s="31"/>
      <c r="D76" s="31"/>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row>
    <row r="77" spans="1:66" ht="20" customHeight="1">
      <c r="A77" s="30"/>
      <c r="B77" s="30"/>
      <c r="C77" s="31"/>
      <c r="D77" s="31"/>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row>
    <row r="78" spans="1:66" ht="20" customHeight="1">
      <c r="A78" s="30"/>
      <c r="B78" s="30"/>
      <c r="C78" s="31"/>
      <c r="D78" s="31"/>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row>
    <row r="79" spans="1:66" ht="20" customHeight="1">
      <c r="A79" s="30"/>
      <c r="B79" s="30"/>
      <c r="C79" s="31"/>
      <c r="D79" s="31"/>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row>
    <row r="80" spans="1:66" ht="20" customHeight="1">
      <c r="A80" s="30"/>
      <c r="B80" s="30"/>
      <c r="C80" s="31"/>
      <c r="D80" s="31"/>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row>
    <row r="81" spans="1:66" ht="20" customHeight="1">
      <c r="A81" s="30"/>
      <c r="B81" s="30"/>
      <c r="C81" s="31"/>
      <c r="D81" s="31"/>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row>
    <row r="82" spans="1:66" ht="20" customHeight="1">
      <c r="A82" s="30"/>
      <c r="B82" s="30"/>
      <c r="C82" s="31"/>
      <c r="D82" s="31"/>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row>
    <row r="83" spans="1:66" ht="20" customHeight="1">
      <c r="A83" s="30"/>
      <c r="B83" s="30"/>
      <c r="C83" s="31"/>
      <c r="D83" s="31"/>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row>
    <row r="84" spans="1:66" ht="20" customHeight="1">
      <c r="A84" s="30"/>
      <c r="B84" s="30"/>
      <c r="C84" s="31"/>
      <c r="D84" s="31"/>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row>
    <row r="85" spans="1:66" ht="20" customHeight="1">
      <c r="A85" s="30"/>
      <c r="B85" s="30"/>
      <c r="C85" s="31"/>
      <c r="D85" s="31"/>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row>
    <row r="86" spans="1:66" ht="20" customHeight="1">
      <c r="A86" s="30"/>
      <c r="B86" s="30"/>
      <c r="C86" s="31"/>
      <c r="D86" s="31"/>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row>
    <row r="87" spans="1:66" ht="20" customHeight="1">
      <c r="A87" s="30"/>
      <c r="B87" s="30"/>
      <c r="C87" s="31"/>
      <c r="D87" s="31"/>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row>
    <row r="88" spans="1:66" ht="20" customHeight="1">
      <c r="A88" s="30"/>
      <c r="B88" s="30"/>
      <c r="C88" s="31"/>
      <c r="D88" s="31"/>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row>
    <row r="89" spans="1:66" ht="20" customHeight="1">
      <c r="A89" s="30"/>
      <c r="B89" s="30"/>
      <c r="C89" s="31"/>
      <c r="D89" s="31"/>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row>
    <row r="90" spans="1:66" ht="20" customHeight="1">
      <c r="A90" s="30"/>
      <c r="B90" s="30"/>
      <c r="C90" s="31"/>
      <c r="D90" s="31"/>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row>
    <row r="91" spans="1:66" ht="20" customHeight="1">
      <c r="A91" s="30"/>
      <c r="B91" s="30"/>
      <c r="C91" s="31"/>
      <c r="D91" s="31"/>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row>
    <row r="92" spans="1:66" ht="20" customHeight="1">
      <c r="A92" s="30"/>
      <c r="B92" s="30"/>
      <c r="C92" s="31"/>
      <c r="D92" s="31"/>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row>
    <row r="93" spans="1:66" ht="20" customHeight="1">
      <c r="A93" s="30"/>
      <c r="B93" s="30"/>
      <c r="C93" s="31"/>
      <c r="D93" s="31"/>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row>
    <row r="94" spans="1:66" ht="20" customHeight="1">
      <c r="A94" s="30"/>
      <c r="B94" s="30"/>
      <c r="C94" s="31"/>
      <c r="D94" s="31"/>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row>
    <row r="95" spans="1:66" ht="20" customHeight="1">
      <c r="A95" s="30"/>
      <c r="B95" s="30"/>
      <c r="C95" s="31"/>
      <c r="D95" s="31"/>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row>
    <row r="96" spans="1:66" ht="20" customHeight="1">
      <c r="A96" s="30"/>
      <c r="B96" s="30"/>
      <c r="C96" s="31"/>
      <c r="D96" s="31"/>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row>
    <row r="97" spans="1:66" ht="20" customHeight="1">
      <c r="A97" s="30"/>
      <c r="B97" s="30"/>
      <c r="C97" s="31"/>
      <c r="D97" s="31"/>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row>
    <row r="98" spans="1:66" ht="20" customHeight="1">
      <c r="A98" s="30"/>
      <c r="B98" s="30"/>
      <c r="C98" s="31"/>
      <c r="D98" s="31"/>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row>
    <row r="99" spans="1:66" ht="20" customHeight="1">
      <c r="A99" s="30"/>
      <c r="B99" s="30"/>
      <c r="C99" s="31"/>
      <c r="D99" s="31"/>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row>
    <row r="100" spans="1:66" ht="20" customHeight="1">
      <c r="A100" s="30"/>
      <c r="B100" s="30"/>
      <c r="C100" s="31"/>
      <c r="D100" s="31"/>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row>
    <row r="101" spans="1:66" ht="20" customHeight="1">
      <c r="A101" s="30"/>
      <c r="B101" s="30"/>
      <c r="C101" s="31"/>
      <c r="D101" s="31"/>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row>
    <row r="102" spans="1:66" ht="20" customHeight="1">
      <c r="A102" s="30"/>
      <c r="B102" s="30"/>
      <c r="C102" s="31"/>
      <c r="D102" s="31"/>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row>
    <row r="103" spans="1:66" ht="20" customHeight="1">
      <c r="A103" s="30"/>
      <c r="B103" s="30"/>
      <c r="C103" s="31"/>
      <c r="D103" s="31"/>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row>
    <row r="104" spans="1:66" ht="20" customHeight="1">
      <c r="A104" s="30"/>
      <c r="B104" s="30"/>
      <c r="C104" s="31"/>
      <c r="D104" s="31"/>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row>
    <row r="105" spans="1:66" ht="20" customHeight="1">
      <c r="A105" s="30"/>
      <c r="B105" s="30"/>
      <c r="C105" s="31"/>
      <c r="D105" s="31"/>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row>
    <row r="106" spans="1:66" ht="20" customHeight="1">
      <c r="A106" s="30"/>
      <c r="B106" s="30"/>
      <c r="C106" s="31"/>
      <c r="D106" s="31"/>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row>
    <row r="107" spans="1:66" ht="20" customHeight="1">
      <c r="A107" s="30"/>
      <c r="B107" s="30"/>
      <c r="C107" s="31"/>
      <c r="D107" s="31"/>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row>
    <row r="108" spans="1:66" ht="20" customHeight="1">
      <c r="A108" s="30"/>
      <c r="B108" s="30"/>
      <c r="C108" s="31"/>
      <c r="D108" s="31"/>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row>
    <row r="109" spans="1:66" ht="20" customHeight="1">
      <c r="A109" s="30"/>
      <c r="B109" s="30"/>
      <c r="C109" s="31"/>
      <c r="D109" s="31"/>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row>
    <row r="110" spans="1:66" ht="20" customHeight="1">
      <c r="A110" s="30"/>
      <c r="B110" s="30"/>
      <c r="C110" s="31"/>
      <c r="D110" s="31"/>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row>
    <row r="111" spans="1:66" ht="20" customHeight="1">
      <c r="A111" s="30"/>
      <c r="B111" s="30"/>
      <c r="C111" s="31"/>
      <c r="D111" s="31"/>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row>
    <row r="112" spans="1:66" ht="20" customHeight="1">
      <c r="A112" s="30"/>
      <c r="B112" s="30"/>
      <c r="C112" s="31"/>
      <c r="D112" s="31"/>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row>
    <row r="113" spans="1:66" ht="20" customHeight="1">
      <c r="A113" s="30"/>
      <c r="B113" s="30"/>
      <c r="C113" s="31"/>
      <c r="D113" s="31"/>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row>
    <row r="114" spans="1:66" ht="20" customHeight="1">
      <c r="A114" s="30"/>
      <c r="B114" s="30"/>
      <c r="C114" s="31"/>
      <c r="D114" s="31"/>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row>
    <row r="115" spans="1:66" ht="20" customHeight="1">
      <c r="A115" s="30"/>
      <c r="B115" s="30"/>
      <c r="C115" s="31"/>
      <c r="D115" s="31"/>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row>
    <row r="116" spans="1:66" ht="20" customHeight="1">
      <c r="A116" s="30"/>
      <c r="B116" s="30"/>
      <c r="C116" s="31"/>
      <c r="D116" s="31"/>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row>
    <row r="117" spans="1:66" ht="20" customHeight="1">
      <c r="A117" s="30"/>
      <c r="B117" s="30"/>
      <c r="C117" s="31"/>
      <c r="D117" s="31"/>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row>
    <row r="118" spans="1:66" ht="20" customHeight="1">
      <c r="A118" s="30"/>
      <c r="B118" s="30"/>
      <c r="C118" s="31"/>
      <c r="D118" s="31"/>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row>
    <row r="119" spans="1:66" ht="20" customHeight="1">
      <c r="A119" s="30"/>
      <c r="B119" s="30"/>
      <c r="C119" s="31"/>
      <c r="D119" s="31"/>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row>
    <row r="120" spans="1:66" ht="20" customHeight="1">
      <c r="A120" s="30"/>
      <c r="B120" s="30"/>
      <c r="C120" s="31"/>
      <c r="D120" s="31"/>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row>
    <row r="121" spans="1:66" ht="20" customHeight="1">
      <c r="A121" s="30"/>
      <c r="B121" s="30"/>
      <c r="C121" s="31"/>
      <c r="D121" s="31"/>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row>
    <row r="122" spans="1:66" ht="20" customHeight="1">
      <c r="A122" s="30"/>
      <c r="B122" s="30"/>
      <c r="C122" s="31"/>
      <c r="D122" s="31"/>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row>
    <row r="123" spans="1:66" ht="20" customHeight="1">
      <c r="A123" s="30"/>
      <c r="B123" s="30"/>
      <c r="C123" s="31"/>
      <c r="D123" s="31"/>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row>
    <row r="124" spans="1:66" ht="20" customHeight="1">
      <c r="A124" s="30"/>
      <c r="B124" s="30"/>
      <c r="C124" s="31"/>
      <c r="D124" s="31"/>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row>
    <row r="125" spans="1:66" ht="20" customHeight="1">
      <c r="A125" s="30"/>
      <c r="B125" s="30"/>
      <c r="C125" s="31"/>
      <c r="D125" s="31"/>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row>
    <row r="126" spans="1:66" ht="20" customHeight="1">
      <c r="A126" s="30"/>
      <c r="B126" s="30"/>
      <c r="C126" s="31"/>
      <c r="D126" s="31"/>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row>
    <row r="127" spans="1:66" ht="20" customHeight="1">
      <c r="A127" s="30"/>
      <c r="B127" s="30"/>
      <c r="C127" s="31"/>
      <c r="D127" s="31"/>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row>
    <row r="128" spans="1:66" ht="20" customHeight="1">
      <c r="A128" s="30"/>
      <c r="B128" s="30"/>
      <c r="C128" s="31"/>
      <c r="D128" s="31"/>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row>
    <row r="129" spans="1:66" ht="20" customHeight="1">
      <c r="A129" s="30"/>
      <c r="B129" s="30"/>
      <c r="C129" s="31"/>
      <c r="D129" s="31"/>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row>
    <row r="130" spans="1:66" ht="20" customHeight="1">
      <c r="A130" s="30"/>
      <c r="B130" s="30"/>
      <c r="C130" s="31"/>
      <c r="D130" s="31"/>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row>
    <row r="131" spans="1:66" ht="20" customHeight="1">
      <c r="A131" s="30"/>
      <c r="B131" s="30"/>
      <c r="C131" s="31"/>
      <c r="D131" s="31"/>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row>
    <row r="132" spans="1:66" ht="20" customHeight="1">
      <c r="A132" s="30"/>
      <c r="B132" s="30"/>
      <c r="C132" s="31"/>
      <c r="D132" s="31"/>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row>
    <row r="133" spans="1:66" ht="20" customHeight="1">
      <c r="A133" s="30"/>
      <c r="B133" s="30"/>
      <c r="C133" s="31"/>
      <c r="D133" s="31"/>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row>
    <row r="134" spans="1:66" ht="20" customHeight="1">
      <c r="A134" s="30"/>
      <c r="B134" s="30"/>
      <c r="C134" s="31"/>
      <c r="D134" s="31"/>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row>
    <row r="135" spans="1:66" ht="20" customHeight="1">
      <c r="A135" s="30"/>
      <c r="B135" s="30"/>
      <c r="C135" s="31"/>
      <c r="D135" s="31"/>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row>
    <row r="136" spans="1:66" ht="20" customHeight="1">
      <c r="A136" s="30"/>
      <c r="B136" s="30"/>
      <c r="C136" s="31"/>
      <c r="D136" s="31"/>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row>
    <row r="137" spans="1:66" ht="20" customHeight="1">
      <c r="A137" s="30"/>
      <c r="B137" s="30"/>
      <c r="C137" s="31"/>
      <c r="D137" s="31"/>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row>
    <row r="138" spans="1:66" ht="20" customHeight="1">
      <c r="A138" s="30"/>
      <c r="B138" s="30"/>
      <c r="C138" s="31"/>
      <c r="D138" s="31"/>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row>
    <row r="139" spans="1:66" ht="20" customHeight="1">
      <c r="A139" s="30"/>
      <c r="B139" s="30"/>
      <c r="C139" s="31"/>
      <c r="D139" s="31"/>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row>
    <row r="140" spans="1:66" ht="20" customHeight="1">
      <c r="A140" s="30"/>
      <c r="B140" s="30"/>
      <c r="C140" s="31"/>
      <c r="D140" s="31"/>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row>
    <row r="141" spans="1:66" ht="20" customHeight="1">
      <c r="A141" s="30"/>
      <c r="B141" s="30"/>
      <c r="C141" s="31"/>
      <c r="D141" s="31"/>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row>
    <row r="142" spans="1:66" ht="20" customHeight="1">
      <c r="A142" s="30"/>
      <c r="B142" s="30"/>
      <c r="C142" s="31"/>
      <c r="D142" s="31"/>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row>
    <row r="143" spans="1:66" ht="20" customHeight="1">
      <c r="A143" s="30"/>
      <c r="B143" s="30"/>
      <c r="C143" s="31"/>
      <c r="D143" s="31"/>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row>
    <row r="144" spans="1:66" ht="20" customHeight="1">
      <c r="A144" s="30"/>
      <c r="B144" s="30"/>
      <c r="C144" s="31"/>
      <c r="D144" s="31"/>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row>
    <row r="145" spans="1:66" ht="20" customHeight="1">
      <c r="A145" s="30"/>
      <c r="B145" s="30"/>
      <c r="C145" s="31"/>
      <c r="D145" s="31"/>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row>
    <row r="146" spans="1:66" ht="20" customHeight="1">
      <c r="A146" s="30"/>
      <c r="B146" s="30"/>
      <c r="C146" s="31"/>
      <c r="D146" s="31"/>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row>
    <row r="147" spans="1:66" ht="20" customHeight="1">
      <c r="A147" s="30"/>
      <c r="B147" s="30"/>
      <c r="C147" s="31"/>
      <c r="D147" s="31"/>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row>
    <row r="148" spans="1:66" ht="20" customHeight="1">
      <c r="A148" s="30"/>
      <c r="B148" s="30"/>
      <c r="C148" s="31"/>
      <c r="D148" s="31"/>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row>
    <row r="149" spans="1:66" ht="20" customHeight="1">
      <c r="A149" s="30"/>
      <c r="B149" s="30"/>
      <c r="C149" s="31"/>
      <c r="D149" s="31"/>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row>
    <row r="150" spans="1:66" ht="20" customHeight="1">
      <c r="A150" s="30"/>
      <c r="B150" s="30"/>
      <c r="C150" s="31"/>
      <c r="D150" s="31"/>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row>
    <row r="151" spans="1:66" ht="20" customHeight="1">
      <c r="A151" s="30"/>
      <c r="B151" s="30"/>
      <c r="C151" s="31"/>
      <c r="D151" s="31"/>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row>
    <row r="152" spans="1:66" ht="20" customHeight="1">
      <c r="A152" s="30"/>
      <c r="B152" s="30"/>
      <c r="C152" s="31"/>
      <c r="D152" s="31"/>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row>
    <row r="153" spans="1:66" ht="20" customHeight="1">
      <c r="A153" s="30"/>
      <c r="B153" s="30"/>
      <c r="C153" s="31"/>
      <c r="D153" s="31"/>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row>
    <row r="154" spans="1:66" ht="20" customHeight="1">
      <c r="A154" s="30"/>
      <c r="B154" s="30"/>
      <c r="C154" s="31"/>
      <c r="D154" s="31"/>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row>
    <row r="155" spans="1:66" ht="20" customHeight="1">
      <c r="A155" s="30"/>
      <c r="B155" s="30"/>
      <c r="C155" s="31"/>
      <c r="D155" s="31"/>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row>
    <row r="156" spans="1:66" ht="20" customHeight="1">
      <c r="A156" s="30"/>
      <c r="B156" s="30"/>
      <c r="C156" s="31"/>
      <c r="D156" s="31"/>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row>
    <row r="157" spans="1:66" ht="20" customHeight="1">
      <c r="A157" s="30"/>
      <c r="B157" s="30"/>
      <c r="C157" s="31"/>
      <c r="D157" s="31"/>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row>
    <row r="158" spans="1:66" ht="20" customHeight="1">
      <c r="A158" s="30"/>
      <c r="B158" s="30"/>
      <c r="C158" s="31"/>
      <c r="D158" s="31"/>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row>
    <row r="159" spans="1:66" ht="20" customHeight="1">
      <c r="A159" s="30"/>
      <c r="B159" s="30"/>
      <c r="C159" s="31"/>
      <c r="D159" s="31"/>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row>
    <row r="160" spans="1:66" ht="20" customHeight="1">
      <c r="A160" s="30"/>
      <c r="B160" s="30"/>
      <c r="C160" s="31"/>
      <c r="D160" s="31"/>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row>
    <row r="161" spans="1:66" ht="20" customHeight="1">
      <c r="A161" s="30"/>
      <c r="B161" s="30"/>
      <c r="C161" s="31"/>
      <c r="D161" s="31"/>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row>
    <row r="162" spans="1:66" ht="20" customHeight="1">
      <c r="A162" s="30"/>
      <c r="B162" s="30"/>
      <c r="C162" s="31"/>
      <c r="D162" s="31"/>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row>
    <row r="163" spans="1:66" ht="20" customHeight="1">
      <c r="A163" s="30"/>
      <c r="B163" s="30"/>
      <c r="C163" s="31"/>
      <c r="D163" s="31"/>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row>
    <row r="164" spans="1:66" ht="20" customHeight="1">
      <c r="A164" s="30"/>
      <c r="B164" s="30"/>
      <c r="C164" s="31"/>
      <c r="D164" s="31"/>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row>
    <row r="165" spans="1:66" ht="20" customHeight="1">
      <c r="A165" s="30"/>
      <c r="B165" s="30"/>
      <c r="C165" s="31"/>
      <c r="D165" s="31"/>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row>
    <row r="166" spans="1:66" ht="20" customHeight="1">
      <c r="A166" s="30"/>
      <c r="B166" s="30"/>
      <c r="C166" s="31"/>
      <c r="D166" s="31"/>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row>
    <row r="167" spans="1:66" ht="20" customHeight="1">
      <c r="A167" s="30"/>
      <c r="B167" s="30"/>
      <c r="C167" s="31"/>
      <c r="D167" s="31"/>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row>
    <row r="168" spans="1:66" ht="20" customHeight="1">
      <c r="A168" s="30"/>
      <c r="B168" s="30"/>
      <c r="C168" s="31"/>
      <c r="D168" s="31"/>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row>
    <row r="169" spans="1:66" ht="20" customHeight="1">
      <c r="A169" s="30"/>
      <c r="B169" s="30"/>
      <c r="C169" s="31"/>
      <c r="D169" s="31"/>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row>
    <row r="170" spans="1:66" ht="20" customHeight="1">
      <c r="A170" s="30"/>
      <c r="B170" s="30"/>
      <c r="C170" s="31"/>
      <c r="D170" s="31"/>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row>
    <row r="171" spans="1:66" ht="20" customHeight="1">
      <c r="A171" s="30"/>
      <c r="B171" s="30"/>
      <c r="C171" s="31"/>
      <c r="D171" s="31"/>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row>
    <row r="172" spans="1:66" ht="20" customHeight="1">
      <c r="A172" s="30"/>
      <c r="B172" s="30"/>
      <c r="C172" s="31"/>
      <c r="D172" s="31"/>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row>
    <row r="173" spans="1:66" ht="20" customHeight="1">
      <c r="A173" s="30"/>
      <c r="B173" s="30"/>
      <c r="C173" s="31"/>
      <c r="D173" s="31"/>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row>
    <row r="174" spans="1:66" ht="20" customHeight="1">
      <c r="A174" s="30"/>
      <c r="B174" s="30"/>
      <c r="C174" s="31"/>
      <c r="D174" s="31"/>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row>
    <row r="175" spans="1:66" ht="20" customHeight="1">
      <c r="A175" s="30"/>
      <c r="B175" s="30"/>
      <c r="C175" s="31"/>
      <c r="D175" s="31"/>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row>
    <row r="176" spans="1:66" ht="20" customHeight="1">
      <c r="A176" s="30"/>
      <c r="B176" s="30"/>
      <c r="C176" s="31"/>
      <c r="D176" s="31"/>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row>
    <row r="177" spans="1:66" ht="20" customHeight="1">
      <c r="A177" s="30"/>
      <c r="B177" s="30"/>
      <c r="C177" s="31"/>
      <c r="D177" s="31"/>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row>
    <row r="178" spans="1:66" ht="20" customHeight="1">
      <c r="A178" s="30"/>
      <c r="B178" s="30"/>
      <c r="C178" s="31"/>
      <c r="D178" s="31"/>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row>
    <row r="179" spans="1:66" ht="20" customHeight="1">
      <c r="A179" s="30"/>
      <c r="B179" s="30"/>
      <c r="C179" s="31"/>
      <c r="D179" s="31"/>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row>
    <row r="180" spans="1:66" ht="20" customHeight="1">
      <c r="A180" s="30"/>
      <c r="B180" s="30"/>
      <c r="C180" s="31"/>
      <c r="D180" s="31"/>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row>
    <row r="181" spans="1:66" ht="20" customHeight="1">
      <c r="A181" s="30"/>
      <c r="B181" s="30"/>
      <c r="C181" s="31"/>
      <c r="D181" s="31"/>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row>
    <row r="182" spans="1:66" ht="20" customHeight="1">
      <c r="A182" s="30"/>
      <c r="B182" s="30"/>
      <c r="C182" s="31"/>
      <c r="D182" s="31"/>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row>
    <row r="183" spans="1:66" ht="20" customHeight="1">
      <c r="A183" s="30"/>
      <c r="B183" s="30"/>
      <c r="C183" s="31"/>
      <c r="D183" s="31"/>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row>
    <row r="184" spans="1:66" ht="20" customHeight="1">
      <c r="A184" s="30"/>
      <c r="B184" s="30"/>
      <c r="C184" s="31"/>
      <c r="D184" s="31"/>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row>
    <row r="185" spans="1:66" ht="20" customHeight="1">
      <c r="A185" s="30"/>
      <c r="B185" s="30"/>
      <c r="C185" s="31"/>
      <c r="D185" s="31"/>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row>
    <row r="186" spans="1:66" ht="20" customHeight="1">
      <c r="A186" s="30"/>
      <c r="B186" s="30"/>
      <c r="C186" s="31"/>
      <c r="D186" s="31"/>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row>
    <row r="187" spans="1:66" ht="20" customHeight="1">
      <c r="A187" s="30"/>
      <c r="B187" s="30"/>
      <c r="C187" s="31"/>
      <c r="D187" s="31"/>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row>
    <row r="188" spans="1:66" ht="20" customHeight="1">
      <c r="A188" s="30"/>
      <c r="B188" s="30"/>
      <c r="C188" s="31"/>
      <c r="D188" s="31"/>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row>
    <row r="189" spans="1:66" ht="20" customHeight="1">
      <c r="A189" s="30"/>
      <c r="B189" s="30"/>
      <c r="C189" s="31"/>
      <c r="D189" s="31"/>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row>
    <row r="190" spans="1:66" ht="20" customHeight="1">
      <c r="A190" s="30"/>
      <c r="B190" s="30"/>
      <c r="C190" s="31"/>
      <c r="D190" s="31"/>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row>
    <row r="191" spans="1:66" ht="20" customHeight="1">
      <c r="A191" s="30"/>
      <c r="B191" s="30"/>
      <c r="C191" s="31"/>
      <c r="D191" s="31"/>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row>
    <row r="192" spans="1:66" ht="20" customHeight="1">
      <c r="A192" s="30"/>
      <c r="B192" s="30"/>
      <c r="C192" s="31"/>
      <c r="D192" s="31"/>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row>
    <row r="193" spans="1:66" ht="20" customHeight="1">
      <c r="A193" s="30"/>
      <c r="B193" s="30"/>
      <c r="C193" s="31"/>
      <c r="D193" s="31"/>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row>
    <row r="194" spans="1:66" ht="20" customHeight="1">
      <c r="A194" s="30"/>
      <c r="B194" s="30"/>
      <c r="C194" s="31"/>
      <c r="D194" s="31"/>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row>
    <row r="195" spans="1:66" ht="20" customHeight="1">
      <c r="A195" s="30"/>
      <c r="B195" s="30"/>
      <c r="C195" s="31"/>
      <c r="D195" s="31"/>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row>
    <row r="196" spans="1:66" ht="20" customHeight="1">
      <c r="A196" s="30"/>
      <c r="B196" s="30"/>
      <c r="C196" s="31"/>
      <c r="D196" s="31"/>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row>
    <row r="197" spans="1:66" ht="20" customHeight="1">
      <c r="A197" s="30"/>
      <c r="B197" s="30"/>
      <c r="C197" s="31"/>
      <c r="D197" s="31"/>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row>
    <row r="198" spans="1:66" ht="20" customHeight="1">
      <c r="A198" s="30"/>
      <c r="B198" s="30"/>
      <c r="C198" s="31"/>
      <c r="D198" s="31"/>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row>
    <row r="199" spans="1:66" ht="20" customHeight="1">
      <c r="A199" s="30"/>
      <c r="B199" s="30"/>
      <c r="C199" s="31"/>
      <c r="D199" s="31"/>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row>
    <row r="200" spans="1:66" ht="20" customHeight="1">
      <c r="A200" s="30"/>
      <c r="B200" s="30"/>
      <c r="C200" s="31"/>
      <c r="D200" s="31"/>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607483"/>
  </sheetPr>
  <dimension ref="A1:BN200"/>
  <sheetViews>
    <sheetView showGridLines="0" workbookViewId="0">
      <pane xSplit="4" ySplit="7" topLeftCell="E8" activePane="bottomRight" state="frozen"/>
      <selection pane="topRight"/>
      <selection pane="bottomLeft"/>
      <selection pane="bottomRight" activeCell="E8" sqref="E8"/>
    </sheetView>
  </sheetViews>
  <sheetFormatPr baseColWidth="10" defaultColWidth="8.83203125" defaultRowHeight="14"/>
  <cols>
    <col min="1" max="2" width="2" customWidth="1"/>
    <col min="3" max="3" width="48" customWidth="1"/>
    <col min="4" max="4" width="3" customWidth="1"/>
    <col min="5" max="8" width="14" customWidth="1"/>
    <col min="9" max="9" width="66" customWidth="1"/>
    <col min="10" max="66" width="14" customWidth="1"/>
  </cols>
  <sheetData>
    <row r="1" spans="1:66" ht="20" customHeight="1">
      <c r="A1" s="30"/>
      <c r="B1" s="30"/>
      <c r="C1" s="31"/>
      <c r="D1" s="31"/>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row>
    <row r="2" spans="1:66" ht="20" customHeight="1">
      <c r="A2" s="30"/>
      <c r="B2" s="30"/>
      <c r="C2" s="33" t="s">
        <v>437</v>
      </c>
      <c r="D2" s="31"/>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row>
    <row r="3" spans="1:66" ht="20" customHeight="1">
      <c r="A3" s="30"/>
      <c r="B3" s="30"/>
      <c r="C3" s="34" t="s">
        <v>49</v>
      </c>
      <c r="D3" s="31"/>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row>
    <row r="4" spans="1:66" ht="20" customHeight="1">
      <c r="A4" s="30"/>
      <c r="B4" s="30"/>
      <c r="C4" s="31" t="s">
        <v>2</v>
      </c>
      <c r="D4" s="31"/>
      <c r="E4" s="35" t="str">
        <f>CHOOSE(Assumptions!$E$5,"Base","Downside","Upside")</f>
        <v>Base</v>
      </c>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row>
    <row r="5" spans="1:66" ht="20" customHeight="1">
      <c r="A5" s="30"/>
      <c r="B5" s="30"/>
      <c r="C5" s="31"/>
      <c r="D5" s="31"/>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row>
    <row r="6" spans="1:66" ht="20" customHeight="1">
      <c r="A6" s="30"/>
      <c r="B6" s="30"/>
      <c r="C6" s="31"/>
      <c r="D6" s="31"/>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row>
    <row r="7" spans="1:66" ht="24" customHeight="1">
      <c r="A7" s="30"/>
      <c r="B7" s="30"/>
      <c r="C7" s="36" t="s">
        <v>438</v>
      </c>
      <c r="D7" s="36"/>
      <c r="E7" s="37">
        <v>2024</v>
      </c>
      <c r="F7" s="37">
        <v>2025</v>
      </c>
      <c r="G7" s="37">
        <v>2026</v>
      </c>
      <c r="H7" s="37"/>
      <c r="I7" s="37"/>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2"/>
      <c r="BN7" s="32"/>
    </row>
    <row r="8" spans="1:66" ht="20" customHeight="1">
      <c r="A8" s="30"/>
      <c r="B8" s="30"/>
      <c r="C8" s="31" t="s">
        <v>439</v>
      </c>
      <c r="D8" s="31"/>
      <c r="E8" s="32">
        <v>302.87599999999998</v>
      </c>
      <c r="F8" s="32">
        <v>333.274</v>
      </c>
      <c r="G8" s="32">
        <v>317.32900000000001</v>
      </c>
      <c r="H8" s="32"/>
      <c r="I8" s="32" t="s">
        <v>440</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row>
    <row r="9" spans="1:66" ht="20" customHeight="1">
      <c r="A9" s="30"/>
      <c r="B9" s="30"/>
      <c r="C9" s="31" t="s">
        <v>441</v>
      </c>
      <c r="D9" s="31"/>
      <c r="E9" s="32">
        <v>177.77</v>
      </c>
      <c r="F9" s="32">
        <v>188.42099999999999</v>
      </c>
      <c r="G9" s="32">
        <v>160.52000000000001</v>
      </c>
      <c r="H9" s="32"/>
      <c r="I9" s="32" t="s">
        <v>440</v>
      </c>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row>
    <row r="10" spans="1:66" ht="20" customHeight="1">
      <c r="A10" s="30"/>
      <c r="B10" s="30"/>
      <c r="C10" s="31" t="s">
        <v>442</v>
      </c>
      <c r="D10" s="31"/>
      <c r="E10" s="32">
        <v>125.10599999999999</v>
      </c>
      <c r="F10" s="32">
        <v>144.85300000000001</v>
      </c>
      <c r="G10" s="32">
        <v>156.809</v>
      </c>
      <c r="H10" s="32"/>
      <c r="I10" s="32" t="s">
        <v>440</v>
      </c>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row>
    <row r="11" spans="1:66" ht="20" customHeight="1">
      <c r="A11" s="30"/>
      <c r="B11" s="30"/>
      <c r="C11" s="31" t="s">
        <v>443</v>
      </c>
      <c r="D11" s="31"/>
      <c r="E11" s="32">
        <v>221.745</v>
      </c>
      <c r="F11" s="32">
        <v>172.977</v>
      </c>
      <c r="G11" s="32">
        <v>206.76499999999999</v>
      </c>
      <c r="H11" s="32"/>
      <c r="I11" s="32" t="s">
        <v>440</v>
      </c>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row>
    <row r="12" spans="1:66" ht="20" customHeight="1">
      <c r="A12" s="30"/>
      <c r="B12" s="30"/>
      <c r="C12" s="31" t="s">
        <v>444</v>
      </c>
      <c r="D12" s="31"/>
      <c r="E12" s="32">
        <v>161.71299999999999</v>
      </c>
      <c r="F12" s="32">
        <v>136.11500000000001</v>
      </c>
      <c r="G12" s="32">
        <v>195.02500000000001</v>
      </c>
      <c r="H12" s="32"/>
      <c r="I12" s="32" t="s">
        <v>440</v>
      </c>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row>
    <row r="13" spans="1:66" ht="20" customHeight="1">
      <c r="A13" s="30"/>
      <c r="B13" s="30"/>
      <c r="C13" s="31" t="s">
        <v>445</v>
      </c>
      <c r="D13" s="31"/>
      <c r="E13" s="32">
        <v>53.811999999999998</v>
      </c>
      <c r="F13" s="32">
        <v>31.084</v>
      </c>
      <c r="G13" s="32">
        <v>6.0780000000000003</v>
      </c>
      <c r="H13" s="32"/>
      <c r="I13" s="32" t="s">
        <v>440</v>
      </c>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row>
    <row r="14" spans="1:66" ht="20" customHeight="1">
      <c r="A14" s="30"/>
      <c r="B14" s="30"/>
      <c r="C14" s="31" t="s">
        <v>446</v>
      </c>
      <c r="D14" s="31"/>
      <c r="E14" s="32">
        <v>6.22</v>
      </c>
      <c r="F14" s="32">
        <v>5.7779999999999996</v>
      </c>
      <c r="G14" s="32">
        <v>5.6619999999999999</v>
      </c>
      <c r="H14" s="32"/>
      <c r="I14" s="32" t="s">
        <v>440</v>
      </c>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row>
    <row r="15" spans="1:66" ht="20" customHeight="1">
      <c r="A15" s="30"/>
      <c r="B15" s="30"/>
      <c r="C15" s="31" t="s">
        <v>220</v>
      </c>
      <c r="D15" s="31"/>
      <c r="E15" s="32">
        <v>137.13399999999999</v>
      </c>
      <c r="F15" s="32">
        <v>160.26300000000001</v>
      </c>
      <c r="G15" s="32">
        <v>153.55500000000001</v>
      </c>
      <c r="H15" s="32"/>
      <c r="I15" s="32" t="s">
        <v>440</v>
      </c>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row>
    <row r="16" spans="1:66" ht="20" customHeight="1">
      <c r="A16" s="30"/>
      <c r="B16" s="30"/>
      <c r="C16" s="31" t="s">
        <v>221</v>
      </c>
      <c r="D16" s="31"/>
      <c r="E16" s="32">
        <v>661.755</v>
      </c>
      <c r="F16" s="32">
        <v>666.51400000000001</v>
      </c>
      <c r="G16" s="32">
        <v>677.649</v>
      </c>
      <c r="H16" s="32"/>
      <c r="I16" s="32" t="s">
        <v>447</v>
      </c>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row>
    <row r="17" spans="1:66" ht="20" customHeight="1">
      <c r="A17" s="30"/>
      <c r="B17" s="30"/>
      <c r="C17" s="31" t="s">
        <v>448</v>
      </c>
      <c r="D17" s="31"/>
      <c r="E17" s="32">
        <v>364.71899999999999</v>
      </c>
      <c r="F17" s="32">
        <v>313.25599999999997</v>
      </c>
      <c r="G17" s="32">
        <v>302.02499999999998</v>
      </c>
      <c r="H17" s="32"/>
      <c r="I17" s="32" t="s">
        <v>449</v>
      </c>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row>
    <row r="18" spans="1:66" ht="20" customHeight="1">
      <c r="A18" s="30"/>
      <c r="B18" s="30"/>
      <c r="C18" s="31" t="s">
        <v>450</v>
      </c>
      <c r="D18" s="31"/>
      <c r="E18" s="32">
        <v>149.38399999999999</v>
      </c>
      <c r="F18" s="32">
        <v>170.429</v>
      </c>
      <c r="G18" s="32">
        <v>159.21700000000001</v>
      </c>
      <c r="H18" s="32"/>
      <c r="I18" s="32" t="s">
        <v>451</v>
      </c>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row>
    <row r="19" spans="1:66" ht="20" customHeight="1">
      <c r="A19" s="30"/>
      <c r="B19" s="30"/>
      <c r="C19" s="31" t="s">
        <v>452</v>
      </c>
      <c r="D19" s="31"/>
      <c r="E19" s="32">
        <v>16.526</v>
      </c>
      <c r="F19" s="32">
        <v>17.001999999999999</v>
      </c>
      <c r="G19" s="32">
        <v>20.631</v>
      </c>
      <c r="H19" s="32"/>
      <c r="I19" s="32" t="s">
        <v>453</v>
      </c>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row>
    <row r="20" spans="1:66" ht="20" customHeight="1">
      <c r="A20" s="30"/>
      <c r="B20" s="30"/>
      <c r="C20" s="31" t="s">
        <v>454</v>
      </c>
      <c r="D20" s="31"/>
      <c r="E20" s="32">
        <v>190.12299999999999</v>
      </c>
      <c r="F20" s="32">
        <v>196.37299999999999</v>
      </c>
      <c r="G20" s="32">
        <v>211.81299999999999</v>
      </c>
      <c r="H20" s="32"/>
      <c r="I20" s="32" t="s">
        <v>451</v>
      </c>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row>
    <row r="21" spans="1:66" ht="20" customHeight="1">
      <c r="A21" s="30"/>
      <c r="B21" s="30"/>
      <c r="C21" s="31" t="s">
        <v>455</v>
      </c>
      <c r="D21" s="31"/>
      <c r="E21" s="32">
        <v>47.777999999999999</v>
      </c>
      <c r="F21" s="32">
        <v>36.625999999999998</v>
      </c>
      <c r="G21" s="32">
        <v>8.2089999999999996</v>
      </c>
      <c r="H21" s="32"/>
      <c r="I21" s="32" t="s">
        <v>451</v>
      </c>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row>
    <row r="22" spans="1:66" ht="20" customHeight="1">
      <c r="A22" s="30"/>
      <c r="B22" s="30"/>
      <c r="C22" s="31" t="s">
        <v>456</v>
      </c>
      <c r="D22" s="31"/>
      <c r="E22" s="32">
        <v>768.53</v>
      </c>
      <c r="F22" s="32">
        <v>733.68600000000004</v>
      </c>
      <c r="G22" s="32">
        <v>701.89499999999998</v>
      </c>
      <c r="H22" s="32"/>
      <c r="I22" s="32" t="s">
        <v>447</v>
      </c>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row>
    <row r="23" spans="1:66" ht="20" customHeight="1">
      <c r="A23" s="30"/>
      <c r="B23" s="30"/>
      <c r="C23" s="31" t="s">
        <v>457</v>
      </c>
      <c r="D23" s="31"/>
      <c r="E23" s="32">
        <v>37.421999999999997</v>
      </c>
      <c r="F23" s="32">
        <v>48.741999999999997</v>
      </c>
      <c r="G23" s="32">
        <v>46.881</v>
      </c>
      <c r="H23" s="32"/>
      <c r="I23" s="32" t="s">
        <v>458</v>
      </c>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row>
    <row r="24" spans="1:66" ht="20" customHeight="1">
      <c r="A24" s="30"/>
      <c r="B24" s="30"/>
      <c r="C24" s="31" t="s">
        <v>459</v>
      </c>
      <c r="D24" s="31"/>
      <c r="E24" s="32">
        <v>-69.352999999999994</v>
      </c>
      <c r="F24" s="32">
        <v>-18.43</v>
      </c>
      <c r="G24" s="32">
        <v>22.635000000000002</v>
      </c>
      <c r="H24" s="32"/>
      <c r="I24" s="32" t="s">
        <v>447</v>
      </c>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row>
    <row r="25" spans="1:66" ht="20" customHeight="1">
      <c r="A25" s="30"/>
      <c r="B25" s="30"/>
      <c r="C25" s="31" t="s">
        <v>460</v>
      </c>
      <c r="D25" s="31"/>
      <c r="E25" s="32">
        <v>147.65199999999999</v>
      </c>
      <c r="F25" s="32">
        <v>182.82900000000001</v>
      </c>
      <c r="G25" s="32">
        <v>216.40700000000001</v>
      </c>
      <c r="H25" s="32"/>
      <c r="I25" s="32" t="s">
        <v>461</v>
      </c>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row>
    <row r="26" spans="1:66" ht="20" customHeight="1">
      <c r="A26" s="30"/>
      <c r="B26" s="30"/>
      <c r="C26" s="31" t="s">
        <v>462</v>
      </c>
      <c r="D26" s="31"/>
      <c r="E26" s="32">
        <v>63.866999999999997</v>
      </c>
      <c r="F26" s="32">
        <v>58.988</v>
      </c>
      <c r="G26" s="32">
        <v>77.656999999999996</v>
      </c>
      <c r="H26" s="32"/>
      <c r="I26" s="32" t="s">
        <v>447</v>
      </c>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row>
    <row r="27" spans="1:66" ht="20" customHeight="1">
      <c r="A27" s="30"/>
      <c r="B27" s="30"/>
      <c r="C27" s="31" t="s">
        <v>463</v>
      </c>
      <c r="D27" s="31"/>
      <c r="E27" s="32">
        <v>2.496</v>
      </c>
      <c r="F27" s="32">
        <v>37.753999999999998</v>
      </c>
      <c r="G27" s="32">
        <v>8.0370000000000008</v>
      </c>
      <c r="H27" s="32"/>
      <c r="I27" s="32" t="s">
        <v>447</v>
      </c>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row>
    <row r="28" spans="1:66" ht="20" customHeight="1">
      <c r="A28" s="30"/>
      <c r="B28" s="30"/>
      <c r="C28" s="31" t="s">
        <v>464</v>
      </c>
      <c r="D28" s="31"/>
      <c r="E28" s="32">
        <v>61.371000000000002</v>
      </c>
      <c r="F28" s="32">
        <v>21.234000000000002</v>
      </c>
      <c r="G28" s="32">
        <v>69.62</v>
      </c>
      <c r="H28" s="32"/>
      <c r="I28" s="32" t="s">
        <v>465</v>
      </c>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row>
    <row r="29" spans="1:66" ht="20" customHeight="1">
      <c r="A29" s="30"/>
      <c r="B29" s="30"/>
      <c r="C29" s="31" t="s">
        <v>466</v>
      </c>
      <c r="D29" s="31"/>
      <c r="E29" s="32">
        <v>-130.72399999999999</v>
      </c>
      <c r="F29" s="32">
        <v>-39.664000000000001</v>
      </c>
      <c r="G29" s="32">
        <v>-46.984999999999999</v>
      </c>
      <c r="H29" s="32"/>
      <c r="I29" s="32" t="s">
        <v>447</v>
      </c>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row>
    <row r="30" spans="1:66" ht="20" customHeight="1">
      <c r="A30" s="30"/>
      <c r="B30" s="30"/>
      <c r="C30" s="31" t="s">
        <v>467</v>
      </c>
      <c r="D30" s="31"/>
      <c r="E30" s="32">
        <v>17.565000000000001</v>
      </c>
      <c r="F30" s="32">
        <v>6.641</v>
      </c>
      <c r="G30" s="32">
        <v>4.0309999999999997</v>
      </c>
      <c r="H30" s="32"/>
      <c r="I30" s="32" t="s">
        <v>447</v>
      </c>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row>
    <row r="31" spans="1:66" ht="20" customHeight="1">
      <c r="A31" s="30"/>
      <c r="B31" s="30"/>
      <c r="C31" s="31" t="s">
        <v>468</v>
      </c>
      <c r="D31" s="31"/>
      <c r="E31" s="32">
        <v>-113.15900000000001</v>
      </c>
      <c r="F31" s="32">
        <v>-33.023000000000003</v>
      </c>
      <c r="G31" s="32">
        <v>-42.954000000000001</v>
      </c>
      <c r="H31" s="32"/>
      <c r="I31" s="32" t="s">
        <v>447</v>
      </c>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row>
    <row r="32" spans="1:66" ht="20" customHeight="1">
      <c r="A32" s="30"/>
      <c r="B32" s="30"/>
      <c r="C32" s="31" t="s">
        <v>469</v>
      </c>
      <c r="D32" s="31"/>
      <c r="E32" s="32">
        <v>316.34100000000001</v>
      </c>
      <c r="F32" s="32">
        <v>271.56799999999998</v>
      </c>
      <c r="G32" s="32">
        <v>263.65300000000002</v>
      </c>
      <c r="H32" s="32"/>
      <c r="I32" s="32" t="s">
        <v>470</v>
      </c>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row>
    <row r="33" spans="1:66" ht="20" customHeight="1">
      <c r="A33" s="30"/>
      <c r="B33" s="30"/>
      <c r="C33" s="31" t="s">
        <v>471</v>
      </c>
      <c r="D33" s="31"/>
      <c r="E33" s="32">
        <v>41.435000000000002</v>
      </c>
      <c r="F33" s="32">
        <v>35.755000000000003</v>
      </c>
      <c r="G33" s="32">
        <v>32.771999999999998</v>
      </c>
      <c r="H33" s="32"/>
      <c r="I33" s="32" t="s">
        <v>470</v>
      </c>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row>
    <row r="34" spans="1:66" ht="20" customHeight="1">
      <c r="A34" s="30"/>
      <c r="B34" s="30"/>
      <c r="C34" s="31" t="s">
        <v>472</v>
      </c>
      <c r="D34" s="31"/>
      <c r="E34" s="32">
        <v>1.9690000000000001</v>
      </c>
      <c r="F34" s="32">
        <v>1.581</v>
      </c>
      <c r="G34" s="32">
        <v>1.7729999999999999</v>
      </c>
      <c r="H34" s="32"/>
      <c r="I34" s="32" t="s">
        <v>470</v>
      </c>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row>
    <row r="35" spans="1:66" ht="20" customHeight="1">
      <c r="A35" s="30"/>
      <c r="B35" s="30"/>
      <c r="C35" s="31" t="s">
        <v>473</v>
      </c>
      <c r="D35" s="31"/>
      <c r="E35" s="32">
        <v>4.9740000000000002</v>
      </c>
      <c r="F35" s="32">
        <v>4.3520000000000003</v>
      </c>
      <c r="G35" s="32">
        <v>3.827</v>
      </c>
      <c r="H35" s="32"/>
      <c r="I35" s="32" t="s">
        <v>470</v>
      </c>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row>
    <row r="36" spans="1:66" ht="20" customHeight="1">
      <c r="A36" s="30"/>
      <c r="B36" s="30"/>
      <c r="C36" s="31" t="s">
        <v>448</v>
      </c>
      <c r="D36" s="31"/>
      <c r="E36" s="32">
        <v>364.71899999999999</v>
      </c>
      <c r="F36" s="32">
        <v>313.25599999999997</v>
      </c>
      <c r="G36" s="32">
        <v>302.02499999999998</v>
      </c>
      <c r="H36" s="32"/>
      <c r="I36" s="32" t="s">
        <v>470</v>
      </c>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row>
    <row r="37" spans="1:66" ht="20" customHeight="1">
      <c r="A37" s="30"/>
      <c r="B37" s="30"/>
      <c r="C37" s="31" t="s">
        <v>474</v>
      </c>
      <c r="D37" s="31"/>
      <c r="E37" s="32">
        <v>12.334</v>
      </c>
      <c r="F37" s="32">
        <v>34.579000000000001</v>
      </c>
      <c r="G37" s="32">
        <v>5.5880000000000001</v>
      </c>
      <c r="H37" s="32"/>
      <c r="I37" s="32" t="s">
        <v>470</v>
      </c>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row>
    <row r="38" spans="1:66" ht="20" customHeight="1">
      <c r="A38" s="30"/>
      <c r="B38" s="30"/>
      <c r="C38" s="31" t="s">
        <v>475</v>
      </c>
      <c r="D38" s="31"/>
      <c r="E38" s="32">
        <v>377.053</v>
      </c>
      <c r="F38" s="32">
        <v>347.83499999999998</v>
      </c>
      <c r="G38" s="32">
        <v>307.613</v>
      </c>
      <c r="H38" s="32"/>
      <c r="I38" s="32" t="s">
        <v>470</v>
      </c>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row>
    <row r="39" spans="1:66" ht="20" customHeight="1">
      <c r="A39" s="30"/>
      <c r="B39" s="30"/>
      <c r="C39" s="31" t="s">
        <v>476</v>
      </c>
      <c r="D39" s="31"/>
      <c r="E39" s="32">
        <v>117.461</v>
      </c>
      <c r="F39" s="32">
        <v>107.498</v>
      </c>
      <c r="G39" s="32">
        <v>216.184</v>
      </c>
      <c r="H39" s="32"/>
      <c r="I39" s="32" t="s">
        <v>477</v>
      </c>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row>
    <row r="40" spans="1:66" ht="20" customHeight="1">
      <c r="A40" s="30"/>
      <c r="B40" s="30"/>
      <c r="C40" s="31" t="s">
        <v>478</v>
      </c>
      <c r="D40" s="31"/>
      <c r="E40" s="32">
        <v>37.225000000000001</v>
      </c>
      <c r="F40" s="32">
        <v>37.198</v>
      </c>
      <c r="G40" s="32">
        <v>38.844999999999999</v>
      </c>
      <c r="H40" s="32"/>
      <c r="I40" s="32" t="s">
        <v>477</v>
      </c>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row>
    <row r="41" spans="1:66" ht="20" customHeight="1">
      <c r="A41" s="30"/>
      <c r="B41" s="30"/>
      <c r="C41" s="31" t="s">
        <v>479</v>
      </c>
      <c r="D41" s="31"/>
      <c r="E41" s="32">
        <v>1.6859999999999999</v>
      </c>
      <c r="F41" s="32">
        <v>3.35</v>
      </c>
      <c r="G41" s="32">
        <v>2.0840000000000001</v>
      </c>
      <c r="H41" s="32"/>
      <c r="I41" s="32" t="s">
        <v>477</v>
      </c>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row>
    <row r="42" spans="1:66" ht="20" customHeight="1">
      <c r="A42" s="30"/>
      <c r="B42" s="30"/>
      <c r="C42" s="31" t="s">
        <v>480</v>
      </c>
      <c r="D42" s="31"/>
      <c r="E42" s="32">
        <v>3.7490000000000001</v>
      </c>
      <c r="F42" s="32">
        <v>-0.94799999999999995</v>
      </c>
      <c r="G42" s="32">
        <v>-0.70799999999999996</v>
      </c>
      <c r="H42" s="32"/>
      <c r="I42" s="32" t="s">
        <v>477</v>
      </c>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row>
    <row r="43" spans="1:66" ht="20" customHeight="1">
      <c r="A43" s="30"/>
      <c r="B43" s="30"/>
      <c r="C43" s="31" t="s">
        <v>481</v>
      </c>
      <c r="D43" s="31"/>
      <c r="E43" s="32">
        <v>85.671000000000006</v>
      </c>
      <c r="F43" s="32">
        <v>72.701999999999998</v>
      </c>
      <c r="G43" s="32">
        <v>178.715</v>
      </c>
      <c r="H43" s="32"/>
      <c r="I43" s="32" t="s">
        <v>477</v>
      </c>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row>
    <row r="44" spans="1:66" ht="20" customHeight="1">
      <c r="A44" s="30"/>
      <c r="B44" s="30"/>
      <c r="C44" s="31" t="s">
        <v>482</v>
      </c>
      <c r="D44" s="31"/>
      <c r="E44" s="32">
        <v>17.510999999999999</v>
      </c>
      <c r="F44" s="32">
        <v>44.720999999999997</v>
      </c>
      <c r="G44" s="32">
        <v>85.918999999999997</v>
      </c>
      <c r="H44" s="32"/>
      <c r="I44" s="32" t="s">
        <v>477</v>
      </c>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row>
    <row r="45" spans="1:66" ht="20" customHeight="1">
      <c r="A45" s="30"/>
      <c r="B45" s="30"/>
      <c r="C45" s="31" t="s">
        <v>483</v>
      </c>
      <c r="D45" s="31"/>
      <c r="E45" s="32">
        <v>190.721</v>
      </c>
      <c r="F45" s="32">
        <v>278.74599999999998</v>
      </c>
      <c r="G45" s="32">
        <v>292.267</v>
      </c>
      <c r="H45" s="32"/>
      <c r="I45" s="32" t="s">
        <v>477</v>
      </c>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row>
    <row r="46" spans="1:66" ht="20" customHeight="1">
      <c r="A46" s="30"/>
      <c r="B46" s="30"/>
      <c r="C46" s="31" t="s">
        <v>484</v>
      </c>
      <c r="D46" s="31"/>
      <c r="E46" s="32">
        <v>37.027999999999999</v>
      </c>
      <c r="F46" s="32">
        <v>48.792000000000002</v>
      </c>
      <c r="G46" s="32">
        <v>148.61199999999999</v>
      </c>
      <c r="H46" s="32"/>
      <c r="I46" s="32" t="s">
        <v>477</v>
      </c>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row>
    <row r="47" spans="1:66" ht="20" customHeight="1">
      <c r="A47" s="30"/>
      <c r="B47" s="30"/>
      <c r="C47" s="31" t="s">
        <v>485</v>
      </c>
      <c r="D47" s="31"/>
      <c r="E47" s="32">
        <v>153.69300000000001</v>
      </c>
      <c r="F47" s="32">
        <v>229.95400000000001</v>
      </c>
      <c r="G47" s="32">
        <v>143.655</v>
      </c>
      <c r="H47" s="32"/>
      <c r="I47" s="32" t="s">
        <v>453</v>
      </c>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row>
    <row r="48" spans="1:66" ht="20" customHeight="1">
      <c r="A48" s="30"/>
      <c r="B48" s="30"/>
      <c r="C48" s="31" t="s">
        <v>486</v>
      </c>
      <c r="D48" s="31"/>
      <c r="E48" s="32">
        <v>-171.20400000000001</v>
      </c>
      <c r="F48" s="32">
        <v>-274.67500000000001</v>
      </c>
      <c r="G48" s="32">
        <v>-229.57400000000001</v>
      </c>
      <c r="H48" s="32"/>
      <c r="I48" s="32" t="s">
        <v>477</v>
      </c>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row>
    <row r="49" spans="1:66" ht="20" customHeight="1">
      <c r="A49" s="30"/>
      <c r="B49" s="30"/>
      <c r="C49" s="31" t="s">
        <v>487</v>
      </c>
      <c r="D49" s="31"/>
      <c r="E49" s="32">
        <v>-85.533000000000001</v>
      </c>
      <c r="F49" s="32">
        <v>-201.97300000000001</v>
      </c>
      <c r="G49" s="32">
        <v>-50.859000000000002</v>
      </c>
      <c r="H49" s="32"/>
      <c r="I49" s="32" t="s">
        <v>453</v>
      </c>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row>
    <row r="50" spans="1:66" ht="20" customHeight="1">
      <c r="A50" s="30"/>
      <c r="B50" s="30"/>
      <c r="C50" s="31" t="s">
        <v>488</v>
      </c>
      <c r="D50" s="31"/>
      <c r="E50" s="32">
        <v>160</v>
      </c>
      <c r="F50" s="32">
        <v>230</v>
      </c>
      <c r="G50" s="32">
        <v>225</v>
      </c>
      <c r="H50" s="32"/>
      <c r="I50" s="32" t="s">
        <v>477</v>
      </c>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row>
    <row r="51" spans="1:66" ht="20" customHeight="1">
      <c r="A51" s="30"/>
      <c r="B51" s="30"/>
      <c r="C51" s="31" t="s">
        <v>489</v>
      </c>
      <c r="D51" s="31"/>
      <c r="E51" s="32">
        <v>230</v>
      </c>
      <c r="F51" s="32">
        <v>100</v>
      </c>
      <c r="G51" s="32">
        <v>275</v>
      </c>
      <c r="H51" s="32"/>
      <c r="I51" s="32" t="s">
        <v>477</v>
      </c>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row>
    <row r="52" spans="1:66" ht="20" customHeight="1">
      <c r="A52" s="30"/>
      <c r="B52" s="30"/>
      <c r="C52" s="31" t="s">
        <v>490</v>
      </c>
      <c r="D52" s="31"/>
      <c r="E52" s="32">
        <v>0</v>
      </c>
      <c r="F52" s="32">
        <v>0</v>
      </c>
      <c r="G52" s="32">
        <v>414.40600000000001</v>
      </c>
      <c r="H52" s="32"/>
      <c r="I52" s="32" t="s">
        <v>477</v>
      </c>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row>
    <row r="53" spans="1:66" ht="20" customHeight="1">
      <c r="A53" s="30"/>
      <c r="B53" s="30"/>
      <c r="C53" s="31" t="s">
        <v>491</v>
      </c>
      <c r="D53" s="31"/>
      <c r="E53" s="32">
        <v>0</v>
      </c>
      <c r="F53" s="32">
        <v>0</v>
      </c>
      <c r="G53" s="32">
        <v>320.22300000000001</v>
      </c>
      <c r="H53" s="32"/>
      <c r="I53" s="32" t="s">
        <v>477</v>
      </c>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row>
    <row r="54" spans="1:66" ht="20" customHeight="1">
      <c r="A54" s="30"/>
      <c r="B54" s="30"/>
      <c r="C54" s="31" t="s">
        <v>492</v>
      </c>
      <c r="D54" s="31"/>
      <c r="E54" s="32">
        <v>158.542</v>
      </c>
      <c r="F54" s="32">
        <v>79.984999999999999</v>
      </c>
      <c r="G54" s="32">
        <v>0</v>
      </c>
      <c r="H54" s="32"/>
      <c r="I54" s="32" t="s">
        <v>477</v>
      </c>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row>
    <row r="55" spans="1:66" ht="20" customHeight="1">
      <c r="A55" s="30"/>
      <c r="B55" s="30"/>
      <c r="C55" s="31" t="s">
        <v>493</v>
      </c>
      <c r="D55" s="31"/>
      <c r="E55" s="32">
        <v>0.97599999999999998</v>
      </c>
      <c r="F55" s="32">
        <v>0.40300000000000002</v>
      </c>
      <c r="G55" s="32">
        <v>1.714</v>
      </c>
      <c r="H55" s="32"/>
      <c r="I55" s="32" t="s">
        <v>477</v>
      </c>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row>
    <row r="56" spans="1:66" ht="20" customHeight="1">
      <c r="A56" s="30"/>
      <c r="B56" s="30"/>
      <c r="C56" s="31" t="s">
        <v>494</v>
      </c>
      <c r="D56" s="31"/>
      <c r="E56" s="32">
        <v>1.335</v>
      </c>
      <c r="F56" s="32">
        <v>0</v>
      </c>
      <c r="G56" s="32">
        <v>7.1609999999999996</v>
      </c>
      <c r="H56" s="32"/>
      <c r="I56" s="32" t="s">
        <v>477</v>
      </c>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row>
    <row r="57" spans="1:66" ht="20" customHeight="1">
      <c r="A57" s="30"/>
      <c r="B57" s="30"/>
      <c r="C57" s="31" t="s">
        <v>495</v>
      </c>
      <c r="D57" s="31"/>
      <c r="E57" s="32">
        <v>86.230999999999995</v>
      </c>
      <c r="F57" s="32">
        <v>209.58199999999999</v>
      </c>
      <c r="G57" s="32">
        <v>35.308</v>
      </c>
      <c r="H57" s="32"/>
      <c r="I57" s="32" t="s">
        <v>477</v>
      </c>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row>
    <row r="58" spans="1:66" ht="20" customHeight="1">
      <c r="A58" s="30"/>
      <c r="B58" s="30"/>
      <c r="C58" s="31" t="s">
        <v>496</v>
      </c>
      <c r="D58" s="31"/>
      <c r="E58" s="32">
        <v>-3.1680000000000001</v>
      </c>
      <c r="F58" s="32">
        <v>4.9470000000000001</v>
      </c>
      <c r="G58" s="32">
        <v>-3.3079999999999998</v>
      </c>
      <c r="H58" s="32"/>
      <c r="I58" s="32" t="s">
        <v>477</v>
      </c>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row>
    <row r="59" spans="1:66" ht="20" customHeight="1">
      <c r="A59" s="30"/>
      <c r="B59" s="30"/>
      <c r="C59" s="31" t="s">
        <v>282</v>
      </c>
      <c r="D59" s="31"/>
      <c r="E59" s="32">
        <v>76.019000000000005</v>
      </c>
      <c r="F59" s="32">
        <v>73.549000000000007</v>
      </c>
      <c r="G59" s="32">
        <v>86.105000000000004</v>
      </c>
      <c r="H59" s="32"/>
      <c r="I59" s="32" t="s">
        <v>477</v>
      </c>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row>
    <row r="60" spans="1:66" ht="20" customHeight="1">
      <c r="A60" s="30"/>
      <c r="B60" s="30"/>
      <c r="C60" s="31" t="s">
        <v>200</v>
      </c>
      <c r="D60" s="31"/>
      <c r="E60" s="32">
        <v>73.549000000000007</v>
      </c>
      <c r="F60" s="32">
        <v>86.105000000000004</v>
      </c>
      <c r="G60" s="32">
        <v>67.245999999999995</v>
      </c>
      <c r="H60" s="32"/>
      <c r="I60" s="32" t="s">
        <v>477</v>
      </c>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row>
    <row r="61" spans="1:66" ht="20" customHeight="1">
      <c r="A61" s="30"/>
      <c r="B61" s="30"/>
      <c r="C61" s="31" t="s">
        <v>497</v>
      </c>
      <c r="D61" s="31"/>
      <c r="E61" s="32">
        <v>384.88499999999999</v>
      </c>
      <c r="F61" s="32">
        <v>408.57900000000001</v>
      </c>
      <c r="G61" s="32">
        <v>537.34799999999996</v>
      </c>
      <c r="H61" s="32"/>
      <c r="I61" s="32" t="s">
        <v>498</v>
      </c>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row>
    <row r="62" spans="1:66" ht="20" customHeight="1">
      <c r="A62" s="30"/>
      <c r="B62" s="30"/>
      <c r="C62" s="31" t="s">
        <v>499</v>
      </c>
      <c r="D62" s="31"/>
      <c r="E62" s="32">
        <v>220.72800000000001</v>
      </c>
      <c r="F62" s="32">
        <v>342.96</v>
      </c>
      <c r="G62" s="32">
        <v>191.149</v>
      </c>
      <c r="H62" s="32"/>
      <c r="I62" s="32" t="s">
        <v>498</v>
      </c>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row>
    <row r="63" spans="1:66" ht="20" customHeight="1">
      <c r="A63" s="30"/>
      <c r="B63" s="30"/>
      <c r="C63" s="31" t="s">
        <v>500</v>
      </c>
      <c r="D63" s="31"/>
      <c r="E63" s="32">
        <v>10.039999999999999</v>
      </c>
      <c r="F63" s="32">
        <v>21.082000000000001</v>
      </c>
      <c r="G63" s="32">
        <v>67.781999999999996</v>
      </c>
      <c r="H63" s="32"/>
      <c r="I63" s="32" t="s">
        <v>498</v>
      </c>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row>
    <row r="64" spans="1:66" ht="20" customHeight="1">
      <c r="A64" s="30"/>
      <c r="B64" s="30"/>
      <c r="C64" s="31" t="s">
        <v>179</v>
      </c>
      <c r="D64" s="31"/>
      <c r="E64" s="32">
        <v>186.994</v>
      </c>
      <c r="F64" s="32">
        <v>193.10900000000001</v>
      </c>
      <c r="G64" s="32">
        <v>208.423</v>
      </c>
      <c r="H64" s="32"/>
      <c r="I64" s="32" t="s">
        <v>498</v>
      </c>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row>
    <row r="65" spans="1:66" ht="20" customHeight="1">
      <c r="A65" s="30"/>
      <c r="B65" s="30"/>
      <c r="C65" s="31" t="s">
        <v>501</v>
      </c>
      <c r="D65" s="31"/>
      <c r="E65" s="32">
        <v>408.57900000000001</v>
      </c>
      <c r="F65" s="32">
        <v>537.34799999999996</v>
      </c>
      <c r="G65" s="32">
        <v>452.29199999999997</v>
      </c>
      <c r="H65" s="32"/>
      <c r="I65" s="32" t="s">
        <v>498</v>
      </c>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row>
    <row r="66" spans="1:66" ht="20" customHeight="1">
      <c r="A66" s="30"/>
      <c r="B66" s="30"/>
      <c r="C66" s="31" t="s">
        <v>502</v>
      </c>
      <c r="D66" s="31"/>
      <c r="E66" s="32">
        <v>4.617</v>
      </c>
      <c r="F66" s="32">
        <v>3.3879999999999999</v>
      </c>
      <c r="G66" s="32">
        <v>3.2559999999999998</v>
      </c>
      <c r="H66" s="32"/>
      <c r="I66" s="32" t="s">
        <v>498</v>
      </c>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row>
    <row r="67" spans="1:66" ht="20" customHeight="1">
      <c r="A67" s="30"/>
      <c r="B67" s="30"/>
      <c r="C67" s="31" t="s">
        <v>181</v>
      </c>
      <c r="D67" s="31"/>
      <c r="E67" s="32">
        <v>3.129</v>
      </c>
      <c r="F67" s="32">
        <v>3.2639999999999998</v>
      </c>
      <c r="G67" s="32">
        <v>3.39</v>
      </c>
      <c r="H67" s="32"/>
      <c r="I67" s="32" t="s">
        <v>498</v>
      </c>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row>
    <row r="68" spans="1:66" ht="20" customHeight="1">
      <c r="A68" s="30"/>
      <c r="B68" s="30"/>
      <c r="C68" s="31" t="s">
        <v>503</v>
      </c>
      <c r="D68" s="31"/>
      <c r="E68" s="32">
        <v>36.515999999999998</v>
      </c>
      <c r="F68" s="32">
        <v>48.741999999999997</v>
      </c>
      <c r="G68" s="32">
        <v>46.881</v>
      </c>
      <c r="H68" s="32"/>
      <c r="I68" s="32" t="s">
        <v>458</v>
      </c>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row>
    <row r="69" spans="1:66" ht="20" customHeight="1">
      <c r="A69" s="30"/>
      <c r="B69" s="30"/>
      <c r="C69" s="31" t="s">
        <v>504</v>
      </c>
      <c r="D69" s="31"/>
      <c r="E69" s="32">
        <v>0.90600000000000003</v>
      </c>
      <c r="F69" s="32">
        <v>0</v>
      </c>
      <c r="G69" s="32">
        <v>0</v>
      </c>
      <c r="H69" s="32"/>
      <c r="I69" s="32" t="s">
        <v>458</v>
      </c>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row>
    <row r="70" spans="1:66" ht="20" customHeight="1">
      <c r="A70" s="30"/>
      <c r="B70" s="30"/>
      <c r="C70" s="31" t="s">
        <v>505</v>
      </c>
      <c r="D70" s="31"/>
      <c r="E70" s="32">
        <v>331.41800000000001</v>
      </c>
      <c r="F70" s="32">
        <v>447.13099999999997</v>
      </c>
      <c r="G70" s="32">
        <v>375.03300000000002</v>
      </c>
      <c r="H70" s="32"/>
      <c r="I70" s="32" t="s">
        <v>506</v>
      </c>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row>
    <row r="71" spans="1:66" ht="20" customHeight="1">
      <c r="A71" s="30"/>
      <c r="B71" s="30"/>
      <c r="C71" s="31" t="s">
        <v>507</v>
      </c>
      <c r="D71" s="31"/>
      <c r="E71" s="32">
        <v>155.583</v>
      </c>
      <c r="F71" s="32">
        <v>241.96799999999999</v>
      </c>
      <c r="G71" s="32">
        <v>218.369</v>
      </c>
      <c r="H71" s="32"/>
      <c r="I71" s="32" t="s">
        <v>453</v>
      </c>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row>
    <row r="72" spans="1:66" ht="20" customHeight="1">
      <c r="A72" s="30"/>
      <c r="B72" s="30"/>
      <c r="C72" s="31" t="s">
        <v>508</v>
      </c>
      <c r="D72" s="31"/>
      <c r="E72" s="32">
        <v>106.636</v>
      </c>
      <c r="F72" s="32">
        <v>140.09299999999999</v>
      </c>
      <c r="G72" s="32">
        <v>104.78400000000001</v>
      </c>
      <c r="H72" s="32"/>
      <c r="I72" s="32" t="s">
        <v>506</v>
      </c>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row>
    <row r="73" spans="1:66" ht="20" customHeight="1">
      <c r="A73" s="30"/>
      <c r="B73" s="30"/>
      <c r="C73" s="31" t="s">
        <v>509</v>
      </c>
      <c r="D73" s="31"/>
      <c r="E73" s="32">
        <v>69.198999999999998</v>
      </c>
      <c r="F73" s="32">
        <v>65.069999999999993</v>
      </c>
      <c r="G73" s="32">
        <v>51.88</v>
      </c>
      <c r="H73" s="32"/>
      <c r="I73" s="32" t="s">
        <v>506</v>
      </c>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row>
    <row r="74" spans="1:66" ht="20" customHeight="1">
      <c r="A74" s="30"/>
      <c r="B74" s="30"/>
      <c r="C74" s="31" t="s">
        <v>510</v>
      </c>
      <c r="D74" s="31"/>
      <c r="E74" s="32">
        <v>59.844999999999999</v>
      </c>
      <c r="F74" s="32">
        <v>102.614</v>
      </c>
      <c r="G74" s="32">
        <v>67.935000000000002</v>
      </c>
      <c r="H74" s="32"/>
      <c r="I74" s="32" t="s">
        <v>511</v>
      </c>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row>
    <row r="75" spans="1:66" ht="20" customHeight="1">
      <c r="A75" s="30"/>
      <c r="B75" s="30"/>
      <c r="C75" s="31" t="s">
        <v>512</v>
      </c>
      <c r="D75" s="31"/>
      <c r="E75" s="32">
        <v>31.914999999999999</v>
      </c>
      <c r="F75" s="32">
        <v>59.195</v>
      </c>
      <c r="G75" s="32">
        <v>25.021999999999998</v>
      </c>
      <c r="H75" s="32"/>
      <c r="I75" s="32" t="s">
        <v>453</v>
      </c>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row>
    <row r="76" spans="1:66" ht="20" customHeight="1">
      <c r="A76" s="30"/>
      <c r="B76" s="30"/>
      <c r="C76" s="31" t="s">
        <v>513</v>
      </c>
      <c r="D76" s="31"/>
      <c r="E76" s="32">
        <v>27.93</v>
      </c>
      <c r="F76" s="32">
        <v>43.418999999999997</v>
      </c>
      <c r="G76" s="32">
        <v>42.912999999999997</v>
      </c>
      <c r="H76" s="32"/>
      <c r="I76" s="32" t="s">
        <v>511</v>
      </c>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row>
    <row r="77" spans="1:66" ht="20" customHeight="1">
      <c r="A77" s="30"/>
      <c r="B77" s="30"/>
      <c r="C77" s="31" t="s">
        <v>514</v>
      </c>
      <c r="D77" s="31"/>
      <c r="E77" s="32">
        <v>271.57299999999998</v>
      </c>
      <c r="F77" s="32">
        <v>344.517</v>
      </c>
      <c r="G77" s="32">
        <v>307.09800000000001</v>
      </c>
      <c r="H77" s="32"/>
      <c r="I77" s="32" t="s">
        <v>453</v>
      </c>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row>
    <row r="78" spans="1:66" ht="20" customHeight="1">
      <c r="A78" s="30"/>
      <c r="B78" s="30"/>
      <c r="C78" s="31" t="s">
        <v>515</v>
      </c>
      <c r="D78" s="31"/>
      <c r="E78" s="32">
        <v>546.62099999999998</v>
      </c>
      <c r="F78" s="32">
        <v>636.97400000000005</v>
      </c>
      <c r="G78" s="32">
        <v>688.95399999999995</v>
      </c>
      <c r="H78" s="32"/>
      <c r="I78" s="32" t="s">
        <v>516</v>
      </c>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row>
    <row r="79" spans="1:66" ht="20" customHeight="1">
      <c r="A79" s="30"/>
      <c r="B79" s="30"/>
      <c r="C79" s="31" t="s">
        <v>517</v>
      </c>
      <c r="D79" s="31"/>
      <c r="E79" s="32">
        <v>73.549000000000007</v>
      </c>
      <c r="F79" s="32">
        <v>86.105000000000004</v>
      </c>
      <c r="G79" s="32">
        <v>67.245999999999995</v>
      </c>
      <c r="H79" s="32"/>
      <c r="I79" s="32" t="s">
        <v>518</v>
      </c>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row>
    <row r="80" spans="1:66" ht="20" customHeight="1">
      <c r="A80" s="30"/>
      <c r="B80" s="30"/>
      <c r="C80" s="31" t="s">
        <v>519</v>
      </c>
      <c r="D80" s="31"/>
      <c r="E80" s="32">
        <v>473.072</v>
      </c>
      <c r="F80" s="32">
        <v>550.86900000000003</v>
      </c>
      <c r="G80" s="32">
        <v>621.70799999999997</v>
      </c>
      <c r="H80" s="32"/>
      <c r="I80" s="32" t="s">
        <v>453</v>
      </c>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row>
    <row r="81" spans="1:66" ht="20" customHeight="1">
      <c r="A81" s="30"/>
      <c r="B81" s="30"/>
      <c r="C81" s="31" t="s">
        <v>207</v>
      </c>
      <c r="D81" s="31"/>
      <c r="E81" s="32">
        <v>8.641</v>
      </c>
      <c r="F81" s="32">
        <v>8.4710000000000001</v>
      </c>
      <c r="G81" s="32">
        <v>3.27</v>
      </c>
      <c r="H81" s="32"/>
      <c r="I81" s="32" t="s">
        <v>453</v>
      </c>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row>
    <row r="82" spans="1:66" ht="20" customHeight="1">
      <c r="A82" s="30"/>
      <c r="B82" s="30"/>
      <c r="C82" s="31" t="s">
        <v>204</v>
      </c>
      <c r="D82" s="31"/>
      <c r="E82" s="32">
        <v>1344.787</v>
      </c>
      <c r="F82" s="32">
        <v>1637.7329999999999</v>
      </c>
      <c r="G82" s="32">
        <v>1548.9010000000001</v>
      </c>
      <c r="H82" s="32"/>
      <c r="I82" s="32" t="s">
        <v>520</v>
      </c>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row>
    <row r="83" spans="1:66" ht="20" customHeight="1">
      <c r="A83" s="30"/>
      <c r="B83" s="30"/>
      <c r="C83" s="31" t="s">
        <v>521</v>
      </c>
      <c r="D83" s="31"/>
      <c r="E83" s="32">
        <v>144.88999999999999</v>
      </c>
      <c r="F83" s="32">
        <v>193.733</v>
      </c>
      <c r="G83" s="32">
        <v>150.363</v>
      </c>
      <c r="H83" s="32"/>
      <c r="I83" s="32" t="s">
        <v>520</v>
      </c>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row>
    <row r="84" spans="1:66" ht="20" customHeight="1">
      <c r="A84" s="30"/>
      <c r="B84" s="30"/>
      <c r="C84" s="31" t="s">
        <v>209</v>
      </c>
      <c r="D84" s="31"/>
      <c r="E84" s="32">
        <v>1199.8969999999999</v>
      </c>
      <c r="F84" s="32">
        <v>1444</v>
      </c>
      <c r="G84" s="32">
        <v>1398.538</v>
      </c>
      <c r="H84" s="32"/>
      <c r="I84" s="32" t="s">
        <v>453</v>
      </c>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row>
    <row r="85" spans="1:66" ht="20" customHeight="1">
      <c r="A85" s="30"/>
      <c r="B85" s="30"/>
      <c r="C85" s="31" t="s">
        <v>522</v>
      </c>
      <c r="D85" s="31"/>
      <c r="E85" s="32">
        <v>177.28</v>
      </c>
      <c r="F85" s="32">
        <v>284.01799999999997</v>
      </c>
      <c r="G85" s="32">
        <v>215.37299999999999</v>
      </c>
      <c r="H85" s="32"/>
      <c r="I85" s="32" t="s">
        <v>520</v>
      </c>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row>
    <row r="86" spans="1:66" ht="20" customHeight="1">
      <c r="A86" s="30"/>
      <c r="B86" s="30"/>
      <c r="C86" s="31" t="s">
        <v>523</v>
      </c>
      <c r="D86" s="31"/>
      <c r="E86" s="32">
        <v>494.99099999999999</v>
      </c>
      <c r="F86" s="32">
        <v>750.37300000000005</v>
      </c>
      <c r="G86" s="32">
        <v>657.89800000000002</v>
      </c>
      <c r="H86" s="32"/>
      <c r="I86" s="32" t="s">
        <v>524</v>
      </c>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row>
    <row r="87" spans="1:66" ht="20" customHeight="1">
      <c r="A87" s="30"/>
      <c r="B87" s="30"/>
      <c r="C87" s="31" t="s">
        <v>525</v>
      </c>
      <c r="D87" s="31"/>
      <c r="E87" s="32">
        <v>203.97499999999999</v>
      </c>
      <c r="F87" s="32">
        <v>211.405</v>
      </c>
      <c r="G87" s="32">
        <v>213.49299999999999</v>
      </c>
      <c r="H87" s="32"/>
      <c r="I87" s="32" t="s">
        <v>526</v>
      </c>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row>
    <row r="88" spans="1:66" ht="20" customHeight="1">
      <c r="A88" s="30"/>
      <c r="B88" s="30"/>
      <c r="C88" s="31"/>
      <c r="D88" s="31"/>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row>
    <row r="89" spans="1:66" ht="20" customHeight="1">
      <c r="A89" s="30"/>
      <c r="B89" s="30"/>
      <c r="C89" s="31"/>
      <c r="D89" s="31"/>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row>
    <row r="90" spans="1:66" ht="20" customHeight="1">
      <c r="A90" s="30"/>
      <c r="B90" s="30"/>
      <c r="C90" s="31"/>
      <c r="D90" s="31"/>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row>
    <row r="91" spans="1:66" ht="20" customHeight="1">
      <c r="A91" s="30"/>
      <c r="B91" s="30"/>
      <c r="C91" s="31"/>
      <c r="D91" s="31"/>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row>
    <row r="92" spans="1:66" ht="20" customHeight="1">
      <c r="A92" s="30"/>
      <c r="B92" s="30"/>
      <c r="C92" s="31"/>
      <c r="D92" s="31"/>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row>
    <row r="93" spans="1:66" ht="20" customHeight="1">
      <c r="A93" s="30"/>
      <c r="B93" s="30"/>
      <c r="C93" s="31"/>
      <c r="D93" s="31"/>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row>
    <row r="94" spans="1:66" ht="20" customHeight="1">
      <c r="A94" s="30"/>
      <c r="B94" s="30"/>
      <c r="C94" s="31"/>
      <c r="D94" s="31"/>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row>
    <row r="95" spans="1:66" ht="20" customHeight="1">
      <c r="A95" s="30"/>
      <c r="B95" s="30"/>
      <c r="C95" s="31"/>
      <c r="D95" s="31"/>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row>
    <row r="96" spans="1:66" ht="20" customHeight="1">
      <c r="A96" s="30"/>
      <c r="B96" s="30"/>
      <c r="C96" s="31"/>
      <c r="D96" s="31"/>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row>
    <row r="97" spans="1:66" ht="20" customHeight="1">
      <c r="A97" s="30"/>
      <c r="B97" s="30"/>
      <c r="C97" s="31"/>
      <c r="D97" s="31"/>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row>
    <row r="98" spans="1:66" ht="20" customHeight="1">
      <c r="A98" s="30"/>
      <c r="B98" s="30"/>
      <c r="C98" s="31"/>
      <c r="D98" s="31"/>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row>
    <row r="99" spans="1:66" ht="20" customHeight="1">
      <c r="A99" s="30"/>
      <c r="B99" s="30"/>
      <c r="C99" s="31"/>
      <c r="D99" s="31"/>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row>
    <row r="100" spans="1:66" ht="20" customHeight="1">
      <c r="A100" s="30"/>
      <c r="B100" s="30"/>
      <c r="C100" s="31"/>
      <c r="D100" s="31"/>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row>
    <row r="101" spans="1:66" ht="20" customHeight="1">
      <c r="A101" s="30"/>
      <c r="B101" s="30"/>
      <c r="C101" s="31"/>
      <c r="D101" s="31"/>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row>
    <row r="102" spans="1:66" ht="20" customHeight="1">
      <c r="A102" s="30"/>
      <c r="B102" s="30"/>
      <c r="C102" s="31"/>
      <c r="D102" s="31"/>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row>
    <row r="103" spans="1:66" ht="20" customHeight="1">
      <c r="A103" s="30"/>
      <c r="B103" s="30"/>
      <c r="C103" s="31"/>
      <c r="D103" s="31"/>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row>
    <row r="104" spans="1:66" ht="20" customHeight="1">
      <c r="A104" s="30"/>
      <c r="B104" s="30"/>
      <c r="C104" s="31"/>
      <c r="D104" s="31"/>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row>
    <row r="105" spans="1:66" ht="20" customHeight="1">
      <c r="A105" s="30"/>
      <c r="B105" s="30"/>
      <c r="C105" s="31"/>
      <c r="D105" s="31"/>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row>
    <row r="106" spans="1:66" ht="20" customHeight="1">
      <c r="A106" s="30"/>
      <c r="B106" s="30"/>
      <c r="C106" s="31"/>
      <c r="D106" s="31"/>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row>
    <row r="107" spans="1:66" ht="20" customHeight="1">
      <c r="A107" s="30"/>
      <c r="B107" s="30"/>
      <c r="C107" s="31"/>
      <c r="D107" s="31"/>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row>
    <row r="108" spans="1:66" ht="20" customHeight="1">
      <c r="A108" s="30"/>
      <c r="B108" s="30"/>
      <c r="C108" s="31"/>
      <c r="D108" s="31"/>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row>
    <row r="109" spans="1:66" ht="20" customHeight="1">
      <c r="A109" s="30"/>
      <c r="B109" s="30"/>
      <c r="C109" s="31"/>
      <c r="D109" s="31"/>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row>
    <row r="110" spans="1:66" ht="20" customHeight="1">
      <c r="A110" s="30"/>
      <c r="B110" s="30"/>
      <c r="C110" s="31"/>
      <c r="D110" s="31"/>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row>
    <row r="111" spans="1:66" ht="20" customHeight="1">
      <c r="A111" s="30"/>
      <c r="B111" s="30"/>
      <c r="C111" s="31"/>
      <c r="D111" s="31"/>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row>
    <row r="112" spans="1:66" ht="20" customHeight="1">
      <c r="A112" s="30"/>
      <c r="B112" s="30"/>
      <c r="C112" s="31"/>
      <c r="D112" s="31"/>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row>
    <row r="113" spans="1:66" ht="20" customHeight="1">
      <c r="A113" s="30"/>
      <c r="B113" s="30"/>
      <c r="C113" s="31"/>
      <c r="D113" s="31"/>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row>
    <row r="114" spans="1:66" ht="20" customHeight="1">
      <c r="A114" s="30"/>
      <c r="B114" s="30"/>
      <c r="C114" s="31"/>
      <c r="D114" s="31"/>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row>
    <row r="115" spans="1:66" ht="20" customHeight="1">
      <c r="A115" s="30"/>
      <c r="B115" s="30"/>
      <c r="C115" s="31"/>
      <c r="D115" s="31"/>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row>
    <row r="116" spans="1:66" ht="20" customHeight="1">
      <c r="A116" s="30"/>
      <c r="B116" s="30"/>
      <c r="C116" s="31"/>
      <c r="D116" s="31"/>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row>
    <row r="117" spans="1:66" ht="20" customHeight="1">
      <c r="A117" s="30"/>
      <c r="B117" s="30"/>
      <c r="C117" s="31"/>
      <c r="D117" s="31"/>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row>
    <row r="118" spans="1:66" ht="20" customHeight="1">
      <c r="A118" s="30"/>
      <c r="B118" s="30"/>
      <c r="C118" s="31"/>
      <c r="D118" s="31"/>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row>
    <row r="119" spans="1:66" ht="20" customHeight="1">
      <c r="A119" s="30"/>
      <c r="B119" s="30"/>
      <c r="C119" s="31"/>
      <c r="D119" s="31"/>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row>
    <row r="120" spans="1:66" ht="20" customHeight="1">
      <c r="A120" s="30"/>
      <c r="B120" s="30"/>
      <c r="C120" s="54" t="s">
        <v>527</v>
      </c>
      <c r="D120" s="54"/>
      <c r="E120" s="55"/>
      <c r="F120" s="55"/>
      <c r="G120" s="55"/>
      <c r="H120" s="55"/>
      <c r="I120" s="55"/>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row>
    <row r="121" spans="1:66" ht="30" customHeight="1">
      <c r="A121" s="30"/>
      <c r="B121" s="30"/>
      <c r="C121" s="31" t="s">
        <v>528</v>
      </c>
      <c r="D121" s="31"/>
      <c r="E121" s="32"/>
      <c r="F121" s="32"/>
      <c r="G121" s="32">
        <v>191.73099999999999</v>
      </c>
      <c r="H121" s="32"/>
      <c r="I121" s="50" t="s">
        <v>529</v>
      </c>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row>
    <row r="122" spans="1:66" ht="30" customHeight="1">
      <c r="A122" s="30"/>
      <c r="B122" s="30"/>
      <c r="C122" s="31" t="s">
        <v>530</v>
      </c>
      <c r="D122" s="31"/>
      <c r="E122" s="32"/>
      <c r="F122" s="32"/>
      <c r="G122" s="32">
        <v>1.1599999999999999</v>
      </c>
      <c r="H122" s="32"/>
      <c r="I122" s="50" t="s">
        <v>531</v>
      </c>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row>
    <row r="123" spans="1:66" ht="30" customHeight="1">
      <c r="A123" s="30"/>
      <c r="B123" s="30"/>
      <c r="C123" s="31" t="s">
        <v>532</v>
      </c>
      <c r="D123" s="31"/>
      <c r="E123" s="32"/>
      <c r="F123" s="32"/>
      <c r="G123" s="32">
        <v>9.7799999999999994</v>
      </c>
      <c r="H123" s="32"/>
      <c r="I123" s="50" t="s">
        <v>533</v>
      </c>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row>
    <row r="124" spans="1:66" ht="30" customHeight="1">
      <c r="A124" s="30"/>
      <c r="B124" s="30"/>
      <c r="C124" s="31" t="s">
        <v>534</v>
      </c>
      <c r="D124" s="31"/>
      <c r="E124" s="32"/>
      <c r="F124" s="32"/>
      <c r="G124" s="32">
        <v>0.69199999999999995</v>
      </c>
      <c r="H124" s="32"/>
      <c r="I124" s="50" t="s">
        <v>535</v>
      </c>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row>
    <row r="125" spans="1:66" ht="30" customHeight="1">
      <c r="A125" s="30"/>
      <c r="B125" s="30"/>
      <c r="C125" s="31" t="s">
        <v>536</v>
      </c>
      <c r="D125" s="31"/>
      <c r="E125" s="32"/>
      <c r="F125" s="32"/>
      <c r="G125" s="32">
        <v>11.234999999999999</v>
      </c>
      <c r="H125" s="32"/>
      <c r="I125" s="50" t="s">
        <v>537</v>
      </c>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row>
    <row r="126" spans="1:66" ht="30" customHeight="1">
      <c r="A126" s="30"/>
      <c r="B126" s="30"/>
      <c r="C126" s="31" t="s">
        <v>538</v>
      </c>
      <c r="D126" s="31"/>
      <c r="E126" s="32"/>
      <c r="F126" s="32"/>
      <c r="G126" s="32">
        <v>550</v>
      </c>
      <c r="H126" s="32"/>
      <c r="I126" s="50" t="s">
        <v>539</v>
      </c>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row>
    <row r="127" spans="1:66" ht="30" customHeight="1">
      <c r="A127" s="30"/>
      <c r="B127" s="30"/>
      <c r="C127" s="31" t="s">
        <v>540</v>
      </c>
      <c r="D127" s="31"/>
      <c r="E127" s="32"/>
      <c r="F127" s="32"/>
      <c r="G127" s="32">
        <v>225</v>
      </c>
      <c r="H127" s="32"/>
      <c r="I127" s="50" t="s">
        <v>539</v>
      </c>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row>
    <row r="128" spans="1:66" ht="30" customHeight="1">
      <c r="A128" s="30"/>
      <c r="B128" s="30"/>
      <c r="C128" s="31" t="s">
        <v>541</v>
      </c>
      <c r="D128" s="31"/>
      <c r="E128" s="32"/>
      <c r="F128" s="32"/>
      <c r="G128" s="56">
        <v>5.3600000000000002E-2</v>
      </c>
      <c r="H128" s="32"/>
      <c r="I128" s="50" t="s">
        <v>542</v>
      </c>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row>
    <row r="129" spans="1:66" ht="30" customHeight="1">
      <c r="A129" s="30"/>
      <c r="B129" s="30"/>
      <c r="C129" s="31" t="s">
        <v>543</v>
      </c>
      <c r="D129" s="31"/>
      <c r="E129" s="32"/>
      <c r="F129" s="32"/>
      <c r="G129" s="32">
        <v>110</v>
      </c>
      <c r="H129" s="32"/>
      <c r="I129" s="50" t="s">
        <v>539</v>
      </c>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row>
    <row r="130" spans="1:66" ht="30" customHeight="1">
      <c r="A130" s="30"/>
      <c r="B130" s="30"/>
      <c r="C130" s="31" t="s">
        <v>544</v>
      </c>
      <c r="D130" s="31"/>
      <c r="E130" s="32"/>
      <c r="F130" s="32"/>
      <c r="G130" s="32">
        <v>100</v>
      </c>
      <c r="H130" s="32"/>
      <c r="I130" s="50" t="s">
        <v>545</v>
      </c>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row>
    <row r="131" spans="1:66" ht="30" customHeight="1">
      <c r="A131" s="30"/>
      <c r="B131" s="30"/>
      <c r="C131" s="31" t="s">
        <v>546</v>
      </c>
      <c r="D131" s="31"/>
      <c r="E131" s="32"/>
      <c r="F131" s="32"/>
      <c r="G131" s="32">
        <v>-10</v>
      </c>
      <c r="H131" s="32"/>
      <c r="I131" s="50" t="s">
        <v>547</v>
      </c>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row>
    <row r="132" spans="1:66" ht="30" customHeight="1">
      <c r="A132" s="30"/>
      <c r="B132" s="30"/>
      <c r="C132" s="31" t="s">
        <v>548</v>
      </c>
      <c r="D132" s="31"/>
      <c r="E132" s="32"/>
      <c r="F132" s="32"/>
      <c r="G132" s="32">
        <v>156.1</v>
      </c>
      <c r="H132" s="32"/>
      <c r="I132" s="50" t="s">
        <v>549</v>
      </c>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row>
    <row r="133" spans="1:66" ht="20" customHeight="1">
      <c r="A133" s="30"/>
      <c r="B133" s="30"/>
      <c r="C133" s="31"/>
      <c r="D133" s="31"/>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row>
    <row r="134" spans="1:66" ht="36" customHeight="1">
      <c r="A134" s="30"/>
      <c r="B134" s="30"/>
      <c r="C134" s="31" t="s">
        <v>550</v>
      </c>
      <c r="D134" s="31"/>
      <c r="E134" s="32"/>
      <c r="F134" s="32"/>
      <c r="G134" s="103">
        <v>583.92600000000004</v>
      </c>
      <c r="H134" s="32"/>
      <c r="I134" s="50" t="s">
        <v>551</v>
      </c>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row>
    <row r="135" spans="1:66" ht="36" customHeight="1">
      <c r="A135" s="30"/>
      <c r="B135" s="30"/>
      <c r="C135" s="31" t="s">
        <v>552</v>
      </c>
      <c r="D135" s="31"/>
      <c r="E135" s="32"/>
      <c r="F135" s="32"/>
      <c r="G135" s="103">
        <v>6.3719999999999999</v>
      </c>
      <c r="H135" s="32"/>
      <c r="I135" s="50" t="s">
        <v>553</v>
      </c>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row>
    <row r="136" spans="1:66" ht="36" customHeight="1">
      <c r="A136" s="30"/>
      <c r="B136" s="30"/>
      <c r="C136" s="31" t="s">
        <v>554</v>
      </c>
      <c r="D136" s="31"/>
      <c r="E136" s="32"/>
      <c r="F136" s="32"/>
      <c r="G136" s="103">
        <v>1.4</v>
      </c>
      <c r="H136" s="32"/>
      <c r="I136" s="50" t="s">
        <v>555</v>
      </c>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row>
    <row r="137" spans="1:66" ht="36" customHeight="1">
      <c r="A137" s="30"/>
      <c r="B137" s="30"/>
      <c r="C137" s="31" t="s">
        <v>556</v>
      </c>
      <c r="D137" s="31"/>
      <c r="E137" s="32"/>
      <c r="F137" s="32"/>
      <c r="G137" s="103">
        <v>190.74</v>
      </c>
      <c r="H137" s="32"/>
      <c r="I137" s="50" t="s">
        <v>557</v>
      </c>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row>
    <row r="138" spans="1:66" ht="36" customHeight="1">
      <c r="A138" s="30"/>
      <c r="B138" s="30"/>
      <c r="C138" s="31" t="s">
        <v>558</v>
      </c>
      <c r="D138" s="31"/>
      <c r="E138" s="32"/>
      <c r="F138" s="32"/>
      <c r="G138" s="103">
        <v>196.714</v>
      </c>
      <c r="H138" s="32"/>
      <c r="I138" s="50" t="s">
        <v>559</v>
      </c>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row>
    <row r="139" spans="1:66" ht="36" customHeight="1">
      <c r="A139" s="30"/>
      <c r="B139" s="30"/>
      <c r="C139" s="31" t="s">
        <v>560</v>
      </c>
      <c r="D139" s="31"/>
      <c r="E139" s="32"/>
      <c r="F139" s="32"/>
      <c r="G139" s="103">
        <v>346.99700000000001</v>
      </c>
      <c r="H139" s="32"/>
      <c r="I139" s="50" t="s">
        <v>561</v>
      </c>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row>
    <row r="140" spans="1:66" ht="36" customHeight="1">
      <c r="A140" s="30"/>
      <c r="B140" s="30"/>
      <c r="C140" s="31" t="s">
        <v>562</v>
      </c>
      <c r="D140" s="31"/>
      <c r="E140" s="32"/>
      <c r="F140" s="32"/>
      <c r="G140" s="103">
        <v>153.298</v>
      </c>
      <c r="H140" s="32"/>
      <c r="I140" s="50" t="s">
        <v>563</v>
      </c>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row>
    <row r="141" spans="1:66" ht="36" customHeight="1">
      <c r="A141" s="30"/>
      <c r="B141" s="30"/>
      <c r="C141" s="31" t="s">
        <v>564</v>
      </c>
      <c r="D141" s="31"/>
      <c r="E141" s="32"/>
      <c r="F141" s="32"/>
      <c r="G141" s="103">
        <v>101.41</v>
      </c>
      <c r="H141" s="32"/>
      <c r="I141" s="50" t="s">
        <v>565</v>
      </c>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row>
    <row r="142" spans="1:66" ht="36" customHeight="1">
      <c r="A142" s="30"/>
      <c r="B142" s="30"/>
      <c r="C142" s="31" t="s">
        <v>566</v>
      </c>
      <c r="D142" s="31"/>
      <c r="E142" s="32"/>
      <c r="F142" s="32"/>
      <c r="G142" s="103">
        <v>-1.339</v>
      </c>
      <c r="H142" s="32"/>
      <c r="I142" s="50" t="s">
        <v>567</v>
      </c>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row>
    <row r="143" spans="1:66" ht="36" customHeight="1">
      <c r="A143" s="30"/>
      <c r="B143" s="30"/>
      <c r="C143" s="31" t="s">
        <v>568</v>
      </c>
      <c r="D143" s="31"/>
      <c r="E143" s="32"/>
      <c r="F143" s="32"/>
      <c r="G143" s="103">
        <v>43.027000000000001</v>
      </c>
      <c r="H143" s="32"/>
      <c r="I143" s="50" t="s">
        <v>569</v>
      </c>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row>
    <row r="144" spans="1:66" ht="36" customHeight="1">
      <c r="A144" s="30"/>
      <c r="B144" s="30"/>
      <c r="C144" s="31" t="s">
        <v>570</v>
      </c>
      <c r="D144" s="31"/>
      <c r="E144" s="32"/>
      <c r="F144" s="32"/>
      <c r="G144" s="103">
        <v>60.570999999999998</v>
      </c>
      <c r="H144" s="32"/>
      <c r="I144" s="50" t="s">
        <v>571</v>
      </c>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row>
    <row r="145" spans="1:66" ht="20" customHeight="1">
      <c r="A145" s="30"/>
      <c r="B145" s="30"/>
      <c r="C145" s="31"/>
      <c r="D145" s="31"/>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row>
    <row r="146" spans="1:66" ht="20" customHeight="1">
      <c r="A146" s="30"/>
      <c r="B146" s="30"/>
      <c r="C146" s="31"/>
      <c r="D146" s="31"/>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row>
    <row r="147" spans="1:66" ht="20" customHeight="1">
      <c r="A147" s="30"/>
      <c r="B147" s="30"/>
      <c r="C147" s="31"/>
      <c r="D147" s="31"/>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row>
    <row r="148" spans="1:66" ht="20" customHeight="1">
      <c r="A148" s="30"/>
      <c r="B148" s="30"/>
      <c r="C148" s="31"/>
      <c r="D148" s="31"/>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row>
    <row r="149" spans="1:66" ht="20" customHeight="1">
      <c r="A149" s="30"/>
      <c r="B149" s="30"/>
      <c r="C149" s="31"/>
      <c r="D149" s="31"/>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row>
    <row r="150" spans="1:66" ht="20" customHeight="1">
      <c r="A150" s="30"/>
      <c r="B150" s="30"/>
      <c r="C150" s="31"/>
      <c r="D150" s="31"/>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row>
    <row r="151" spans="1:66" ht="20" customHeight="1">
      <c r="A151" s="30"/>
      <c r="B151" s="30"/>
      <c r="C151" s="31"/>
      <c r="D151" s="31"/>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row>
    <row r="152" spans="1:66" ht="20" customHeight="1">
      <c r="A152" s="30"/>
      <c r="B152" s="30"/>
      <c r="C152" s="31"/>
      <c r="D152" s="31"/>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row>
    <row r="153" spans="1:66" ht="20" customHeight="1">
      <c r="A153" s="30"/>
      <c r="B153" s="30"/>
      <c r="C153" s="31"/>
      <c r="D153" s="31"/>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row>
    <row r="154" spans="1:66" ht="20" customHeight="1">
      <c r="A154" s="30"/>
      <c r="B154" s="30"/>
      <c r="C154" s="31"/>
      <c r="D154" s="31"/>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row>
    <row r="155" spans="1:66" ht="20" customHeight="1">
      <c r="A155" s="30"/>
      <c r="B155" s="30"/>
      <c r="C155" s="31"/>
      <c r="D155" s="31"/>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row>
    <row r="156" spans="1:66" ht="20" customHeight="1">
      <c r="A156" s="30"/>
      <c r="B156" s="30"/>
      <c r="C156" s="31"/>
      <c r="D156" s="31"/>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row>
    <row r="157" spans="1:66" ht="20" customHeight="1">
      <c r="A157" s="30"/>
      <c r="B157" s="30"/>
      <c r="C157" s="31"/>
      <c r="D157" s="31"/>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row>
    <row r="158" spans="1:66" ht="20" customHeight="1">
      <c r="A158" s="30"/>
      <c r="B158" s="30"/>
      <c r="C158" s="31"/>
      <c r="D158" s="31"/>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row>
    <row r="159" spans="1:66" ht="20" customHeight="1">
      <c r="A159" s="30"/>
      <c r="B159" s="30"/>
      <c r="C159" s="31"/>
      <c r="D159" s="31"/>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row>
    <row r="160" spans="1:66" ht="20" customHeight="1">
      <c r="A160" s="30"/>
      <c r="B160" s="30"/>
      <c r="C160" s="31"/>
      <c r="D160" s="31"/>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row>
    <row r="161" spans="1:66" ht="20" customHeight="1">
      <c r="A161" s="30"/>
      <c r="B161" s="30"/>
      <c r="C161" s="31"/>
      <c r="D161" s="31"/>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row>
    <row r="162" spans="1:66" ht="20" customHeight="1">
      <c r="A162" s="30"/>
      <c r="B162" s="30"/>
      <c r="C162" s="31"/>
      <c r="D162" s="31"/>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row>
    <row r="163" spans="1:66" ht="20" customHeight="1">
      <c r="A163" s="30"/>
      <c r="B163" s="30"/>
      <c r="C163" s="31"/>
      <c r="D163" s="31"/>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row>
    <row r="164" spans="1:66" ht="20" customHeight="1">
      <c r="A164" s="30"/>
      <c r="B164" s="30"/>
      <c r="C164" s="31"/>
      <c r="D164" s="31"/>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row>
    <row r="165" spans="1:66" ht="20" customHeight="1">
      <c r="A165" s="30"/>
      <c r="B165" s="30"/>
      <c r="C165" s="31"/>
      <c r="D165" s="31"/>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row>
    <row r="166" spans="1:66" ht="20" customHeight="1">
      <c r="A166" s="30"/>
      <c r="B166" s="30"/>
      <c r="C166" s="31"/>
      <c r="D166" s="31"/>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row>
    <row r="167" spans="1:66" ht="20" customHeight="1">
      <c r="A167" s="30"/>
      <c r="B167" s="30"/>
      <c r="C167" s="31"/>
      <c r="D167" s="31"/>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row>
    <row r="168" spans="1:66" ht="20" customHeight="1">
      <c r="A168" s="30"/>
      <c r="B168" s="30"/>
      <c r="C168" s="31"/>
      <c r="D168" s="31"/>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row>
    <row r="169" spans="1:66" ht="20" customHeight="1">
      <c r="A169" s="30"/>
      <c r="B169" s="30"/>
      <c r="C169" s="31"/>
      <c r="D169" s="31"/>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row>
    <row r="170" spans="1:66" ht="20" customHeight="1">
      <c r="A170" s="30"/>
      <c r="B170" s="30"/>
      <c r="C170" s="31"/>
      <c r="D170" s="31"/>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row>
    <row r="171" spans="1:66" ht="20" customHeight="1">
      <c r="A171" s="30"/>
      <c r="B171" s="30"/>
      <c r="C171" s="31"/>
      <c r="D171" s="31"/>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row>
    <row r="172" spans="1:66" ht="20" customHeight="1">
      <c r="A172" s="30"/>
      <c r="B172" s="30"/>
      <c r="C172" s="31"/>
      <c r="D172" s="31"/>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row>
    <row r="173" spans="1:66" ht="20" customHeight="1">
      <c r="A173" s="30"/>
      <c r="B173" s="30"/>
      <c r="C173" s="31"/>
      <c r="D173" s="31"/>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row>
    <row r="174" spans="1:66" ht="20" customHeight="1">
      <c r="A174" s="30"/>
      <c r="B174" s="30"/>
      <c r="C174" s="31"/>
      <c r="D174" s="31"/>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row>
    <row r="175" spans="1:66" ht="20" customHeight="1">
      <c r="A175" s="30"/>
      <c r="B175" s="30"/>
      <c r="C175" s="31"/>
      <c r="D175" s="31"/>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row>
    <row r="176" spans="1:66" ht="20" customHeight="1">
      <c r="A176" s="30"/>
      <c r="B176" s="30"/>
      <c r="C176" s="31"/>
      <c r="D176" s="31"/>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row>
    <row r="177" spans="1:66" ht="20" customHeight="1">
      <c r="A177" s="30"/>
      <c r="B177" s="30"/>
      <c r="C177" s="31"/>
      <c r="D177" s="31"/>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row>
    <row r="178" spans="1:66" ht="20" customHeight="1">
      <c r="A178" s="30"/>
      <c r="B178" s="30"/>
      <c r="C178" s="31"/>
      <c r="D178" s="31"/>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row>
    <row r="179" spans="1:66" ht="20" customHeight="1">
      <c r="A179" s="30"/>
      <c r="B179" s="30"/>
      <c r="C179" s="31"/>
      <c r="D179" s="31"/>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row>
    <row r="180" spans="1:66" ht="20" customHeight="1">
      <c r="A180" s="30"/>
      <c r="B180" s="30"/>
      <c r="C180" s="31"/>
      <c r="D180" s="31"/>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row>
    <row r="181" spans="1:66" ht="20" customHeight="1">
      <c r="A181" s="30"/>
      <c r="B181" s="30"/>
      <c r="C181" s="31"/>
      <c r="D181" s="31"/>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row>
    <row r="182" spans="1:66" ht="20" customHeight="1">
      <c r="A182" s="30"/>
      <c r="B182" s="30"/>
      <c r="C182" s="31"/>
      <c r="D182" s="31"/>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row>
    <row r="183" spans="1:66" ht="20" customHeight="1">
      <c r="A183" s="30"/>
      <c r="B183" s="30"/>
      <c r="C183" s="31"/>
      <c r="D183" s="31"/>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row>
    <row r="184" spans="1:66" ht="20" customHeight="1">
      <c r="A184" s="30"/>
      <c r="B184" s="30"/>
      <c r="C184" s="31"/>
      <c r="D184" s="31"/>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row>
    <row r="185" spans="1:66" ht="20" customHeight="1">
      <c r="A185" s="30"/>
      <c r="B185" s="30"/>
      <c r="C185" s="31"/>
      <c r="D185" s="31"/>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row>
    <row r="186" spans="1:66" ht="20" customHeight="1">
      <c r="A186" s="30"/>
      <c r="B186" s="30"/>
      <c r="C186" s="31"/>
      <c r="D186" s="31"/>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row>
    <row r="187" spans="1:66" ht="20" customHeight="1">
      <c r="A187" s="30"/>
      <c r="B187" s="30"/>
      <c r="C187" s="31"/>
      <c r="D187" s="31"/>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row>
    <row r="188" spans="1:66" ht="20" customHeight="1">
      <c r="A188" s="30"/>
      <c r="B188" s="30"/>
      <c r="C188" s="31"/>
      <c r="D188" s="31"/>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row>
    <row r="189" spans="1:66" ht="20" customHeight="1">
      <c r="A189" s="30"/>
      <c r="B189" s="30"/>
      <c r="C189" s="31"/>
      <c r="D189" s="31"/>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row>
    <row r="190" spans="1:66" ht="20" customHeight="1">
      <c r="A190" s="30"/>
      <c r="B190" s="30"/>
      <c r="C190" s="31"/>
      <c r="D190" s="31"/>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row>
    <row r="191" spans="1:66" ht="20" customHeight="1">
      <c r="A191" s="30"/>
      <c r="B191" s="30"/>
      <c r="C191" s="31"/>
      <c r="D191" s="31"/>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row>
    <row r="192" spans="1:66" ht="20" customHeight="1">
      <c r="A192" s="30"/>
      <c r="B192" s="30"/>
      <c r="C192" s="31"/>
      <c r="D192" s="31"/>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row>
    <row r="193" spans="1:66" ht="20" customHeight="1">
      <c r="A193" s="30"/>
      <c r="B193" s="30"/>
      <c r="C193" s="31"/>
      <c r="D193" s="31"/>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row>
    <row r="194" spans="1:66" ht="20" customHeight="1">
      <c r="A194" s="30"/>
      <c r="B194" s="30"/>
      <c r="C194" s="31"/>
      <c r="D194" s="31"/>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row>
    <row r="195" spans="1:66" ht="20" customHeight="1">
      <c r="A195" s="30"/>
      <c r="B195" s="30"/>
      <c r="C195" s="31"/>
      <c r="D195" s="31"/>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row>
    <row r="196" spans="1:66" ht="20" customHeight="1">
      <c r="A196" s="30"/>
      <c r="B196" s="30"/>
      <c r="C196" s="31"/>
      <c r="D196" s="31"/>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row>
    <row r="197" spans="1:66" ht="20" customHeight="1">
      <c r="A197" s="30"/>
      <c r="B197" s="30"/>
      <c r="C197" s="31"/>
      <c r="D197" s="31"/>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row>
    <row r="198" spans="1:66" ht="20" customHeight="1">
      <c r="A198" s="30"/>
      <c r="B198" s="30"/>
      <c r="C198" s="31"/>
      <c r="D198" s="31"/>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row>
    <row r="199" spans="1:66" ht="20" customHeight="1">
      <c r="A199" s="30"/>
      <c r="B199" s="30"/>
      <c r="C199" s="31"/>
      <c r="D199" s="31"/>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row>
    <row r="200" spans="1:66" ht="20" customHeight="1">
      <c r="A200" s="30"/>
      <c r="B200" s="30"/>
      <c r="C200" s="31"/>
      <c r="D200" s="31"/>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607483"/>
  </sheetPr>
  <dimension ref="C1:BN200"/>
  <sheetViews>
    <sheetView showGridLines="0" workbookViewId="0">
      <pane xSplit="4" ySplit="7" topLeftCell="E8" activePane="bottomRight" state="frozen"/>
      <selection pane="topRight"/>
      <selection pane="bottomLeft"/>
      <selection pane="bottomRight" activeCell="E8" sqref="E8"/>
    </sheetView>
  </sheetViews>
  <sheetFormatPr baseColWidth="10" defaultColWidth="8.83203125" defaultRowHeight="14"/>
  <cols>
    <col min="1" max="2" width="2" customWidth="1"/>
    <col min="3" max="3" width="48" customWidth="1"/>
    <col min="4" max="4" width="3" customWidth="1"/>
    <col min="5" max="6" width="85" customWidth="1"/>
    <col min="7" max="66" width="14" customWidth="1"/>
  </cols>
  <sheetData>
    <row r="1" spans="3:66" ht="20" customHeight="1">
      <c r="C1" s="1"/>
      <c r="D1" s="1"/>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row>
    <row r="2" spans="3:66" ht="20" customHeight="1">
      <c r="C2" s="3" t="s">
        <v>572</v>
      </c>
      <c r="D2" s="1"/>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row>
    <row r="3" spans="3:66" ht="20" customHeight="1">
      <c r="C3" s="4" t="s">
        <v>49</v>
      </c>
      <c r="D3" s="1"/>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row>
    <row r="4" spans="3:66" ht="20" customHeight="1">
      <c r="C4" s="1" t="s">
        <v>2</v>
      </c>
      <c r="D4" s="1"/>
      <c r="E4" s="5" t="str">
        <f>CHOOSE(Assumptions!$E$5,"Base","Downside","Upside")</f>
        <v>Base</v>
      </c>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row>
    <row r="5" spans="3:66" ht="20" customHeight="1">
      <c r="C5" s="1"/>
      <c r="D5" s="1"/>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row>
    <row r="6" spans="3:66" ht="20" customHeight="1">
      <c r="C6" s="1"/>
      <c r="D6" s="1"/>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row>
    <row r="7" spans="3:66" ht="24" customHeight="1">
      <c r="C7" s="10" t="s">
        <v>573</v>
      </c>
      <c r="D7" s="10"/>
      <c r="E7" s="11" t="s">
        <v>574</v>
      </c>
      <c r="F7" s="11" t="s">
        <v>575</v>
      </c>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2"/>
      <c r="BN7" s="2"/>
    </row>
    <row r="8" spans="3:66" ht="65" customHeight="1">
      <c r="C8" s="12" t="s">
        <v>576</v>
      </c>
      <c r="D8" s="12"/>
      <c r="E8" s="13" t="s">
        <v>577</v>
      </c>
      <c r="F8" s="13" t="s">
        <v>578</v>
      </c>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row>
    <row r="9" spans="3:66" ht="65" customHeight="1">
      <c r="C9" s="12" t="s">
        <v>579</v>
      </c>
      <c r="D9" s="12"/>
      <c r="E9" s="13" t="s">
        <v>580</v>
      </c>
      <c r="F9" s="13" t="s">
        <v>581</v>
      </c>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row>
    <row r="10" spans="3:66" ht="65" customHeight="1">
      <c r="C10" s="12" t="s">
        <v>582</v>
      </c>
      <c r="D10" s="12"/>
      <c r="E10" s="13" t="s">
        <v>583</v>
      </c>
      <c r="F10" s="13" t="s">
        <v>584</v>
      </c>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row>
    <row r="11" spans="3:66" ht="65" customHeight="1">
      <c r="C11" s="12" t="s">
        <v>585</v>
      </c>
      <c r="D11" s="12"/>
      <c r="E11" s="13" t="s">
        <v>586</v>
      </c>
      <c r="F11" s="13" t="s">
        <v>587</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row>
    <row r="12" spans="3:66" ht="65" customHeight="1">
      <c r="C12" s="12" t="s">
        <v>588</v>
      </c>
      <c r="D12" s="12"/>
      <c r="E12" s="13" t="s">
        <v>589</v>
      </c>
      <c r="F12" s="13" t="s">
        <v>590</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row>
    <row r="13" spans="3:66" ht="65" customHeight="1">
      <c r="C13" s="12" t="s">
        <v>591</v>
      </c>
      <c r="D13" s="12"/>
      <c r="E13" s="13" t="s">
        <v>592</v>
      </c>
      <c r="F13" s="13" t="s">
        <v>593</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row>
    <row r="14" spans="3:66" ht="65" customHeight="1">
      <c r="C14" s="12" t="s">
        <v>594</v>
      </c>
      <c r="D14" s="12"/>
      <c r="E14" s="13" t="s">
        <v>595</v>
      </c>
      <c r="F14" s="13" t="s">
        <v>596</v>
      </c>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row>
    <row r="15" spans="3:66" ht="65" customHeight="1">
      <c r="C15" s="12" t="s">
        <v>597</v>
      </c>
      <c r="D15" s="12"/>
      <c r="E15" s="13" t="s">
        <v>598</v>
      </c>
      <c r="F15" s="13" t="s">
        <v>599</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row>
    <row r="16" spans="3:66" ht="65" customHeight="1">
      <c r="C16" s="12" t="s">
        <v>600</v>
      </c>
      <c r="D16" s="12"/>
      <c r="E16" s="13" t="s">
        <v>601</v>
      </c>
      <c r="F16" s="13" t="s">
        <v>602</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row>
    <row r="17" spans="3:66" ht="65" customHeight="1">
      <c r="C17" s="12" t="s">
        <v>603</v>
      </c>
      <c r="D17" s="12"/>
      <c r="E17" s="13" t="s">
        <v>604</v>
      </c>
      <c r="F17" s="13" t="s">
        <v>605</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row>
    <row r="18" spans="3:66" ht="65" customHeight="1">
      <c r="C18" s="12" t="s">
        <v>606</v>
      </c>
      <c r="D18" s="12"/>
      <c r="E18" s="13" t="s">
        <v>607</v>
      </c>
      <c r="F18" s="13" t="s">
        <v>608</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row>
    <row r="19" spans="3:66" ht="65" customHeight="1">
      <c r="C19" s="12" t="s">
        <v>609</v>
      </c>
      <c r="D19" s="12"/>
      <c r="E19" s="13" t="s">
        <v>610</v>
      </c>
      <c r="F19" s="13" t="s">
        <v>611</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row>
    <row r="20" spans="3:66" ht="65" customHeight="1">
      <c r="C20" s="12" t="s">
        <v>612</v>
      </c>
      <c r="D20" s="12"/>
      <c r="E20" s="13" t="s">
        <v>613</v>
      </c>
      <c r="F20" s="13" t="s">
        <v>614</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row>
    <row r="21" spans="3:66" ht="65" customHeight="1">
      <c r="C21" s="12" t="s">
        <v>615</v>
      </c>
      <c r="D21" s="12"/>
      <c r="E21" s="13" t="s">
        <v>616</v>
      </c>
      <c r="F21" s="13" t="s">
        <v>617</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row>
    <row r="22" spans="3:66" ht="65" customHeight="1">
      <c r="C22" s="12" t="s">
        <v>618</v>
      </c>
      <c r="D22" s="12"/>
      <c r="E22" s="13" t="s">
        <v>619</v>
      </c>
      <c r="F22" s="13" t="s">
        <v>620</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row>
    <row r="23" spans="3:66" ht="65" customHeight="1">
      <c r="C23" s="12" t="s">
        <v>621</v>
      </c>
      <c r="D23" s="12"/>
      <c r="E23" s="13" t="s">
        <v>622</v>
      </c>
      <c r="F23" s="13" t="s">
        <v>623</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row>
    <row r="24" spans="3:66" ht="65" customHeight="1">
      <c r="C24" s="12" t="s">
        <v>624</v>
      </c>
      <c r="D24" s="12"/>
      <c r="E24" s="13" t="s">
        <v>625</v>
      </c>
      <c r="F24" s="13" t="s">
        <v>626</v>
      </c>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row>
    <row r="25" spans="3:66" ht="65" customHeight="1">
      <c r="C25" s="12" t="s">
        <v>627</v>
      </c>
      <c r="D25" s="12"/>
      <c r="E25" s="13" t="s">
        <v>628</v>
      </c>
      <c r="F25" s="13" t="s">
        <v>629</v>
      </c>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row>
    <row r="26" spans="3:66" ht="65" customHeight="1">
      <c r="C26" s="12" t="s">
        <v>630</v>
      </c>
      <c r="D26" s="12"/>
      <c r="E26" s="13" t="s">
        <v>631</v>
      </c>
      <c r="F26" s="13" t="s">
        <v>632</v>
      </c>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row>
    <row r="27" spans="3:66" ht="65" customHeight="1">
      <c r="C27" s="12" t="s">
        <v>633</v>
      </c>
      <c r="D27" s="12"/>
      <c r="E27" s="13" t="s">
        <v>634</v>
      </c>
      <c r="F27" s="13" t="s">
        <v>635</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row>
    <row r="28" spans="3:66" ht="65" customHeight="1">
      <c r="C28" s="12" t="s">
        <v>636</v>
      </c>
      <c r="D28" s="12"/>
      <c r="E28" s="13" t="s">
        <v>637</v>
      </c>
      <c r="F28" s="13" t="s">
        <v>638</v>
      </c>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row>
    <row r="29" spans="3:66" ht="65" customHeight="1">
      <c r="C29" s="12" t="s">
        <v>639</v>
      </c>
      <c r="D29" s="12"/>
      <c r="E29" s="13" t="s">
        <v>640</v>
      </c>
      <c r="F29" s="13" t="s">
        <v>641</v>
      </c>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row>
    <row r="30" spans="3:66" ht="65" customHeight="1">
      <c r="C30" s="12" t="s">
        <v>642</v>
      </c>
      <c r="D30" s="12"/>
      <c r="E30" s="13" t="s">
        <v>643</v>
      </c>
      <c r="F30" s="13" t="s">
        <v>644</v>
      </c>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row>
    <row r="31" spans="3:66" ht="65" customHeight="1">
      <c r="C31" s="12" t="s">
        <v>645</v>
      </c>
      <c r="D31" s="12"/>
      <c r="E31" s="13" t="s">
        <v>646</v>
      </c>
      <c r="F31" s="13" t="s">
        <v>647</v>
      </c>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row>
    <row r="32" spans="3:66" ht="65" customHeight="1">
      <c r="C32" s="12" t="s">
        <v>648</v>
      </c>
      <c r="D32" s="12"/>
      <c r="E32" s="13" t="s">
        <v>649</v>
      </c>
      <c r="F32" s="13" t="s">
        <v>650</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row>
    <row r="33" spans="3:66" ht="65" customHeight="1">
      <c r="C33" s="12" t="s">
        <v>651</v>
      </c>
      <c r="D33" s="12"/>
      <c r="E33" s="13" t="s">
        <v>652</v>
      </c>
      <c r="F33" s="13" t="s">
        <v>653</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row>
    <row r="34" spans="3:66" ht="65" customHeight="1">
      <c r="C34" s="12" t="s">
        <v>654</v>
      </c>
      <c r="D34" s="12"/>
      <c r="E34" s="13" t="s">
        <v>655</v>
      </c>
      <c r="F34" s="13" t="s">
        <v>656</v>
      </c>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row>
    <row r="35" spans="3:66" ht="65" customHeight="1">
      <c r="C35" s="12" t="s">
        <v>657</v>
      </c>
      <c r="D35" s="12"/>
      <c r="E35" s="13" t="s">
        <v>658</v>
      </c>
      <c r="F35" s="13" t="s">
        <v>659</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row>
    <row r="36" spans="3:66" ht="65" customHeight="1">
      <c r="C36" s="12" t="s">
        <v>660</v>
      </c>
      <c r="D36" s="12"/>
      <c r="E36" s="13" t="s">
        <v>661</v>
      </c>
      <c r="F36" s="13" t="s">
        <v>662</v>
      </c>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row>
    <row r="37" spans="3:66" ht="65" customHeight="1">
      <c r="C37" s="12" t="s">
        <v>663</v>
      </c>
      <c r="D37" s="12"/>
      <c r="E37" s="13" t="s">
        <v>664</v>
      </c>
      <c r="F37" s="13" t="s">
        <v>665</v>
      </c>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row>
    <row r="38" spans="3:66" ht="65" customHeight="1">
      <c r="C38" s="12" t="s">
        <v>666</v>
      </c>
      <c r="D38" s="12"/>
      <c r="E38" s="13" t="s">
        <v>667</v>
      </c>
      <c r="F38" s="13" t="s">
        <v>668</v>
      </c>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row>
    <row r="39" spans="3:66" ht="65" customHeight="1">
      <c r="C39" s="12" t="s">
        <v>669</v>
      </c>
      <c r="D39" s="12"/>
      <c r="E39" s="13" t="s">
        <v>670</v>
      </c>
      <c r="F39" s="13" t="s">
        <v>671</v>
      </c>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row>
    <row r="40" spans="3:66" ht="65" customHeight="1">
      <c r="C40" s="12" t="s">
        <v>672</v>
      </c>
      <c r="D40" s="12"/>
      <c r="E40" s="13" t="s">
        <v>673</v>
      </c>
      <c r="F40" s="13" t="s">
        <v>674</v>
      </c>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row>
    <row r="41" spans="3:66" ht="65" customHeight="1">
      <c r="C41" s="12" t="s">
        <v>675</v>
      </c>
      <c r="D41" s="12"/>
      <c r="E41" s="13" t="s">
        <v>676</v>
      </c>
      <c r="F41" s="13" t="s">
        <v>677</v>
      </c>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row>
    <row r="42" spans="3:66" ht="65" customHeight="1">
      <c r="C42" s="12" t="s">
        <v>678</v>
      </c>
      <c r="D42" s="12"/>
      <c r="E42" s="13" t="s">
        <v>679</v>
      </c>
      <c r="F42" s="13" t="s">
        <v>680</v>
      </c>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row>
    <row r="43" spans="3:66" ht="65" customHeight="1">
      <c r="C43" s="12" t="s">
        <v>681</v>
      </c>
      <c r="D43" s="12"/>
      <c r="E43" s="13" t="s">
        <v>682</v>
      </c>
      <c r="F43" s="13" t="s">
        <v>683</v>
      </c>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row>
    <row r="44" spans="3:66" ht="65" customHeight="1">
      <c r="C44" s="12" t="s">
        <v>684</v>
      </c>
      <c r="D44" s="12"/>
      <c r="E44" s="13" t="s">
        <v>685</v>
      </c>
      <c r="F44" s="13" t="s">
        <v>686</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row>
    <row r="45" spans="3:66" ht="65" customHeight="1">
      <c r="C45" s="12" t="s">
        <v>687</v>
      </c>
      <c r="D45" s="12"/>
      <c r="E45" s="13" t="s">
        <v>688</v>
      </c>
      <c r="F45" s="13" t="s">
        <v>689</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row>
    <row r="46" spans="3:66" ht="65" customHeight="1">
      <c r="C46" s="12" t="s">
        <v>690</v>
      </c>
      <c r="D46" s="12"/>
      <c r="E46" s="13" t="s">
        <v>691</v>
      </c>
      <c r="F46" s="13" t="s">
        <v>692</v>
      </c>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row>
    <row r="47" spans="3:66" ht="65" customHeight="1">
      <c r="C47" s="12" t="s">
        <v>693</v>
      </c>
      <c r="D47" s="12"/>
      <c r="E47" s="13" t="s">
        <v>694</v>
      </c>
      <c r="F47" s="13" t="s">
        <v>695</v>
      </c>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row>
    <row r="48" spans="3:66" ht="65" customHeight="1">
      <c r="C48" s="12" t="s">
        <v>696</v>
      </c>
      <c r="D48" s="12"/>
      <c r="E48" s="13" t="s">
        <v>697</v>
      </c>
      <c r="F48" s="13" t="s">
        <v>698</v>
      </c>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row>
    <row r="49" spans="3:66" ht="65" customHeight="1">
      <c r="C49" s="12" t="s">
        <v>699</v>
      </c>
      <c r="D49" s="12"/>
      <c r="E49" s="13" t="s">
        <v>700</v>
      </c>
      <c r="F49" s="13" t="s">
        <v>701</v>
      </c>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row>
    <row r="50" spans="3:66" ht="65" customHeight="1">
      <c r="C50" s="12" t="s">
        <v>702</v>
      </c>
      <c r="D50" s="12"/>
      <c r="E50" s="13" t="s">
        <v>703</v>
      </c>
      <c r="F50" s="13" t="s">
        <v>704</v>
      </c>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row>
    <row r="51" spans="3:66" ht="65" customHeight="1">
      <c r="C51" s="12" t="s">
        <v>705</v>
      </c>
      <c r="D51" s="12"/>
      <c r="E51" s="13" t="s">
        <v>706</v>
      </c>
      <c r="F51" s="13" t="s">
        <v>707</v>
      </c>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row>
    <row r="52" spans="3:66" ht="65" customHeight="1">
      <c r="C52" s="12" t="s">
        <v>708</v>
      </c>
      <c r="D52" s="12"/>
      <c r="E52" s="13" t="s">
        <v>709</v>
      </c>
      <c r="F52" s="13" t="s">
        <v>710</v>
      </c>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row>
    <row r="53" spans="3:66" ht="65" customHeight="1">
      <c r="C53" s="12" t="s">
        <v>711</v>
      </c>
      <c r="D53" s="12"/>
      <c r="E53" s="13" t="s">
        <v>712</v>
      </c>
      <c r="F53" s="13" t="s">
        <v>713</v>
      </c>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row>
    <row r="54" spans="3:66" ht="65" customHeight="1">
      <c r="C54" s="12" t="s">
        <v>714</v>
      </c>
      <c r="D54" s="12"/>
      <c r="E54" s="13" t="s">
        <v>715</v>
      </c>
      <c r="F54" s="13" t="s">
        <v>716</v>
      </c>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row>
    <row r="55" spans="3:66" ht="65" customHeight="1">
      <c r="C55" s="12" t="s">
        <v>717</v>
      </c>
      <c r="D55" s="12"/>
      <c r="E55" s="13" t="s">
        <v>718</v>
      </c>
      <c r="F55" s="13" t="s">
        <v>719</v>
      </c>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row>
    <row r="56" spans="3:66" ht="65" customHeight="1">
      <c r="C56" s="12" t="s">
        <v>720</v>
      </c>
      <c r="D56" s="12"/>
      <c r="E56" s="13" t="s">
        <v>721</v>
      </c>
      <c r="F56" s="13" t="s">
        <v>722</v>
      </c>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row>
    <row r="57" spans="3:66" ht="65" customHeight="1">
      <c r="C57" s="12" t="s">
        <v>723</v>
      </c>
      <c r="D57" s="12"/>
      <c r="E57" s="13" t="s">
        <v>724</v>
      </c>
      <c r="F57" s="13" t="s">
        <v>725</v>
      </c>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row>
    <row r="58" spans="3:66" ht="65" customHeight="1">
      <c r="C58" s="12" t="s">
        <v>726</v>
      </c>
      <c r="D58" s="12"/>
      <c r="E58" s="13" t="s">
        <v>727</v>
      </c>
      <c r="F58" s="13" t="s">
        <v>728</v>
      </c>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row>
    <row r="59" spans="3:66" ht="65" customHeight="1">
      <c r="C59" s="12" t="s">
        <v>729</v>
      </c>
      <c r="D59" s="12"/>
      <c r="E59" s="13" t="s">
        <v>730</v>
      </c>
      <c r="F59" s="13" t="s">
        <v>731</v>
      </c>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row>
    <row r="60" spans="3:66" ht="65" customHeight="1">
      <c r="C60" s="12" t="s">
        <v>732</v>
      </c>
      <c r="D60" s="12"/>
      <c r="E60" s="13" t="s">
        <v>733</v>
      </c>
      <c r="F60" s="13" t="s">
        <v>734</v>
      </c>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row>
    <row r="61" spans="3:66" ht="65" customHeight="1">
      <c r="C61" s="12" t="s">
        <v>735</v>
      </c>
      <c r="D61" s="12"/>
      <c r="E61" s="13" t="s">
        <v>736</v>
      </c>
      <c r="F61" s="13" t="s">
        <v>737</v>
      </c>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row>
    <row r="62" spans="3:66" ht="65" customHeight="1">
      <c r="C62" s="12" t="s">
        <v>738</v>
      </c>
      <c r="D62" s="12"/>
      <c r="E62" s="13" t="s">
        <v>739</v>
      </c>
      <c r="F62" s="13" t="s">
        <v>740</v>
      </c>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row>
    <row r="63" spans="3:66" ht="65" customHeight="1">
      <c r="C63" s="12" t="s">
        <v>741</v>
      </c>
      <c r="D63" s="12"/>
      <c r="E63" s="13" t="s">
        <v>742</v>
      </c>
      <c r="F63" s="13" t="s">
        <v>743</v>
      </c>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row>
    <row r="64" spans="3:66" ht="65" customHeight="1">
      <c r="C64" s="12" t="s">
        <v>744</v>
      </c>
      <c r="D64" s="12"/>
      <c r="E64" s="13" t="s">
        <v>745</v>
      </c>
      <c r="F64" s="13" t="s">
        <v>746</v>
      </c>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row>
    <row r="65" spans="3:66" ht="65" customHeight="1">
      <c r="C65" s="12"/>
      <c r="D65" s="12"/>
      <c r="E65" s="13"/>
      <c r="F65" s="13"/>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row>
    <row r="66" spans="3:66" ht="20" customHeight="1">
      <c r="C66" s="1"/>
      <c r="D66" s="1"/>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row>
    <row r="67" spans="3:66" ht="20" customHeight="1">
      <c r="C67" s="1"/>
      <c r="D67" s="1"/>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row>
    <row r="68" spans="3:66" ht="20" customHeight="1">
      <c r="C68" s="1"/>
      <c r="D68" s="1"/>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row>
    <row r="69" spans="3:66" ht="20" customHeight="1">
      <c r="C69" s="1"/>
      <c r="D69" s="1"/>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row>
    <row r="70" spans="3:66" ht="20" customHeight="1">
      <c r="C70" s="1"/>
      <c r="D70" s="1"/>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row>
    <row r="71" spans="3:66" ht="20" customHeight="1">
      <c r="C71" s="1"/>
      <c r="D71" s="1"/>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row>
    <row r="72" spans="3:66" ht="20" customHeight="1">
      <c r="C72" s="1"/>
      <c r="D72" s="1"/>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row>
    <row r="73" spans="3:66" ht="20" customHeight="1">
      <c r="C73" s="1"/>
      <c r="D73" s="1"/>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row>
    <row r="74" spans="3:66" ht="20" customHeight="1">
      <c r="C74" s="1"/>
      <c r="D74" s="1"/>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row>
    <row r="75" spans="3:66" ht="20" customHeight="1">
      <c r="C75" s="1"/>
      <c r="D75" s="1"/>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row>
    <row r="76" spans="3:66" ht="20" customHeight="1">
      <c r="C76" s="1"/>
      <c r="D76" s="1"/>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row>
    <row r="77" spans="3:66" ht="20" customHeight="1">
      <c r="C77" s="1"/>
      <c r="D77" s="1"/>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row>
    <row r="78" spans="3:66" ht="20" customHeight="1">
      <c r="C78" s="1"/>
      <c r="D78" s="1"/>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row>
    <row r="79" spans="3:66" ht="20" customHeight="1">
      <c r="C79" s="1"/>
      <c r="D79" s="1"/>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row>
    <row r="80" spans="3:66" ht="20" customHeight="1">
      <c r="C80" s="1"/>
      <c r="D80" s="1"/>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row>
    <row r="81" spans="3:66" ht="20" customHeight="1">
      <c r="C81" s="1"/>
      <c r="D81" s="1"/>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row>
    <row r="82" spans="3:66" ht="20" customHeight="1">
      <c r="C82" s="1"/>
      <c r="D82" s="1"/>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row>
    <row r="83" spans="3:66" ht="20" customHeight="1">
      <c r="C83" s="1"/>
      <c r="D83" s="1"/>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row>
    <row r="84" spans="3:66" ht="20" customHeight="1">
      <c r="C84" s="1"/>
      <c r="D84" s="1"/>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row>
    <row r="85" spans="3:66" ht="20" customHeight="1">
      <c r="C85" s="1"/>
      <c r="D85" s="1"/>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row>
    <row r="86" spans="3:66" ht="20" customHeight="1">
      <c r="C86" s="1"/>
      <c r="D86" s="1"/>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row>
    <row r="87" spans="3:66" ht="20" customHeight="1">
      <c r="C87" s="1"/>
      <c r="D87" s="1"/>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row>
    <row r="88" spans="3:66" ht="20" customHeight="1">
      <c r="C88" s="1"/>
      <c r="D88" s="1"/>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row>
    <row r="89" spans="3:66" ht="20" customHeight="1">
      <c r="C89" s="1"/>
      <c r="D89" s="1"/>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row>
    <row r="90" spans="3:66" ht="20" customHeight="1">
      <c r="C90" s="1"/>
      <c r="D90" s="1"/>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row>
    <row r="91" spans="3:66" ht="20" customHeight="1">
      <c r="C91" s="1"/>
      <c r="D91" s="1"/>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row>
    <row r="92" spans="3:66" ht="20" customHeight="1">
      <c r="C92" s="1"/>
      <c r="D92" s="1"/>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row>
    <row r="93" spans="3:66" ht="20" customHeight="1">
      <c r="C93" s="1"/>
      <c r="D93" s="1"/>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row>
    <row r="94" spans="3:66" ht="20" customHeight="1">
      <c r="C94" s="1"/>
      <c r="D94" s="1"/>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row>
    <row r="95" spans="3:66" ht="20" customHeight="1">
      <c r="C95" s="1"/>
      <c r="D95" s="1"/>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row>
    <row r="96" spans="3:66" ht="20" customHeight="1">
      <c r="C96" s="1"/>
      <c r="D96" s="1"/>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row>
    <row r="97" spans="3:66" ht="20" customHeight="1">
      <c r="C97" s="1"/>
      <c r="D97" s="1"/>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row>
    <row r="98" spans="3:66" ht="20" customHeight="1">
      <c r="C98" s="1"/>
      <c r="D98" s="1"/>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row>
    <row r="99" spans="3:66" ht="20" customHeight="1">
      <c r="C99" s="1"/>
      <c r="D99" s="1"/>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row>
    <row r="100" spans="3:66" ht="20" customHeight="1">
      <c r="C100" s="1"/>
      <c r="D100" s="1"/>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row>
    <row r="101" spans="3:66" ht="20" customHeight="1">
      <c r="C101" s="1"/>
      <c r="D101" s="1"/>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row>
    <row r="102" spans="3:66" ht="20" customHeight="1">
      <c r="C102" s="1"/>
      <c r="D102" s="1"/>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row>
    <row r="103" spans="3:66" ht="20" customHeight="1">
      <c r="C103" s="1"/>
      <c r="D103" s="1"/>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row>
    <row r="104" spans="3:66" ht="20" customHeight="1">
      <c r="C104" s="1"/>
      <c r="D104" s="1"/>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row>
    <row r="105" spans="3:66" ht="20" customHeight="1">
      <c r="C105" s="1"/>
      <c r="D105" s="1"/>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row>
    <row r="106" spans="3:66" ht="20" customHeight="1">
      <c r="C106" s="1"/>
      <c r="D106" s="1"/>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row>
    <row r="107" spans="3:66" ht="20" customHeight="1">
      <c r="C107" s="1"/>
      <c r="D107" s="1"/>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row>
    <row r="108" spans="3:66" ht="20" customHeight="1">
      <c r="C108" s="1"/>
      <c r="D108" s="1"/>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row>
    <row r="109" spans="3:66" ht="20" customHeight="1">
      <c r="C109" s="1"/>
      <c r="D109" s="1"/>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row>
    <row r="110" spans="3:66" ht="20" customHeight="1">
      <c r="C110" s="1"/>
      <c r="D110" s="1"/>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row>
    <row r="111" spans="3:66" ht="20" customHeight="1">
      <c r="C111" s="1"/>
      <c r="D111" s="1"/>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row>
    <row r="112" spans="3:66" ht="20" customHeight="1">
      <c r="C112" s="1"/>
      <c r="D112" s="1"/>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row>
    <row r="113" spans="3:66" ht="20" customHeight="1">
      <c r="C113" s="1"/>
      <c r="D113" s="1"/>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row>
    <row r="114" spans="3:66" ht="20" customHeight="1">
      <c r="C114" s="1"/>
      <c r="D114" s="1"/>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row>
    <row r="115" spans="3:66" ht="20" customHeight="1">
      <c r="C115" s="1"/>
      <c r="D115" s="1"/>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row>
    <row r="116" spans="3:66" ht="20" customHeight="1">
      <c r="C116" s="1"/>
      <c r="D116" s="1"/>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row>
    <row r="117" spans="3:66" ht="20" customHeight="1">
      <c r="C117" s="1"/>
      <c r="D117" s="1"/>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row>
    <row r="118" spans="3:66" ht="20" customHeight="1">
      <c r="C118" s="1"/>
      <c r="D118" s="1"/>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row>
    <row r="119" spans="3:66" ht="20" customHeight="1">
      <c r="C119" s="1"/>
      <c r="D119" s="1"/>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row>
    <row r="120" spans="3:66" ht="20" customHeight="1">
      <c r="C120" s="1"/>
      <c r="D120" s="1"/>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row>
    <row r="121" spans="3:66" ht="20" customHeight="1">
      <c r="C121" s="1"/>
      <c r="D121" s="1"/>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row>
    <row r="122" spans="3:66" ht="20" customHeight="1">
      <c r="C122" s="1"/>
      <c r="D122" s="1"/>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row>
    <row r="123" spans="3:66" ht="20" customHeight="1">
      <c r="C123" s="1"/>
      <c r="D123" s="1"/>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row>
    <row r="124" spans="3:66" ht="20" customHeight="1">
      <c r="C124" s="1"/>
      <c r="D124" s="1"/>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row>
    <row r="125" spans="3:66" ht="20" customHeight="1">
      <c r="C125" s="1"/>
      <c r="D125" s="1"/>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row>
    <row r="126" spans="3:66" ht="20" customHeight="1">
      <c r="C126" s="1"/>
      <c r="D126" s="1"/>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row>
    <row r="127" spans="3:66" ht="20" customHeight="1">
      <c r="C127" s="1"/>
      <c r="D127" s="1"/>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row>
    <row r="128" spans="3:66" ht="20" customHeight="1">
      <c r="C128" s="1"/>
      <c r="D128" s="1"/>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row>
    <row r="129" spans="3:66" ht="20" customHeight="1">
      <c r="C129" s="1"/>
      <c r="D129" s="1"/>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row>
    <row r="130" spans="3:66" ht="20" customHeight="1">
      <c r="C130" s="1"/>
      <c r="D130" s="1"/>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row>
    <row r="131" spans="3:66" ht="20" customHeight="1">
      <c r="C131" s="1"/>
      <c r="D131" s="1"/>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row>
    <row r="132" spans="3:66" ht="20" customHeight="1">
      <c r="C132" s="1"/>
      <c r="D132" s="1"/>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row>
    <row r="133" spans="3:66" ht="20" customHeight="1">
      <c r="C133" s="1"/>
      <c r="D133" s="1"/>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row>
    <row r="134" spans="3:66" ht="20" customHeight="1">
      <c r="C134" s="1"/>
      <c r="D134" s="1"/>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row>
    <row r="135" spans="3:66" ht="20" customHeight="1">
      <c r="C135" s="1"/>
      <c r="D135" s="1"/>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row>
    <row r="136" spans="3:66" ht="20" customHeight="1">
      <c r="C136" s="1"/>
      <c r="D136" s="1"/>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row>
    <row r="137" spans="3:66" ht="20" customHeight="1">
      <c r="C137" s="1"/>
      <c r="D137" s="1"/>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row>
    <row r="138" spans="3:66" ht="20" customHeight="1">
      <c r="C138" s="1"/>
      <c r="D138" s="1"/>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row>
    <row r="139" spans="3:66" ht="20" customHeight="1">
      <c r="C139" s="1"/>
      <c r="D139" s="1"/>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row>
    <row r="140" spans="3:66" ht="20" customHeight="1">
      <c r="C140" s="1"/>
      <c r="D140" s="1"/>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row>
    <row r="141" spans="3:66" ht="20" customHeight="1">
      <c r="C141" s="1"/>
      <c r="D141" s="1"/>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row>
    <row r="142" spans="3:66" ht="20" customHeight="1">
      <c r="C142" s="1"/>
      <c r="D142" s="1"/>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row>
    <row r="143" spans="3:66" ht="20" customHeight="1">
      <c r="C143" s="1"/>
      <c r="D143" s="1"/>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row>
    <row r="144" spans="3:66" ht="20" customHeight="1">
      <c r="C144" s="1"/>
      <c r="D144" s="1"/>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row>
    <row r="145" spans="3:66" ht="20" customHeight="1">
      <c r="C145" s="1"/>
      <c r="D145" s="1"/>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row>
    <row r="146" spans="3:66" ht="20" customHeight="1">
      <c r="C146" s="1"/>
      <c r="D146" s="1"/>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row>
    <row r="147" spans="3:66" ht="20" customHeight="1">
      <c r="C147" s="1"/>
      <c r="D147" s="1"/>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row>
    <row r="148" spans="3:66" ht="20" customHeight="1">
      <c r="C148" s="1"/>
      <c r="D148" s="1"/>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row>
    <row r="149" spans="3:66" ht="20" customHeight="1">
      <c r="C149" s="1"/>
      <c r="D149" s="1"/>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row>
    <row r="150" spans="3:66" ht="20" customHeight="1">
      <c r="C150" s="1"/>
      <c r="D150" s="1"/>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row>
    <row r="151" spans="3:66" ht="20" customHeight="1">
      <c r="C151" s="1"/>
      <c r="D151" s="1"/>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row>
    <row r="152" spans="3:66" ht="20" customHeight="1">
      <c r="C152" s="1"/>
      <c r="D152" s="1"/>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row>
    <row r="153" spans="3:66" ht="20" customHeight="1">
      <c r="C153" s="1"/>
      <c r="D153" s="1"/>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row>
    <row r="154" spans="3:66" ht="20" customHeight="1">
      <c r="C154" s="1"/>
      <c r="D154" s="1"/>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row>
    <row r="155" spans="3:66" ht="20" customHeight="1">
      <c r="C155" s="1"/>
      <c r="D155" s="1"/>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row>
    <row r="156" spans="3:66" ht="20" customHeight="1">
      <c r="C156" s="1"/>
      <c r="D156" s="1"/>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row>
    <row r="157" spans="3:66" ht="20" customHeight="1">
      <c r="C157" s="1"/>
      <c r="D157" s="1"/>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row>
    <row r="158" spans="3:66" ht="20" customHeight="1">
      <c r="C158" s="1"/>
      <c r="D158" s="1"/>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row>
    <row r="159" spans="3:66" ht="20" customHeight="1">
      <c r="C159" s="1"/>
      <c r="D159" s="1"/>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row>
    <row r="160" spans="3:66" ht="20" customHeight="1">
      <c r="C160" s="1"/>
      <c r="D160" s="1"/>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row>
    <row r="161" spans="3:66" ht="20" customHeight="1">
      <c r="C161" s="1"/>
      <c r="D161" s="1"/>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row>
    <row r="162" spans="3:66" ht="20" customHeight="1">
      <c r="C162" s="1"/>
      <c r="D162" s="1"/>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row>
    <row r="163" spans="3:66" ht="20" customHeight="1">
      <c r="C163" s="1"/>
      <c r="D163" s="1"/>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row>
    <row r="164" spans="3:66" ht="20" customHeight="1">
      <c r="C164" s="1"/>
      <c r="D164" s="1"/>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row>
    <row r="165" spans="3:66" ht="20" customHeight="1">
      <c r="C165" s="1"/>
      <c r="D165" s="1"/>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row>
    <row r="166" spans="3:66" ht="20" customHeight="1">
      <c r="C166" s="1"/>
      <c r="D166" s="1"/>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row>
    <row r="167" spans="3:66" ht="20" customHeight="1">
      <c r="C167" s="1"/>
      <c r="D167" s="1"/>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row>
    <row r="168" spans="3:66" ht="20" customHeight="1">
      <c r="C168" s="1"/>
      <c r="D168" s="1"/>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row>
    <row r="169" spans="3:66" ht="20" customHeight="1">
      <c r="C169" s="1"/>
      <c r="D169" s="1"/>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row>
    <row r="170" spans="3:66" ht="20" customHeight="1">
      <c r="C170" s="1"/>
      <c r="D170" s="1"/>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row>
    <row r="171" spans="3:66" ht="20" customHeight="1">
      <c r="C171" s="1"/>
      <c r="D171" s="1"/>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row>
    <row r="172" spans="3:66" ht="20" customHeight="1">
      <c r="C172" s="1"/>
      <c r="D172" s="1"/>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row>
    <row r="173" spans="3:66" ht="20" customHeight="1">
      <c r="C173" s="1"/>
      <c r="D173" s="1"/>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row>
    <row r="174" spans="3:66" ht="20" customHeight="1">
      <c r="C174" s="1"/>
      <c r="D174" s="1"/>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row>
    <row r="175" spans="3:66" ht="20" customHeight="1">
      <c r="C175" s="1"/>
      <c r="D175" s="1"/>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row>
    <row r="176" spans="3:66" ht="20" customHeight="1">
      <c r="C176" s="1"/>
      <c r="D176" s="1"/>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row>
    <row r="177" spans="3:66" ht="20" customHeight="1">
      <c r="C177" s="1"/>
      <c r="D177" s="1"/>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row>
    <row r="178" spans="3:66" ht="20" customHeight="1">
      <c r="C178" s="1"/>
      <c r="D178" s="1"/>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row>
    <row r="179" spans="3:66" ht="20" customHeight="1">
      <c r="C179" s="1"/>
      <c r="D179" s="1"/>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row>
    <row r="180" spans="3:66" ht="20" customHeight="1">
      <c r="C180" s="1"/>
      <c r="D180" s="1"/>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row>
    <row r="181" spans="3:66" ht="20" customHeight="1">
      <c r="C181" s="1"/>
      <c r="D181" s="1"/>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row>
    <row r="182" spans="3:66" ht="20" customHeight="1">
      <c r="C182" s="1"/>
      <c r="D182" s="1"/>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row>
    <row r="183" spans="3:66" ht="20" customHeight="1">
      <c r="C183" s="1"/>
      <c r="D183" s="1"/>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row>
    <row r="184" spans="3:66" ht="20" customHeight="1">
      <c r="C184" s="1"/>
      <c r="D184" s="1"/>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row>
    <row r="185" spans="3:66" ht="20" customHeight="1">
      <c r="C185" s="1"/>
      <c r="D185" s="1"/>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row>
    <row r="186" spans="3:66" ht="20" customHeight="1">
      <c r="C186" s="1"/>
      <c r="D186" s="1"/>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row>
    <row r="187" spans="3:66" ht="20" customHeight="1">
      <c r="C187" s="1"/>
      <c r="D187" s="1"/>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row>
    <row r="188" spans="3:66" ht="20" customHeight="1">
      <c r="C188" s="1"/>
      <c r="D188" s="1"/>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row>
    <row r="189" spans="3:66" ht="20" customHeight="1">
      <c r="C189" s="1"/>
      <c r="D189" s="1"/>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row>
    <row r="190" spans="3:66" ht="20" customHeight="1">
      <c r="C190" s="1"/>
      <c r="D190" s="1"/>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row>
    <row r="191" spans="3:66" ht="20" customHeight="1">
      <c r="C191" s="1"/>
      <c r="D191" s="1"/>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row>
    <row r="192" spans="3:66" ht="20" customHeight="1">
      <c r="C192" s="1"/>
      <c r="D192" s="1"/>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row>
    <row r="193" spans="3:66" ht="20" customHeight="1">
      <c r="C193" s="1"/>
      <c r="D193" s="1"/>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row>
    <row r="194" spans="3:66" ht="20" customHeight="1">
      <c r="C194" s="1"/>
      <c r="D194" s="1"/>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row>
    <row r="195" spans="3:66" ht="20" customHeight="1">
      <c r="C195" s="1"/>
      <c r="D195" s="1"/>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row>
    <row r="196" spans="3:66" ht="20" customHeight="1">
      <c r="C196" s="1"/>
      <c r="D196" s="1"/>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row>
    <row r="197" spans="3:66" ht="20" customHeight="1">
      <c r="C197" s="1"/>
      <c r="D197" s="1"/>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row>
    <row r="198" spans="3:66" ht="20" customHeight="1">
      <c r="C198" s="1"/>
      <c r="D198" s="1"/>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row>
    <row r="199" spans="3:66" ht="20" customHeight="1">
      <c r="C199" s="1"/>
      <c r="D199" s="1"/>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row>
    <row r="200" spans="3:66" ht="20" customHeight="1">
      <c r="C200" s="1"/>
      <c r="D200" s="1"/>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07483"/>
  </sheetPr>
  <dimension ref="A1:BN200"/>
  <sheetViews>
    <sheetView showGridLines="0" workbookViewId="0">
      <pane xSplit="4" ySplit="7" topLeftCell="E8" activePane="bottomRight" state="frozen"/>
      <selection pane="topRight"/>
      <selection pane="bottomLeft"/>
      <selection pane="bottomRight" activeCell="E8" sqref="E8"/>
    </sheetView>
  </sheetViews>
  <sheetFormatPr baseColWidth="10" defaultColWidth="8.83203125" defaultRowHeight="14"/>
  <cols>
    <col min="1" max="2" width="2" customWidth="1"/>
    <col min="3" max="3" width="48" customWidth="1"/>
    <col min="4" max="4" width="3" customWidth="1"/>
    <col min="5" max="66" width="14" customWidth="1"/>
  </cols>
  <sheetData>
    <row r="1" spans="1:66" ht="20" customHeight="1">
      <c r="A1" s="30"/>
      <c r="B1" s="30"/>
      <c r="C1" s="31"/>
      <c r="D1" s="31"/>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row>
    <row r="2" spans="1:66" ht="20" customHeight="1">
      <c r="A2" s="30"/>
      <c r="B2" s="30"/>
      <c r="C2" s="33" t="s">
        <v>747</v>
      </c>
      <c r="D2" s="31"/>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row>
    <row r="3" spans="1:66" ht="20" customHeight="1">
      <c r="A3" s="30"/>
      <c r="B3" s="30"/>
      <c r="C3" s="34" t="s">
        <v>49</v>
      </c>
      <c r="D3" s="31"/>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row>
    <row r="4" spans="1:66" ht="20" customHeight="1">
      <c r="A4" s="30"/>
      <c r="B4" s="30"/>
      <c r="C4" s="31" t="s">
        <v>2</v>
      </c>
      <c r="D4" s="31"/>
      <c r="E4" s="35" t="str">
        <f>CHOOSE(Assumptions!$E$5,"Base","Downside","Upside")</f>
        <v>Base</v>
      </c>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row>
    <row r="5" spans="1:66" ht="20" customHeight="1">
      <c r="A5" s="30"/>
      <c r="B5" s="30"/>
      <c r="C5" s="31"/>
      <c r="D5" s="31"/>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row>
    <row r="6" spans="1:66" ht="20" customHeight="1">
      <c r="A6" s="30"/>
      <c r="B6" s="30"/>
      <c r="C6" s="31"/>
      <c r="D6" s="31"/>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row>
    <row r="7" spans="1:66" ht="24" customHeight="1">
      <c r="A7" s="30"/>
      <c r="B7" s="30"/>
      <c r="C7" s="36" t="s">
        <v>748</v>
      </c>
      <c r="D7" s="36"/>
      <c r="E7" s="37">
        <v>2027</v>
      </c>
      <c r="F7" s="37">
        <v>2028</v>
      </c>
      <c r="G7" s="37">
        <v>2029</v>
      </c>
      <c r="H7" s="37">
        <v>2030</v>
      </c>
      <c r="I7" s="37">
        <v>2031</v>
      </c>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2"/>
      <c r="BN7" s="32"/>
    </row>
    <row r="8" spans="1:66" ht="20" customHeight="1">
      <c r="A8" s="30"/>
      <c r="B8" s="30"/>
      <c r="C8" s="31" t="s">
        <v>749</v>
      </c>
      <c r="D8" s="31"/>
      <c r="E8" s="52">
        <f>Statements!E42-Statements!E48-Statements!E49</f>
        <v>0</v>
      </c>
      <c r="F8" s="52">
        <f>Statements!F42-Statements!F48-Statements!F49</f>
        <v>-5.2580162446247414E-13</v>
      </c>
      <c r="G8" s="52">
        <f>Statements!G42-Statements!G48-Statements!G49</f>
        <v>-1.3358203432289883E-12</v>
      </c>
      <c r="H8" s="52">
        <f>Statements!H42-Statements!H48-Statements!H49</f>
        <v>-2.1174173525650986E-12</v>
      </c>
      <c r="I8" s="52">
        <f>Statements!I42-Statements!I48-Statements!I49</f>
        <v>-2.5863755581667647E-12</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row>
    <row r="9" spans="1:66" ht="20" customHeight="1">
      <c r="A9" s="30"/>
      <c r="B9" s="30"/>
      <c r="C9" s="31" t="s">
        <v>750</v>
      </c>
      <c r="D9" s="31"/>
      <c r="E9" s="52">
        <f>Historical!G79+Statements!E31-Statements!E32-Statements!E33+Statements!E34+Statements!E35-Statements!E36</f>
        <v>-2.8421709430404007E-14</v>
      </c>
      <c r="F9" s="52">
        <f>Statements!E36+Statements!F31-Statements!F32-Statements!F33+Statements!F34+Statements!F35-Statements!F36</f>
        <v>0</v>
      </c>
      <c r="G9" s="52">
        <f>Statements!F36+Statements!G31-Statements!G32-Statements!G33+Statements!G34+Statements!G35-Statements!G36</f>
        <v>-4.2632564145606011E-14</v>
      </c>
      <c r="H9" s="52">
        <f>Statements!G36+Statements!H31-Statements!H32-Statements!H33+Statements!H34+Statements!H35-Statements!H36</f>
        <v>7.1054273576010019E-14</v>
      </c>
      <c r="I9" s="52">
        <f>Statements!H36+Statements!I31-Statements!I32-Statements!I33+Statements!I34+Statements!I35-Statements!I36</f>
        <v>5.6843418860808015E-14</v>
      </c>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row>
    <row r="10" spans="1:66" ht="20" customHeight="1">
      <c r="A10" s="30"/>
      <c r="B10" s="30"/>
      <c r="C10" s="31" t="s">
        <v>751</v>
      </c>
      <c r="D10" s="31"/>
      <c r="E10" s="52">
        <f>Historical!G65+SUM(Transfers!E13:P13)-SUM(Registrations!E89:P89)-SUM(Transfers!E24:P24)-Statements!E39</f>
        <v>0</v>
      </c>
      <c r="F10" s="52">
        <f>Registrations!P92+SUM(Transfers!Q13:AB13)-SUM(Registrations!Q89:AB89)-SUM(Transfers!Q24:AB24)-Statements!F39</f>
        <v>0</v>
      </c>
      <c r="G10" s="52">
        <f>Registrations!AB92+SUM(Transfers!AC13:AN13)-SUM(Registrations!AC89:AN89)-SUM(Transfers!AC24:AN24)-Statements!G39</f>
        <v>0</v>
      </c>
      <c r="H10" s="52">
        <f>Registrations!AN92+SUM(Transfers!AO13:AZ13)-SUM(Registrations!AO89:AZ89)-SUM(Transfers!AO24:AZ24)-Statements!H39</f>
        <v>0</v>
      </c>
      <c r="I10" s="52">
        <f>Registrations!AZ92+SUM(Transfers!BA13:BL13)-SUM(Registrations!BA89:BL89)-SUM(Transfers!BA24:BL24)-Statements!I39</f>
        <v>0</v>
      </c>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row>
    <row r="11" spans="1:66" ht="20" customHeight="1">
      <c r="A11" s="30"/>
      <c r="B11" s="30"/>
      <c r="C11" s="31" t="s">
        <v>752</v>
      </c>
      <c r="D11" s="31"/>
      <c r="E11" s="52">
        <f>Transfers!E30+SUM(Transfers!E13:P13)+SUM(Transfers!E31:P31)-SUM(Transfers!E16:P16)-Statements!E45</f>
        <v>0</v>
      </c>
      <c r="F11" s="52">
        <f>Transfers!Q30+SUM(Transfers!Q13:AB13)+SUM(Transfers!Q31:AB31)-SUM(Transfers!Q16:AB16)-Statements!F45</f>
        <v>0</v>
      </c>
      <c r="G11" s="52">
        <f>Transfers!AC30+SUM(Transfers!AC13:AN13)+SUM(Transfers!AC31:AN31)-SUM(Transfers!AC16:AN16)-Statements!G45</f>
        <v>0</v>
      </c>
      <c r="H11" s="52">
        <f>Transfers!AO30+SUM(Transfers!AO13:AZ13)+SUM(Transfers!AO31:AZ31)-SUM(Transfers!AO16:AZ16)-Statements!H45</f>
        <v>0</v>
      </c>
      <c r="I11" s="52">
        <f>Transfers!BA30+SUM(Transfers!BA13:BL13)+SUM(Transfers!BA31:BL31)-SUM(Transfers!BA16:BL16)-Statements!I45</f>
        <v>0</v>
      </c>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row>
    <row r="12" spans="1:66" ht="20" customHeight="1">
      <c r="A12" s="30"/>
      <c r="B12" s="30"/>
      <c r="C12" s="31" t="s">
        <v>753</v>
      </c>
      <c r="D12" s="31"/>
      <c r="E12" s="52">
        <f>Transfers!E34+SUM(Transfers!E22:P22)+SUM(Transfers!E35:P35)-SUM(Transfers!E28:P28)-Statements!E40</f>
        <v>0</v>
      </c>
      <c r="F12" s="52">
        <f>Transfers!Q34+SUM(Transfers!Q22:AB22)+SUM(Transfers!Q35:AB35)-SUM(Transfers!Q28:AB28)-Statements!F40</f>
        <v>0</v>
      </c>
      <c r="G12" s="52">
        <f>Transfers!AC34+SUM(Transfers!AC22:AN22)+SUM(Transfers!AC35:AN35)-SUM(Transfers!AC28:AN28)-Statements!G40</f>
        <v>0</v>
      </c>
      <c r="H12" s="52">
        <f>Transfers!AO34+SUM(Transfers!AO22:AZ22)+SUM(Transfers!AO35:AZ35)-SUM(Transfers!AO28:AZ28)-Statements!H40</f>
        <v>0</v>
      </c>
      <c r="I12" s="52">
        <f>Transfers!BA34+SUM(Transfers!BA22:BL22)+SUM(Transfers!BA35:BL35)-SUM(Transfers!BA28:BL28)-Statements!I40</f>
        <v>0</v>
      </c>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row>
    <row r="13" spans="1:66" ht="20" customHeight="1">
      <c r="A13" s="30"/>
      <c r="B13" s="30"/>
      <c r="C13" s="31" t="s">
        <v>754</v>
      </c>
      <c r="D13" s="31"/>
      <c r="E13" s="52">
        <f>Statements!E21-Statements!E22-Statements!E23</f>
        <v>-7.460698725481052E-14</v>
      </c>
      <c r="F13" s="52">
        <f>Statements!F21-Statements!F22-Statements!F23</f>
        <v>0</v>
      </c>
      <c r="G13" s="52">
        <f>Statements!G21-Statements!G22-Statements!G23</f>
        <v>4.0856207306205761E-14</v>
      </c>
      <c r="H13" s="52">
        <f>Statements!H21-Statements!H22-Statements!H23</f>
        <v>0</v>
      </c>
      <c r="I13" s="52">
        <f>Statements!I21-Statements!I22-Statements!I23</f>
        <v>-9.9475983006414026E-14</v>
      </c>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row>
    <row r="14" spans="1:66" ht="20" customHeight="1">
      <c r="A14" s="30"/>
      <c r="B14" s="30"/>
      <c r="C14" s="31" t="s">
        <v>755</v>
      </c>
      <c r="D14" s="31"/>
      <c r="E14" s="52">
        <f>Assumptions!E98+Assumptions!E103+Assumptions!E108+Assumptions!E113-1</f>
        <v>0</v>
      </c>
      <c r="F14" s="52">
        <f>Assumptions!F98+Assumptions!F103+Assumptions!F108+Assumptions!F113-1</f>
        <v>0</v>
      </c>
      <c r="G14" s="52">
        <f>Assumptions!G98+Assumptions!G103+Assumptions!G108+Assumptions!G113-1</f>
        <v>0</v>
      </c>
      <c r="H14" s="52">
        <f>Assumptions!H98+Assumptions!H103+Assumptions!H108+Assumptions!H113-1</f>
        <v>0</v>
      </c>
      <c r="I14" s="52">
        <f>Assumptions!I98+Assumptions!I103+Assumptions!I108+Assumptions!I113-1</f>
        <v>0</v>
      </c>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row>
    <row r="15" spans="1:66" ht="20" customHeight="1">
      <c r="A15" s="30"/>
      <c r="B15" s="30"/>
      <c r="C15" s="31" t="s">
        <v>756</v>
      </c>
      <c r="D15" s="31"/>
      <c r="E15" s="52">
        <f>Assumptions!E153+Assumptions!E158+Assumptions!E163-1</f>
        <v>0</v>
      </c>
      <c r="F15" s="52">
        <f>Assumptions!F153+Assumptions!F158+Assumptions!F163-1</f>
        <v>0</v>
      </c>
      <c r="G15" s="52">
        <f>Assumptions!G153+Assumptions!G158+Assumptions!G163-1</f>
        <v>0</v>
      </c>
      <c r="H15" s="52">
        <f>Assumptions!H153+Assumptions!H158+Assumptions!H163-1</f>
        <v>0</v>
      </c>
      <c r="I15" s="52">
        <f>Assumptions!I153+Assumptions!I158+Assumptions!I163-1</f>
        <v>0</v>
      </c>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row>
    <row r="16" spans="1:66" ht="20" customHeight="1">
      <c r="A16" s="30"/>
      <c r="B16" s="30"/>
      <c r="C16" s="31" t="s">
        <v>757</v>
      </c>
      <c r="D16" s="31"/>
      <c r="E16" s="52">
        <f>SUM(Transfers!E38:P38)</f>
        <v>0</v>
      </c>
      <c r="F16" s="52">
        <f>SUM(Transfers!Q38:AB38)</f>
        <v>0</v>
      </c>
      <c r="G16" s="52">
        <f>SUM(Transfers!AC38:AN38)</f>
        <v>0</v>
      </c>
      <c r="H16" s="52">
        <f>SUM(Transfers!AO38:AZ38)</f>
        <v>0</v>
      </c>
      <c r="I16" s="52">
        <f>SUM(Transfers!BA38:BL38)</f>
        <v>0</v>
      </c>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row>
    <row r="17" spans="1:66" ht="20" customHeight="1">
      <c r="A17" s="30"/>
      <c r="B17" s="30"/>
      <c r="C17" s="31" t="s">
        <v>758</v>
      </c>
      <c r="D17" s="31"/>
      <c r="E17" s="74">
        <f>Statements!E26+SUM('Revenue costs'!E29:P29)+SUM('Revenue costs'!E30:P30)+SUM('Debt cash'!E56:P56)-Statements!E11</f>
        <v>0</v>
      </c>
      <c r="F17" s="74">
        <f>Statements!F26+SUM('Revenue costs'!Q29:AB29)+SUM('Revenue costs'!Q30:AB30)+SUM('Debt cash'!Q56:AB56)-Statements!F11</f>
        <v>0</v>
      </c>
      <c r="G17" s="74">
        <f>Statements!G26+SUM('Revenue costs'!AC29:AN29)+SUM('Revenue costs'!AC30:AN30)+SUM('Debt cash'!AC56:AN56)-Statements!G11</f>
        <v>0</v>
      </c>
      <c r="H17" s="74">
        <f>Statements!H26+SUM('Revenue costs'!AO29:AZ29)+SUM('Revenue costs'!AO30:AZ30)+SUM('Debt cash'!AO56:AZ56)-Statements!H11</f>
        <v>0</v>
      </c>
      <c r="I17" s="74">
        <f>Statements!I26+SUM('Revenue costs'!BA29:BL29)+SUM('Revenue costs'!BA30:BL30)+SUM('Debt cash'!BA56:BL56)-Statements!I11</f>
        <v>0</v>
      </c>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row>
    <row r="18" spans="1:66" ht="20" customHeight="1">
      <c r="A18" s="30"/>
      <c r="B18" s="30"/>
      <c r="C18" s="31" t="s">
        <v>759</v>
      </c>
      <c r="D18" s="31"/>
      <c r="E18" s="52">
        <f>MAX(0,SUM(Assumptions!E198:E198)+1.16-122.843)</f>
        <v>0</v>
      </c>
      <c r="F18" s="52">
        <f>MAX(0,SUM(Assumptions!E198:F198)+1.16-122.843)</f>
        <v>0</v>
      </c>
      <c r="G18" s="52">
        <f>MAX(0,SUM(Assumptions!E198:G198)+1.16-122.843)</f>
        <v>0</v>
      </c>
      <c r="H18" s="52">
        <f>MAX(0,SUM(Assumptions!E198:H198)+1.16-122.843)</f>
        <v>0</v>
      </c>
      <c r="I18" s="52">
        <f>MAX(0,SUM(Assumptions!E198:I198)+1.16-122.843)</f>
        <v>0</v>
      </c>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row>
    <row r="19" spans="1:66" ht="20" customHeight="1">
      <c r="A19" s="30"/>
      <c r="B19" s="30"/>
      <c r="C19" s="31" t="s">
        <v>760</v>
      </c>
      <c r="D19" s="31"/>
      <c r="E19" s="52">
        <f>MIN(0,MIN(Registrations!E92:P92))</f>
        <v>0</v>
      </c>
      <c r="F19" s="52">
        <f>MIN(0,MIN(Registrations!Q92:AB92))</f>
        <v>0</v>
      </c>
      <c r="G19" s="52">
        <f>MIN(0,MIN(Registrations!AC92:AN92))</f>
        <v>0</v>
      </c>
      <c r="H19" s="52">
        <f>MIN(0,MIN(Registrations!AO92:AZ92))</f>
        <v>0</v>
      </c>
      <c r="I19" s="52">
        <f>MIN(0,MIN(Registrations!BA92:BL92))</f>
        <v>0</v>
      </c>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row>
    <row r="20" spans="1:66" ht="20" customHeight="1">
      <c r="A20" s="30"/>
      <c r="B20" s="30"/>
      <c r="C20" s="31" t="s">
        <v>761</v>
      </c>
      <c r="D20" s="31"/>
      <c r="E20" s="52">
        <f>MIN(0,MIN(Transfers!E32:P32))</f>
        <v>0</v>
      </c>
      <c r="F20" s="52">
        <f>MIN(0,MIN(Transfers!Q32:AB32))</f>
        <v>0</v>
      </c>
      <c r="G20" s="52">
        <f>MIN(0,MIN(Transfers!AC32:AN32))</f>
        <v>0</v>
      </c>
      <c r="H20" s="52">
        <f>MIN(0,MIN(Transfers!AO32:AZ32))</f>
        <v>0</v>
      </c>
      <c r="I20" s="52">
        <f>MIN(0,MIN(Transfers!BA32:BL32))</f>
        <v>0</v>
      </c>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row>
    <row r="21" spans="1:66" ht="20" customHeight="1">
      <c r="A21" s="30"/>
      <c r="B21" s="30"/>
      <c r="C21" s="31" t="s">
        <v>762</v>
      </c>
      <c r="D21" s="31"/>
      <c r="E21" s="52">
        <f>MIN(0,MIN(Transfers!E36:P36))</f>
        <v>0</v>
      </c>
      <c r="F21" s="52">
        <f>MIN(0,MIN(Transfers!Q36:AB36))</f>
        <v>0</v>
      </c>
      <c r="G21" s="52">
        <f>MIN(0,MIN(Transfers!AC36:AN36))</f>
        <v>0</v>
      </c>
      <c r="H21" s="52">
        <f>MIN(0,MIN(Transfers!AO36:AZ36))</f>
        <v>0</v>
      </c>
      <c r="I21" s="52">
        <f>MIN(0,MIN(Transfers!BA36:BL36))</f>
        <v>0</v>
      </c>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row>
    <row r="22" spans="1:66" ht="20" customHeight="1">
      <c r="A22" s="30"/>
      <c r="B22" s="30"/>
      <c r="C22" s="31" t="s">
        <v>763</v>
      </c>
      <c r="D22" s="31"/>
      <c r="E22" s="52">
        <f>IF(Capacity!E8=0,MAX('Debt cash'!AT32:BL32),0)</f>
        <v>0</v>
      </c>
      <c r="F22" s="52"/>
      <c r="G22" s="52"/>
      <c r="H22" s="52"/>
      <c r="I22" s="5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row>
    <row r="23" spans="1:66" ht="20" customHeight="1">
      <c r="A23" s="30"/>
      <c r="B23" s="30"/>
      <c r="C23" s="31"/>
      <c r="D23" s="31"/>
      <c r="E23" s="52"/>
      <c r="F23" s="52"/>
      <c r="G23" s="52"/>
      <c r="H23" s="52"/>
      <c r="I23" s="5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row>
    <row r="24" spans="1:66" ht="20" customHeight="1">
      <c r="A24" s="30"/>
      <c r="B24" s="30"/>
      <c r="C24" s="31" t="s">
        <v>764</v>
      </c>
      <c r="D24" s="31"/>
      <c r="E24" s="52">
        <v>2024</v>
      </c>
      <c r="F24" s="52">
        <v>2025</v>
      </c>
      <c r="G24" s="52">
        <v>2026</v>
      </c>
      <c r="H24" s="52"/>
      <c r="I24" s="5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row>
    <row r="25" spans="1:66" ht="20" customHeight="1">
      <c r="A25" s="30"/>
      <c r="B25" s="30"/>
      <c r="C25" s="31" t="s">
        <v>765</v>
      </c>
      <c r="D25" s="31"/>
      <c r="E25" s="52">
        <f>Historical!E61+Historical!E62-Historical!E63-Historical!E64-Historical!E65</f>
        <v>0</v>
      </c>
      <c r="F25" s="52">
        <f>Historical!F61+Historical!F62-Historical!F63-Historical!F64-Historical!F65</f>
        <v>0</v>
      </c>
      <c r="G25" s="52">
        <f>Historical!G61+Historical!G62-Historical!G63-Historical!G64-Historical!G65</f>
        <v>0</v>
      </c>
      <c r="H25" s="52"/>
      <c r="I25" s="5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row>
    <row r="26" spans="1:66" ht="20" customHeight="1">
      <c r="A26" s="30"/>
      <c r="B26" s="30"/>
      <c r="C26" s="31" t="s">
        <v>766</v>
      </c>
      <c r="D26" s="31"/>
      <c r="E26" s="52">
        <f>Historical!E16-Historical!E22+Historical!E23-Historical!E24</f>
        <v>0</v>
      </c>
      <c r="F26" s="52">
        <f>Historical!F16-Historical!F22+Historical!F23-Historical!F24</f>
        <v>-2.8421709430404007E-14</v>
      </c>
      <c r="G26" s="52">
        <f>Historical!G16-Historical!G22+Historical!G23-Historical!G24</f>
        <v>0</v>
      </c>
      <c r="H26" s="52"/>
      <c r="I26" s="5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row>
    <row r="27" spans="1:66" ht="20" customHeight="1">
      <c r="A27" s="30"/>
      <c r="B27" s="30"/>
      <c r="C27" s="31" t="s">
        <v>767</v>
      </c>
      <c r="D27" s="31"/>
      <c r="E27" s="52">
        <f>Historical!E59+Historical!E43+Historical!E48+Historical!E57+Historical!E58-Historical!E60</f>
        <v>0</v>
      </c>
      <c r="F27" s="52">
        <f>Historical!F59+Historical!F43+Historical!F48+Historical!F57+Historical!F58-Historical!F60</f>
        <v>0</v>
      </c>
      <c r="G27" s="52">
        <f>Historical!G59+Historical!G43+Historical!G48+Historical!G57+Historical!G58-Historical!G60</f>
        <v>0</v>
      </c>
      <c r="H27" s="52"/>
      <c r="I27" s="5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row>
    <row r="28" spans="1:66" ht="20" customHeight="1">
      <c r="A28" s="30"/>
      <c r="B28" s="30"/>
      <c r="C28" s="31"/>
      <c r="D28" s="31"/>
      <c r="E28" s="53"/>
      <c r="F28" s="53"/>
      <c r="G28" s="53"/>
      <c r="H28" s="53"/>
      <c r="I28" s="53"/>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row>
    <row r="29" spans="1:66" ht="20" customHeight="1">
      <c r="A29" s="30"/>
      <c r="B29" s="30"/>
      <c r="C29" s="31"/>
      <c r="D29" s="31"/>
      <c r="E29" s="53"/>
      <c r="F29" s="53"/>
      <c r="G29" s="53"/>
      <c r="H29" s="53"/>
      <c r="I29" s="53"/>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row>
    <row r="30" spans="1:66" ht="20" customHeight="1">
      <c r="A30" s="30"/>
      <c r="B30" s="30"/>
      <c r="C30" s="31" t="s">
        <v>768</v>
      </c>
      <c r="D30" s="31"/>
      <c r="E30" s="53">
        <v>20.167999999999999</v>
      </c>
      <c r="F30" s="53">
        <v>48.110999999999997</v>
      </c>
      <c r="G30" s="53">
        <v>25.763999999999999</v>
      </c>
      <c r="H30" s="53"/>
      <c r="I30" s="53"/>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row>
    <row r="31" spans="1:66" ht="20" customHeight="1">
      <c r="A31" s="30"/>
      <c r="B31" s="30"/>
      <c r="C31" s="31" t="s">
        <v>769</v>
      </c>
      <c r="D31" s="31"/>
      <c r="E31" s="53">
        <v>8.0079999999999991</v>
      </c>
      <c r="F31" s="53">
        <v>21.736999999999998</v>
      </c>
      <c r="G31" s="53">
        <v>-0.73</v>
      </c>
      <c r="H31" s="53"/>
      <c r="I31" s="53"/>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row>
    <row r="32" spans="1:66" ht="20" customHeight="1">
      <c r="A32" s="30"/>
      <c r="B32" s="30"/>
      <c r="C32" s="31"/>
      <c r="D32" s="31"/>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row>
    <row r="33" spans="1:66" ht="20" customHeight="1">
      <c r="A33" s="30"/>
      <c r="B33" s="30"/>
      <c r="C33" s="31" t="s">
        <v>770</v>
      </c>
      <c r="D33" s="31"/>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row>
    <row r="34" spans="1:66" ht="20" customHeight="1">
      <c r="A34" s="30"/>
      <c r="B34" s="30"/>
      <c r="C34" s="31"/>
      <c r="D34" s="31"/>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row>
    <row r="35" spans="1:66" ht="20" customHeight="1">
      <c r="A35" s="30"/>
      <c r="B35" s="30"/>
      <c r="C35" s="31" t="s">
        <v>771</v>
      </c>
      <c r="D35" s="31"/>
      <c r="E35" s="32">
        <f>Assumptions!E118+Assumptions!E123+Assumptions!E128+Assumptions!E133+Assumptions!E138-1</f>
        <v>0</v>
      </c>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row>
    <row r="36" spans="1:66" ht="20" customHeight="1">
      <c r="A36" s="30"/>
      <c r="B36" s="30"/>
      <c r="C36" s="31" t="s">
        <v>772</v>
      </c>
      <c r="D36" s="31"/>
      <c r="E36" s="32">
        <f>SUM(Assumptions!E143:I143)-452.292</f>
        <v>0</v>
      </c>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row>
    <row r="37" spans="1:66" ht="20" customHeight="1">
      <c r="A37" s="30"/>
      <c r="B37" s="30"/>
      <c r="C37" s="31" t="s">
        <v>773</v>
      </c>
      <c r="D37" s="31"/>
      <c r="E37" s="32">
        <f>ABS('Debt cash'!E32-210)+ABS('Debt cash'!F32-230)+ABS('Debt cash'!G32-200)</f>
        <v>0</v>
      </c>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row>
    <row r="38" spans="1:66" ht="20" customHeight="1">
      <c r="A38" s="30"/>
      <c r="B38" s="30"/>
      <c r="C38" s="31"/>
      <c r="D38" s="31"/>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row>
    <row r="39" spans="1:66" ht="20" customHeight="1">
      <c r="A39" s="30"/>
      <c r="B39" s="30"/>
      <c r="C39" s="31"/>
      <c r="D39" s="31"/>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row>
    <row r="40" spans="1:66" ht="25" customHeight="1">
      <c r="A40" s="30"/>
      <c r="B40" s="30"/>
      <c r="C40" s="68" t="s">
        <v>774</v>
      </c>
      <c r="D40" s="68"/>
      <c r="E40" s="69"/>
      <c r="F40" s="69"/>
      <c r="G40" s="69"/>
      <c r="H40" s="69"/>
      <c r="I40" s="69"/>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row>
    <row r="41" spans="1:66" ht="20" customHeight="1">
      <c r="A41" s="30"/>
      <c r="B41" s="30"/>
      <c r="C41" s="31"/>
      <c r="D41" s="31"/>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row>
    <row r="42" spans="1:66" ht="20" customHeight="1">
      <c r="A42" s="30"/>
      <c r="B42" s="30"/>
      <c r="C42" s="31" t="s">
        <v>775</v>
      </c>
      <c r="D42" s="31"/>
      <c r="E42" s="75">
        <f>SUMSQ(FCFF!E41:BL41)</f>
        <v>0</v>
      </c>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row>
    <row r="43" spans="1:66" ht="20" customHeight="1">
      <c r="A43" s="30"/>
      <c r="B43" s="30"/>
      <c r="C43" s="31" t="s">
        <v>776</v>
      </c>
      <c r="D43" s="31"/>
      <c r="E43" s="75">
        <f>SUM(FCFF!E12:I12)-SUM(FCFF!E28:BL28)</f>
        <v>0</v>
      </c>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row>
    <row r="44" spans="1:66" ht="20" customHeight="1">
      <c r="A44" s="30"/>
      <c r="B44" s="30"/>
      <c r="C44" s="31" t="s">
        <v>777</v>
      </c>
      <c r="D44" s="31"/>
      <c r="E44" s="75">
        <f>SUM(FCFF!E42:G42)</f>
        <v>0</v>
      </c>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row>
    <row r="45" spans="1:66" ht="20" customHeight="1">
      <c r="A45" s="30"/>
      <c r="B45" s="30"/>
      <c r="C45" s="31" t="s">
        <v>778</v>
      </c>
      <c r="D45" s="31"/>
      <c r="E45" s="75">
        <f>FCFF!BL43*12-57</f>
        <v>0</v>
      </c>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row>
    <row r="46" spans="1:66" ht="20" customHeight="1">
      <c r="A46" s="30"/>
      <c r="B46" s="30"/>
      <c r="C46" s="31" t="s">
        <v>779</v>
      </c>
      <c r="D46" s="31"/>
      <c r="E46" s="75">
        <f>Valuation!E63-Valuation!E65-Valuation!E66-Valuation!E67+Valuation!E68-Valuation!E69-Valuation!E70</f>
        <v>0</v>
      </c>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row>
    <row r="47" spans="1:66" ht="20" customHeight="1">
      <c r="A47" s="30"/>
      <c r="B47" s="30"/>
      <c r="C47" s="31" t="s">
        <v>780</v>
      </c>
      <c r="D47" s="31"/>
      <c r="E47" s="75">
        <f>Valuation!E35-SUM(Valuation!E32:E34)</f>
        <v>0</v>
      </c>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row>
    <row r="48" spans="1:66" ht="20" customHeight="1">
      <c r="A48" s="30"/>
      <c r="B48" s="30"/>
      <c r="C48" s="31" t="s">
        <v>781</v>
      </c>
      <c r="D48" s="31"/>
      <c r="E48" s="75">
        <f>Valuation!E69</f>
        <v>0</v>
      </c>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row>
    <row r="49" spans="1:66" ht="20" customHeight="1">
      <c r="A49" s="30"/>
      <c r="B49" s="30"/>
      <c r="C49" s="31" t="s">
        <v>782</v>
      </c>
      <c r="D49" s="31"/>
      <c r="E49" s="75">
        <f>Valuation!E58-Valuation!E59-Valuation!E60</f>
        <v>0</v>
      </c>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row>
    <row r="50" spans="1:66" ht="20" customHeight="1">
      <c r="A50" s="30"/>
      <c r="B50" s="30"/>
      <c r="C50" s="31" t="s">
        <v>783</v>
      </c>
      <c r="D50" s="31"/>
      <c r="E50" s="75">
        <f>Valuation!E43-Valuation!E48-Valuation!E49</f>
        <v>0</v>
      </c>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row>
    <row r="51" spans="1:66" ht="20" customHeight="1">
      <c r="A51" s="30"/>
      <c r="B51" s="30"/>
      <c r="C51" s="31" t="s">
        <v>784</v>
      </c>
      <c r="D51" s="31"/>
      <c r="E51" s="75">
        <f>SUM('Debt cash'!E56:BL56)-Assumptions!E311</f>
        <v>0</v>
      </c>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row>
    <row r="52" spans="1:66" ht="20" customHeight="1">
      <c r="A52" s="30"/>
      <c r="B52" s="30"/>
      <c r="C52" s="31" t="s">
        <v>785</v>
      </c>
      <c r="D52" s="31"/>
      <c r="E52" s="75">
        <f>IF(Valuation!E20&gt;Valuation!E21,0,1)</f>
        <v>0</v>
      </c>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row>
    <row r="53" spans="1:66" ht="20" customHeight="1">
      <c r="A53" s="30"/>
      <c r="B53" s="30"/>
      <c r="C53" s="31" t="s">
        <v>786</v>
      </c>
      <c r="D53" s="31"/>
      <c r="E53" s="75">
        <f>'Debt cash'!G32-200</f>
        <v>0</v>
      </c>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row>
    <row r="54" spans="1:66" ht="20" customHeight="1">
      <c r="A54" s="30"/>
      <c r="B54" s="30"/>
      <c r="C54" s="31" t="s">
        <v>787</v>
      </c>
      <c r="D54" s="31"/>
      <c r="E54" s="75">
        <f>SUM('Financial review'!E40:G40)</f>
        <v>0</v>
      </c>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row>
    <row r="55" spans="1:66" ht="20" customHeight="1">
      <c r="A55" s="30"/>
      <c r="B55" s="30"/>
      <c r="C55" s="31"/>
      <c r="D55" s="31"/>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row>
    <row r="56" spans="1:66" ht="20" customHeight="1">
      <c r="A56" s="30"/>
      <c r="B56" s="30"/>
      <c r="C56" s="31"/>
      <c r="D56" s="31"/>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row>
    <row r="57" spans="1:66" ht="54" customHeight="1">
      <c r="A57" s="30"/>
      <c r="B57" s="30"/>
      <c r="C57" s="109" t="s">
        <v>788</v>
      </c>
      <c r="D57" s="109"/>
      <c r="E57" s="110"/>
      <c r="F57" s="110"/>
      <c r="G57" s="110"/>
      <c r="H57" s="110"/>
      <c r="I57" s="110"/>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row>
    <row r="58" spans="1:66" ht="54" customHeight="1">
      <c r="A58" s="30"/>
      <c r="B58" s="30"/>
      <c r="C58" s="109" t="s">
        <v>789</v>
      </c>
      <c r="D58" s="109"/>
      <c r="E58" s="110"/>
      <c r="F58" s="110"/>
      <c r="G58" s="110"/>
      <c r="H58" s="110"/>
      <c r="I58" s="110"/>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row>
    <row r="59" spans="1:66" ht="20" customHeight="1">
      <c r="A59" s="30"/>
      <c r="B59" s="30"/>
      <c r="C59" s="31"/>
      <c r="D59" s="31"/>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row>
    <row r="60" spans="1:66" ht="20" customHeight="1">
      <c r="A60" s="30"/>
      <c r="B60" s="30"/>
      <c r="C60" s="31"/>
      <c r="D60" s="31"/>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row>
    <row r="61" spans="1:66" ht="20" customHeight="1">
      <c r="A61" s="30"/>
      <c r="B61" s="30"/>
      <c r="C61" s="31"/>
      <c r="D61" s="31"/>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row>
    <row r="62" spans="1:66" ht="20" customHeight="1">
      <c r="A62" s="30"/>
      <c r="B62" s="30"/>
      <c r="C62" s="31"/>
      <c r="D62" s="31"/>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row>
    <row r="63" spans="1:66" ht="20" customHeight="1">
      <c r="A63" s="30"/>
      <c r="B63" s="30"/>
      <c r="C63" s="31"/>
      <c r="D63" s="31"/>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row>
    <row r="64" spans="1:66" ht="20" customHeight="1">
      <c r="A64" s="30"/>
      <c r="B64" s="30"/>
      <c r="C64" s="31"/>
      <c r="D64" s="31"/>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row>
    <row r="65" spans="1:66" ht="20" customHeight="1">
      <c r="A65" s="30"/>
      <c r="B65" s="30"/>
      <c r="C65" s="31"/>
      <c r="D65" s="31"/>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row>
    <row r="66" spans="1:66" ht="20" customHeight="1">
      <c r="A66" s="30"/>
      <c r="B66" s="30"/>
      <c r="C66" s="31"/>
      <c r="D66" s="31"/>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row>
    <row r="67" spans="1:66" ht="20" customHeight="1">
      <c r="A67" s="30"/>
      <c r="B67" s="30"/>
      <c r="C67" s="31"/>
      <c r="D67" s="31"/>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row>
    <row r="68" spans="1:66" ht="20" customHeight="1">
      <c r="A68" s="30"/>
      <c r="B68" s="30"/>
      <c r="C68" s="31"/>
      <c r="D68" s="31"/>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row>
    <row r="69" spans="1:66" ht="20" customHeight="1">
      <c r="A69" s="30"/>
      <c r="B69" s="30"/>
      <c r="C69" s="31"/>
      <c r="D69" s="31"/>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row>
    <row r="70" spans="1:66" ht="20" customHeight="1">
      <c r="A70" s="30"/>
      <c r="B70" s="30"/>
      <c r="C70" s="31"/>
      <c r="D70" s="31"/>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row>
    <row r="71" spans="1:66" ht="20" customHeight="1">
      <c r="A71" s="30"/>
      <c r="B71" s="30"/>
      <c r="C71" s="31"/>
      <c r="D71" s="31"/>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row>
    <row r="72" spans="1:66" ht="20" customHeight="1">
      <c r="A72" s="30"/>
      <c r="B72" s="30"/>
      <c r="C72" s="31"/>
      <c r="D72" s="31"/>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row>
    <row r="73" spans="1:66" ht="20" customHeight="1">
      <c r="A73" s="30"/>
      <c r="B73" s="30"/>
      <c r="C73" s="31"/>
      <c r="D73" s="31"/>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row>
    <row r="74" spans="1:66" ht="20" customHeight="1">
      <c r="A74" s="30"/>
      <c r="B74" s="30"/>
      <c r="C74" s="31"/>
      <c r="D74" s="31"/>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row>
    <row r="75" spans="1:66" ht="20" customHeight="1">
      <c r="A75" s="30"/>
      <c r="B75" s="30"/>
      <c r="C75" s="31"/>
      <c r="D75" s="31"/>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row>
    <row r="76" spans="1:66" ht="20" customHeight="1">
      <c r="A76" s="30"/>
      <c r="B76" s="30"/>
      <c r="C76" s="31"/>
      <c r="D76" s="31"/>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row>
    <row r="77" spans="1:66" ht="20" customHeight="1">
      <c r="A77" s="30"/>
      <c r="B77" s="30"/>
      <c r="C77" s="31"/>
      <c r="D77" s="31"/>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row>
    <row r="78" spans="1:66" ht="20" customHeight="1">
      <c r="A78" s="30"/>
      <c r="B78" s="30"/>
      <c r="C78" s="31"/>
      <c r="D78" s="31"/>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row>
    <row r="79" spans="1:66" ht="20" customHeight="1">
      <c r="A79" s="30"/>
      <c r="B79" s="30"/>
      <c r="C79" s="31"/>
      <c r="D79" s="31"/>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row>
    <row r="80" spans="1:66" ht="20" customHeight="1">
      <c r="A80" s="30"/>
      <c r="B80" s="30"/>
      <c r="C80" s="31"/>
      <c r="D80" s="31"/>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row>
    <row r="81" spans="1:66" ht="20" customHeight="1">
      <c r="A81" s="30"/>
      <c r="B81" s="30"/>
      <c r="C81" s="31"/>
      <c r="D81" s="31"/>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row>
    <row r="82" spans="1:66" ht="20" customHeight="1">
      <c r="A82" s="30"/>
      <c r="B82" s="30"/>
      <c r="C82" s="31"/>
      <c r="D82" s="31"/>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row>
    <row r="83" spans="1:66" ht="20" customHeight="1">
      <c r="A83" s="30"/>
      <c r="B83" s="30"/>
      <c r="C83" s="31"/>
      <c r="D83" s="31"/>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row>
    <row r="84" spans="1:66" ht="20" customHeight="1">
      <c r="A84" s="30"/>
      <c r="B84" s="30"/>
      <c r="C84" s="31"/>
      <c r="D84" s="31"/>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row>
    <row r="85" spans="1:66" ht="20" customHeight="1">
      <c r="A85" s="30"/>
      <c r="B85" s="30"/>
      <c r="C85" s="31"/>
      <c r="D85" s="31"/>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row>
    <row r="86" spans="1:66" ht="20" customHeight="1">
      <c r="A86" s="30"/>
      <c r="B86" s="30"/>
      <c r="C86" s="31"/>
      <c r="D86" s="31"/>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row>
    <row r="87" spans="1:66" ht="20" customHeight="1">
      <c r="A87" s="30"/>
      <c r="B87" s="30"/>
      <c r="C87" s="31"/>
      <c r="D87" s="31"/>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row>
    <row r="88" spans="1:66" ht="20" customHeight="1">
      <c r="A88" s="30"/>
      <c r="B88" s="30"/>
      <c r="C88" s="31"/>
      <c r="D88" s="31"/>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row>
    <row r="89" spans="1:66" ht="20" customHeight="1">
      <c r="A89" s="30"/>
      <c r="B89" s="30"/>
      <c r="C89" s="31"/>
      <c r="D89" s="31"/>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row>
    <row r="90" spans="1:66" ht="20" customHeight="1">
      <c r="A90" s="30"/>
      <c r="B90" s="30"/>
      <c r="C90" s="31"/>
      <c r="D90" s="31"/>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row>
    <row r="91" spans="1:66" ht="20" customHeight="1">
      <c r="A91" s="30"/>
      <c r="B91" s="30"/>
      <c r="C91" s="31"/>
      <c r="D91" s="31"/>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row>
    <row r="92" spans="1:66" ht="20" customHeight="1">
      <c r="A92" s="30"/>
      <c r="B92" s="30"/>
      <c r="C92" s="31"/>
      <c r="D92" s="31"/>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row>
    <row r="93" spans="1:66" ht="20" customHeight="1">
      <c r="A93" s="30"/>
      <c r="B93" s="30"/>
      <c r="C93" s="31"/>
      <c r="D93" s="31"/>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row>
    <row r="94" spans="1:66" ht="20" customHeight="1">
      <c r="A94" s="30"/>
      <c r="B94" s="30"/>
      <c r="C94" s="31"/>
      <c r="D94" s="31"/>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row>
    <row r="95" spans="1:66" ht="20" customHeight="1">
      <c r="A95" s="30"/>
      <c r="B95" s="30"/>
      <c r="C95" s="31"/>
      <c r="D95" s="31"/>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row>
    <row r="96" spans="1:66" ht="20" customHeight="1">
      <c r="A96" s="30"/>
      <c r="B96" s="30"/>
      <c r="C96" s="31"/>
      <c r="D96" s="31"/>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row>
    <row r="97" spans="1:66" ht="20" customHeight="1">
      <c r="A97" s="30"/>
      <c r="B97" s="30"/>
      <c r="C97" s="31"/>
      <c r="D97" s="31"/>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row>
    <row r="98" spans="1:66" ht="20" customHeight="1">
      <c r="A98" s="30"/>
      <c r="B98" s="30"/>
      <c r="C98" s="31"/>
      <c r="D98" s="31"/>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row>
    <row r="99" spans="1:66" ht="20" customHeight="1">
      <c r="A99" s="30"/>
      <c r="B99" s="30"/>
      <c r="C99" s="31"/>
      <c r="D99" s="31"/>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row>
    <row r="100" spans="1:66" ht="20" customHeight="1">
      <c r="A100" s="30"/>
      <c r="B100" s="30"/>
      <c r="C100" s="31"/>
      <c r="D100" s="31"/>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row>
    <row r="101" spans="1:66" ht="20" customHeight="1">
      <c r="A101" s="30"/>
      <c r="B101" s="30"/>
      <c r="C101" s="31"/>
      <c r="D101" s="31"/>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row>
    <row r="102" spans="1:66" ht="20" customHeight="1">
      <c r="A102" s="30"/>
      <c r="B102" s="30"/>
      <c r="C102" s="31"/>
      <c r="D102" s="31"/>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row>
    <row r="103" spans="1:66" ht="20" customHeight="1">
      <c r="A103" s="30"/>
      <c r="B103" s="30"/>
      <c r="C103" s="31"/>
      <c r="D103" s="31"/>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row>
    <row r="104" spans="1:66" ht="20" customHeight="1">
      <c r="A104" s="30"/>
      <c r="B104" s="30"/>
      <c r="C104" s="31"/>
      <c r="D104" s="31"/>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row>
    <row r="105" spans="1:66" ht="20" customHeight="1">
      <c r="A105" s="30"/>
      <c r="B105" s="30"/>
      <c r="C105" s="31"/>
      <c r="D105" s="31"/>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row>
    <row r="106" spans="1:66" ht="20" customHeight="1">
      <c r="A106" s="30"/>
      <c r="B106" s="30"/>
      <c r="C106" s="31"/>
      <c r="D106" s="31"/>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row>
    <row r="107" spans="1:66" ht="20" customHeight="1">
      <c r="A107" s="30"/>
      <c r="B107" s="30"/>
      <c r="C107" s="31"/>
      <c r="D107" s="31"/>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row>
    <row r="108" spans="1:66" ht="20" customHeight="1">
      <c r="A108" s="30"/>
      <c r="B108" s="30"/>
      <c r="C108" s="31"/>
      <c r="D108" s="31"/>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row>
    <row r="109" spans="1:66" ht="20" customHeight="1">
      <c r="A109" s="30"/>
      <c r="B109" s="30"/>
      <c r="C109" s="31"/>
      <c r="D109" s="31"/>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row>
    <row r="110" spans="1:66" ht="20" customHeight="1">
      <c r="A110" s="30"/>
      <c r="B110" s="30"/>
      <c r="C110" s="31"/>
      <c r="D110" s="31"/>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row>
    <row r="111" spans="1:66" ht="20" customHeight="1">
      <c r="A111" s="30"/>
      <c r="B111" s="30"/>
      <c r="C111" s="31"/>
      <c r="D111" s="31"/>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row>
    <row r="112" spans="1:66" ht="20" customHeight="1">
      <c r="A112" s="30"/>
      <c r="B112" s="30"/>
      <c r="C112" s="31"/>
      <c r="D112" s="31"/>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row>
    <row r="113" spans="1:66" ht="20" customHeight="1">
      <c r="A113" s="30"/>
      <c r="B113" s="30"/>
      <c r="C113" s="31"/>
      <c r="D113" s="31"/>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row>
    <row r="114" spans="1:66" ht="20" customHeight="1">
      <c r="A114" s="30"/>
      <c r="B114" s="30"/>
      <c r="C114" s="31"/>
      <c r="D114" s="31"/>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row>
    <row r="115" spans="1:66" ht="20" customHeight="1">
      <c r="A115" s="30"/>
      <c r="B115" s="30"/>
      <c r="C115" s="31"/>
      <c r="D115" s="31"/>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row>
    <row r="116" spans="1:66" ht="20" customHeight="1">
      <c r="A116" s="30"/>
      <c r="B116" s="30"/>
      <c r="C116" s="31"/>
      <c r="D116" s="31"/>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row>
    <row r="117" spans="1:66" ht="20" customHeight="1">
      <c r="A117" s="30"/>
      <c r="B117" s="30"/>
      <c r="C117" s="31"/>
      <c r="D117" s="31"/>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row>
    <row r="118" spans="1:66" ht="20" customHeight="1">
      <c r="A118" s="30"/>
      <c r="B118" s="30"/>
      <c r="C118" s="31"/>
      <c r="D118" s="31"/>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row>
    <row r="119" spans="1:66" ht="20" customHeight="1">
      <c r="A119" s="30"/>
      <c r="B119" s="30"/>
      <c r="C119" s="31"/>
      <c r="D119" s="31"/>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row>
    <row r="120" spans="1:66" ht="20" customHeight="1">
      <c r="A120" s="30"/>
      <c r="B120" s="30"/>
      <c r="C120" s="31"/>
      <c r="D120" s="31"/>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row>
    <row r="121" spans="1:66" ht="20" customHeight="1">
      <c r="A121" s="30"/>
      <c r="B121" s="30"/>
      <c r="C121" s="31"/>
      <c r="D121" s="31"/>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row>
    <row r="122" spans="1:66" ht="20" customHeight="1">
      <c r="A122" s="30"/>
      <c r="B122" s="30"/>
      <c r="C122" s="31"/>
      <c r="D122" s="31"/>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row>
    <row r="123" spans="1:66" ht="20" customHeight="1">
      <c r="A123" s="30"/>
      <c r="B123" s="30"/>
      <c r="C123" s="31"/>
      <c r="D123" s="31"/>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row>
    <row r="124" spans="1:66" ht="20" customHeight="1">
      <c r="A124" s="30"/>
      <c r="B124" s="30"/>
      <c r="C124" s="31"/>
      <c r="D124" s="31"/>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row>
    <row r="125" spans="1:66" ht="20" customHeight="1">
      <c r="A125" s="30"/>
      <c r="B125" s="30"/>
      <c r="C125" s="31"/>
      <c r="D125" s="31"/>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row>
    <row r="126" spans="1:66" ht="20" customHeight="1">
      <c r="A126" s="30"/>
      <c r="B126" s="30"/>
      <c r="C126" s="31"/>
      <c r="D126" s="31"/>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row>
    <row r="127" spans="1:66" ht="20" customHeight="1">
      <c r="A127" s="30"/>
      <c r="B127" s="30"/>
      <c r="C127" s="31"/>
      <c r="D127" s="31"/>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row>
    <row r="128" spans="1:66" ht="20" customHeight="1">
      <c r="A128" s="30"/>
      <c r="B128" s="30"/>
      <c r="C128" s="31"/>
      <c r="D128" s="31"/>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row>
    <row r="129" spans="1:66" ht="20" customHeight="1">
      <c r="A129" s="30"/>
      <c r="B129" s="30"/>
      <c r="C129" s="31"/>
      <c r="D129" s="31"/>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row>
    <row r="130" spans="1:66" ht="20" customHeight="1">
      <c r="A130" s="30"/>
      <c r="B130" s="30"/>
      <c r="C130" s="31"/>
      <c r="D130" s="31"/>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row>
    <row r="131" spans="1:66" ht="20" customHeight="1">
      <c r="A131" s="30"/>
      <c r="B131" s="30"/>
      <c r="C131" s="31"/>
      <c r="D131" s="31"/>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row>
    <row r="132" spans="1:66" ht="20" customHeight="1">
      <c r="A132" s="30"/>
      <c r="B132" s="30"/>
      <c r="C132" s="31"/>
      <c r="D132" s="31"/>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row>
    <row r="133" spans="1:66" ht="20" customHeight="1">
      <c r="A133" s="30"/>
      <c r="B133" s="30"/>
      <c r="C133" s="31"/>
      <c r="D133" s="31"/>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row>
    <row r="134" spans="1:66" ht="20" customHeight="1">
      <c r="A134" s="30"/>
      <c r="B134" s="30"/>
      <c r="C134" s="31"/>
      <c r="D134" s="31"/>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row>
    <row r="135" spans="1:66" ht="20" customHeight="1">
      <c r="A135" s="30"/>
      <c r="B135" s="30"/>
      <c r="C135" s="31"/>
      <c r="D135" s="31"/>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row>
    <row r="136" spans="1:66" ht="20" customHeight="1">
      <c r="A136" s="30"/>
      <c r="B136" s="30"/>
      <c r="C136" s="31"/>
      <c r="D136" s="31"/>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row>
    <row r="137" spans="1:66" ht="20" customHeight="1">
      <c r="A137" s="30"/>
      <c r="B137" s="30"/>
      <c r="C137" s="31"/>
      <c r="D137" s="31"/>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row>
    <row r="138" spans="1:66" ht="20" customHeight="1">
      <c r="A138" s="30"/>
      <c r="B138" s="30"/>
      <c r="C138" s="31"/>
      <c r="D138" s="31"/>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row>
    <row r="139" spans="1:66" ht="20" customHeight="1">
      <c r="A139" s="30"/>
      <c r="B139" s="30"/>
      <c r="C139" s="31"/>
      <c r="D139" s="31"/>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row>
    <row r="140" spans="1:66" ht="20" customHeight="1">
      <c r="A140" s="30"/>
      <c r="B140" s="30"/>
      <c r="C140" s="31"/>
      <c r="D140" s="31"/>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row>
    <row r="141" spans="1:66" ht="20" customHeight="1">
      <c r="A141" s="30"/>
      <c r="B141" s="30"/>
      <c r="C141" s="31"/>
      <c r="D141" s="31"/>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row>
    <row r="142" spans="1:66" ht="20" customHeight="1">
      <c r="A142" s="30"/>
      <c r="B142" s="30"/>
      <c r="C142" s="31"/>
      <c r="D142" s="31"/>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row>
    <row r="143" spans="1:66" ht="20" customHeight="1">
      <c r="A143" s="30"/>
      <c r="B143" s="30"/>
      <c r="C143" s="31"/>
      <c r="D143" s="31"/>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row>
    <row r="144" spans="1:66" ht="20" customHeight="1">
      <c r="A144" s="30"/>
      <c r="B144" s="30"/>
      <c r="C144" s="31"/>
      <c r="D144" s="31"/>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row>
    <row r="145" spans="1:66" ht="20" customHeight="1">
      <c r="A145" s="30"/>
      <c r="B145" s="30"/>
      <c r="C145" s="31"/>
      <c r="D145" s="31"/>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row>
    <row r="146" spans="1:66" ht="20" customHeight="1">
      <c r="A146" s="30"/>
      <c r="B146" s="30"/>
      <c r="C146" s="31"/>
      <c r="D146" s="31"/>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row>
    <row r="147" spans="1:66" ht="20" customHeight="1">
      <c r="A147" s="30"/>
      <c r="B147" s="30"/>
      <c r="C147" s="31"/>
      <c r="D147" s="31"/>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row>
    <row r="148" spans="1:66" ht="20" customHeight="1">
      <c r="A148" s="30"/>
      <c r="B148" s="30"/>
      <c r="C148" s="31"/>
      <c r="D148" s="31"/>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row>
    <row r="149" spans="1:66" ht="20" customHeight="1">
      <c r="A149" s="30"/>
      <c r="B149" s="30"/>
      <c r="C149" s="31"/>
      <c r="D149" s="31"/>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row>
    <row r="150" spans="1:66" ht="20" customHeight="1">
      <c r="A150" s="30"/>
      <c r="B150" s="30"/>
      <c r="C150" s="31"/>
      <c r="D150" s="31"/>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row>
    <row r="151" spans="1:66" ht="20" customHeight="1">
      <c r="A151" s="30"/>
      <c r="B151" s="30"/>
      <c r="C151" s="31"/>
      <c r="D151" s="31"/>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row>
    <row r="152" spans="1:66" ht="20" customHeight="1">
      <c r="A152" s="30"/>
      <c r="B152" s="30"/>
      <c r="C152" s="31"/>
      <c r="D152" s="31"/>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row>
    <row r="153" spans="1:66" ht="20" customHeight="1">
      <c r="A153" s="30"/>
      <c r="B153" s="30"/>
      <c r="C153" s="31"/>
      <c r="D153" s="31"/>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row>
    <row r="154" spans="1:66" ht="20" customHeight="1">
      <c r="A154" s="30"/>
      <c r="B154" s="30"/>
      <c r="C154" s="31"/>
      <c r="D154" s="31"/>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row>
    <row r="155" spans="1:66" ht="20" customHeight="1">
      <c r="A155" s="30"/>
      <c r="B155" s="30"/>
      <c r="C155" s="31"/>
      <c r="D155" s="31"/>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row>
    <row r="156" spans="1:66" ht="20" customHeight="1">
      <c r="A156" s="30"/>
      <c r="B156" s="30"/>
      <c r="C156" s="31"/>
      <c r="D156" s="31"/>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row>
    <row r="157" spans="1:66" ht="20" customHeight="1">
      <c r="A157" s="30"/>
      <c r="B157" s="30"/>
      <c r="C157" s="31"/>
      <c r="D157" s="31"/>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row>
    <row r="158" spans="1:66" ht="20" customHeight="1">
      <c r="A158" s="30"/>
      <c r="B158" s="30"/>
      <c r="C158" s="31"/>
      <c r="D158" s="31"/>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row>
    <row r="159" spans="1:66" ht="20" customHeight="1">
      <c r="A159" s="30"/>
      <c r="B159" s="30"/>
      <c r="C159" s="31"/>
      <c r="D159" s="31"/>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row>
    <row r="160" spans="1:66" ht="20" customHeight="1">
      <c r="A160" s="30"/>
      <c r="B160" s="30"/>
      <c r="C160" s="31"/>
      <c r="D160" s="31"/>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row>
    <row r="161" spans="1:66" ht="20" customHeight="1">
      <c r="A161" s="30"/>
      <c r="B161" s="30"/>
      <c r="C161" s="31"/>
      <c r="D161" s="31"/>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row>
    <row r="162" spans="1:66" ht="20" customHeight="1">
      <c r="A162" s="30"/>
      <c r="B162" s="30"/>
      <c r="C162" s="31"/>
      <c r="D162" s="31"/>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row>
    <row r="163" spans="1:66" ht="20" customHeight="1">
      <c r="A163" s="30"/>
      <c r="B163" s="30"/>
      <c r="C163" s="31"/>
      <c r="D163" s="31"/>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row>
    <row r="164" spans="1:66" ht="20" customHeight="1">
      <c r="A164" s="30"/>
      <c r="B164" s="30"/>
      <c r="C164" s="31"/>
      <c r="D164" s="31"/>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row>
    <row r="165" spans="1:66" ht="20" customHeight="1">
      <c r="A165" s="30"/>
      <c r="B165" s="30"/>
      <c r="C165" s="31"/>
      <c r="D165" s="31"/>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row>
    <row r="166" spans="1:66" ht="20" customHeight="1">
      <c r="A166" s="30"/>
      <c r="B166" s="30"/>
      <c r="C166" s="31"/>
      <c r="D166" s="31"/>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row>
    <row r="167" spans="1:66" ht="20" customHeight="1">
      <c r="A167" s="30"/>
      <c r="B167" s="30"/>
      <c r="C167" s="31"/>
      <c r="D167" s="31"/>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row>
    <row r="168" spans="1:66" ht="20" customHeight="1">
      <c r="A168" s="30"/>
      <c r="B168" s="30"/>
      <c r="C168" s="31"/>
      <c r="D168" s="31"/>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row>
    <row r="169" spans="1:66" ht="20" customHeight="1">
      <c r="A169" s="30"/>
      <c r="B169" s="30"/>
      <c r="C169" s="31"/>
      <c r="D169" s="31"/>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row>
    <row r="170" spans="1:66" ht="20" customHeight="1">
      <c r="A170" s="30"/>
      <c r="B170" s="30"/>
      <c r="C170" s="31"/>
      <c r="D170" s="31"/>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row>
    <row r="171" spans="1:66" ht="20" customHeight="1">
      <c r="A171" s="30"/>
      <c r="B171" s="30"/>
      <c r="C171" s="31"/>
      <c r="D171" s="31"/>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row>
    <row r="172" spans="1:66" ht="20" customHeight="1">
      <c r="A172" s="30"/>
      <c r="B172" s="30"/>
      <c r="C172" s="31"/>
      <c r="D172" s="31"/>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row>
    <row r="173" spans="1:66" ht="20" customHeight="1">
      <c r="A173" s="30"/>
      <c r="B173" s="30"/>
      <c r="C173" s="31"/>
      <c r="D173" s="31"/>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row>
    <row r="174" spans="1:66" ht="20" customHeight="1">
      <c r="A174" s="30"/>
      <c r="B174" s="30"/>
      <c r="C174" s="31"/>
      <c r="D174" s="31"/>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row>
    <row r="175" spans="1:66" ht="20" customHeight="1">
      <c r="A175" s="30"/>
      <c r="B175" s="30"/>
      <c r="C175" s="31"/>
      <c r="D175" s="31"/>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row>
    <row r="176" spans="1:66" ht="20" customHeight="1">
      <c r="A176" s="30"/>
      <c r="B176" s="30"/>
      <c r="C176" s="31"/>
      <c r="D176" s="31"/>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row>
    <row r="177" spans="1:66" ht="20" customHeight="1">
      <c r="A177" s="30"/>
      <c r="B177" s="30"/>
      <c r="C177" s="31"/>
      <c r="D177" s="31"/>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row>
    <row r="178" spans="1:66" ht="20" customHeight="1">
      <c r="A178" s="30"/>
      <c r="B178" s="30"/>
      <c r="C178" s="31"/>
      <c r="D178" s="31"/>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row>
    <row r="179" spans="1:66" ht="20" customHeight="1">
      <c r="A179" s="30"/>
      <c r="B179" s="30"/>
      <c r="C179" s="31"/>
      <c r="D179" s="31"/>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row>
    <row r="180" spans="1:66" ht="20" customHeight="1">
      <c r="A180" s="30"/>
      <c r="B180" s="30"/>
      <c r="C180" s="31"/>
      <c r="D180" s="31"/>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row>
    <row r="181" spans="1:66" ht="20" customHeight="1">
      <c r="A181" s="30"/>
      <c r="B181" s="30"/>
      <c r="C181" s="31"/>
      <c r="D181" s="31"/>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row>
    <row r="182" spans="1:66" ht="20" customHeight="1">
      <c r="A182" s="30"/>
      <c r="B182" s="30"/>
      <c r="C182" s="31"/>
      <c r="D182" s="31"/>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row>
    <row r="183" spans="1:66" ht="20" customHeight="1">
      <c r="A183" s="30"/>
      <c r="B183" s="30"/>
      <c r="C183" s="31"/>
      <c r="D183" s="31"/>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row>
    <row r="184" spans="1:66" ht="20" customHeight="1">
      <c r="A184" s="30"/>
      <c r="B184" s="30"/>
      <c r="C184" s="31"/>
      <c r="D184" s="31"/>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row>
    <row r="185" spans="1:66" ht="20" customHeight="1">
      <c r="A185" s="30"/>
      <c r="B185" s="30"/>
      <c r="C185" s="31"/>
      <c r="D185" s="31"/>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row>
    <row r="186" spans="1:66" ht="20" customHeight="1">
      <c r="A186" s="30"/>
      <c r="B186" s="30"/>
      <c r="C186" s="31"/>
      <c r="D186" s="31"/>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row>
    <row r="187" spans="1:66" ht="20" customHeight="1">
      <c r="A187" s="30"/>
      <c r="B187" s="30"/>
      <c r="C187" s="31"/>
      <c r="D187" s="31"/>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row>
    <row r="188" spans="1:66" ht="20" customHeight="1">
      <c r="A188" s="30"/>
      <c r="B188" s="30"/>
      <c r="C188" s="31"/>
      <c r="D188" s="31"/>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row>
    <row r="189" spans="1:66" ht="20" customHeight="1">
      <c r="A189" s="30"/>
      <c r="B189" s="30"/>
      <c r="C189" s="31"/>
      <c r="D189" s="31"/>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row>
    <row r="190" spans="1:66" ht="20" customHeight="1">
      <c r="A190" s="30"/>
      <c r="B190" s="30"/>
      <c r="C190" s="31"/>
      <c r="D190" s="31"/>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row>
    <row r="191" spans="1:66" ht="20" customHeight="1">
      <c r="A191" s="30"/>
      <c r="B191" s="30"/>
      <c r="C191" s="31"/>
      <c r="D191" s="31"/>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row>
    <row r="192" spans="1:66" ht="20" customHeight="1">
      <c r="A192" s="30"/>
      <c r="B192" s="30"/>
      <c r="C192" s="31"/>
      <c r="D192" s="31"/>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row>
    <row r="193" spans="1:66" ht="20" customHeight="1">
      <c r="A193" s="30"/>
      <c r="B193" s="30"/>
      <c r="C193" s="31"/>
      <c r="D193" s="31"/>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row>
    <row r="194" spans="1:66" ht="20" customHeight="1">
      <c r="A194" s="30"/>
      <c r="B194" s="30"/>
      <c r="C194" s="31"/>
      <c r="D194" s="31"/>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row>
    <row r="195" spans="1:66" ht="20" customHeight="1">
      <c r="A195" s="30"/>
      <c r="B195" s="30"/>
      <c r="C195" s="31"/>
      <c r="D195" s="31"/>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row>
    <row r="196" spans="1:66" ht="20" customHeight="1">
      <c r="A196" s="30"/>
      <c r="B196" s="30"/>
      <c r="C196" s="31"/>
      <c r="D196" s="31"/>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row>
    <row r="197" spans="1:66" ht="20" customHeight="1">
      <c r="A197" s="30"/>
      <c r="B197" s="30"/>
      <c r="C197" s="31"/>
      <c r="D197" s="31"/>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row>
    <row r="198" spans="1:66" ht="20" customHeight="1">
      <c r="A198" s="30"/>
      <c r="B198" s="30"/>
      <c r="C198" s="31"/>
      <c r="D198" s="31"/>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row>
    <row r="199" spans="1:66" ht="20" customHeight="1">
      <c r="A199" s="30"/>
      <c r="B199" s="30"/>
      <c r="C199" s="31"/>
      <c r="D199" s="31"/>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row>
    <row r="200" spans="1:66" ht="20" customHeight="1">
      <c r="A200" s="30"/>
      <c r="B200" s="30"/>
      <c r="C200" s="31"/>
      <c r="D200" s="31"/>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row>
  </sheetData>
  <mergeCells count="2">
    <mergeCell ref="C57:I57"/>
    <mergeCell ref="C58:I58"/>
  </mergeCells>
  <conditionalFormatting sqref="E8:I27">
    <cfRule type="cellIs" dxfId="0" priority="1" operator="notBetween">
      <formula>-0.001</formula>
      <formula>0.001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07483"/>
  </sheetPr>
  <dimension ref="C1:BN200"/>
  <sheetViews>
    <sheetView showGridLines="0" workbookViewId="0">
      <pane xSplit="4" ySplit="7" topLeftCell="E8" activePane="bottomRight" state="frozen"/>
      <selection pane="topRight"/>
      <selection pane="bottomLeft"/>
      <selection pane="bottomRight" activeCell="E8" sqref="E8"/>
    </sheetView>
  </sheetViews>
  <sheetFormatPr baseColWidth="10" defaultColWidth="8.83203125" defaultRowHeight="14"/>
  <cols>
    <col min="1" max="2" width="2" customWidth="1"/>
    <col min="3" max="3" width="48" customWidth="1"/>
    <col min="4" max="4" width="3" customWidth="1"/>
    <col min="5" max="66" width="14" customWidth="1"/>
  </cols>
  <sheetData>
    <row r="1" spans="3:66" ht="20" customHeight="1">
      <c r="C1" s="1"/>
      <c r="D1" s="1"/>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row>
    <row r="2" spans="3:66" ht="20" customHeight="1">
      <c r="C2" s="3" t="s">
        <v>790</v>
      </c>
      <c r="D2" s="1"/>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row>
    <row r="3" spans="3:66" ht="20" customHeight="1">
      <c r="C3" s="4" t="s">
        <v>49</v>
      </c>
      <c r="D3" s="1"/>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row>
    <row r="4" spans="3:66" ht="20" customHeight="1">
      <c r="C4" s="1" t="s">
        <v>2</v>
      </c>
      <c r="D4" s="1"/>
      <c r="E4" s="5" t="str">
        <f>CHOOSE(Assumptions!$E$5,"Base","Downside","Upside")</f>
        <v>Base</v>
      </c>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row>
    <row r="5" spans="3:66" ht="20" customHeight="1">
      <c r="C5" s="1"/>
      <c r="D5" s="1"/>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row>
    <row r="6" spans="3:66" ht="20" customHeight="1">
      <c r="C6" s="1"/>
      <c r="D6" s="1"/>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row>
    <row r="7" spans="3:66" ht="44" customHeight="1">
      <c r="C7" s="111" t="s">
        <v>791</v>
      </c>
      <c r="D7" s="111"/>
      <c r="E7" s="112"/>
      <c r="F7" s="112"/>
      <c r="G7" s="112"/>
      <c r="H7" s="112"/>
      <c r="I7" s="112"/>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2"/>
      <c r="BN7" s="2"/>
    </row>
    <row r="8" spans="3:66" ht="54" customHeight="1">
      <c r="C8" s="113" t="s">
        <v>792</v>
      </c>
      <c r="D8" s="113"/>
      <c r="E8" s="114"/>
      <c r="F8" s="114"/>
      <c r="G8" s="114"/>
      <c r="H8" s="114"/>
      <c r="I8" s="114"/>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row>
    <row r="9" spans="3:66" ht="44" customHeight="1">
      <c r="C9" s="115" t="s">
        <v>793</v>
      </c>
      <c r="D9" s="115"/>
      <c r="E9" s="116"/>
      <c r="F9" s="116"/>
      <c r="G9" s="116"/>
      <c r="H9" s="116"/>
      <c r="I9" s="116"/>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row>
    <row r="10" spans="3:66" ht="53" customHeight="1">
      <c r="C10" s="115" t="s">
        <v>794</v>
      </c>
      <c r="D10" s="115"/>
      <c r="E10" s="116"/>
      <c r="F10" s="116"/>
      <c r="G10" s="116"/>
      <c r="H10" s="116"/>
      <c r="I10" s="116"/>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row>
    <row r="11" spans="3:66" ht="44" customHeight="1">
      <c r="C11" s="115" t="s">
        <v>795</v>
      </c>
      <c r="D11" s="115"/>
      <c r="E11" s="116"/>
      <c r="F11" s="116"/>
      <c r="G11" s="116"/>
      <c r="H11" s="116"/>
      <c r="I11" s="116"/>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row>
    <row r="12" spans="3:66" ht="53" customHeight="1">
      <c r="C12" s="115" t="s">
        <v>796</v>
      </c>
      <c r="D12" s="115"/>
      <c r="E12" s="116"/>
      <c r="F12" s="116"/>
      <c r="G12" s="116"/>
      <c r="H12" s="116"/>
      <c r="I12" s="116"/>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row>
    <row r="13" spans="3:66" ht="53" customHeight="1">
      <c r="C13" s="115" t="s">
        <v>797</v>
      </c>
      <c r="D13" s="115"/>
      <c r="E13" s="116"/>
      <c r="F13" s="116"/>
      <c r="G13" s="116"/>
      <c r="H13" s="116"/>
      <c r="I13" s="116"/>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row>
    <row r="14" spans="3:66" ht="44" customHeight="1">
      <c r="C14" s="115" t="s">
        <v>798</v>
      </c>
      <c r="D14" s="115"/>
      <c r="E14" s="116"/>
      <c r="F14" s="116"/>
      <c r="G14" s="116"/>
      <c r="H14" s="116"/>
      <c r="I14" s="116"/>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row>
    <row r="15" spans="3:66" ht="44" customHeight="1">
      <c r="C15" s="115" t="s">
        <v>799</v>
      </c>
      <c r="D15" s="115"/>
      <c r="E15" s="116"/>
      <c r="F15" s="116"/>
      <c r="G15" s="116"/>
      <c r="H15" s="116"/>
      <c r="I15" s="116"/>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row>
    <row r="16" spans="3:66" ht="44" customHeight="1">
      <c r="C16" s="115" t="s">
        <v>800</v>
      </c>
      <c r="D16" s="115"/>
      <c r="E16" s="116"/>
      <c r="F16" s="116"/>
      <c r="G16" s="116"/>
      <c r="H16" s="116"/>
      <c r="I16" s="116"/>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row>
    <row r="17" spans="3:66" ht="44" customHeight="1">
      <c r="C17" s="115" t="s">
        <v>801</v>
      </c>
      <c r="D17" s="115"/>
      <c r="E17" s="116"/>
      <c r="F17" s="116"/>
      <c r="G17" s="116"/>
      <c r="H17" s="116"/>
      <c r="I17" s="116"/>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row>
    <row r="18" spans="3:66" ht="44" customHeight="1">
      <c r="C18" s="115" t="s">
        <v>802</v>
      </c>
      <c r="D18" s="115"/>
      <c r="E18" s="116"/>
      <c r="F18" s="116"/>
      <c r="G18" s="116"/>
      <c r="H18" s="116"/>
      <c r="I18" s="116"/>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row>
    <row r="19" spans="3:66" ht="54" customHeight="1">
      <c r="C19" s="113" t="s">
        <v>803</v>
      </c>
      <c r="D19" s="113"/>
      <c r="E19" s="114"/>
      <c r="F19" s="114"/>
      <c r="G19" s="114"/>
      <c r="H19" s="114"/>
      <c r="I19" s="114"/>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row>
    <row r="20" spans="3:66" ht="44" customHeight="1">
      <c r="C20" s="115" t="s">
        <v>804</v>
      </c>
      <c r="D20" s="115"/>
      <c r="E20" s="116"/>
      <c r="F20" s="116"/>
      <c r="G20" s="116"/>
      <c r="H20" s="116"/>
      <c r="I20" s="116"/>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row>
    <row r="21" spans="3:66" ht="53" customHeight="1">
      <c r="C21" s="115" t="s">
        <v>805</v>
      </c>
      <c r="D21" s="115"/>
      <c r="E21" s="116"/>
      <c r="F21" s="116"/>
      <c r="G21" s="116"/>
      <c r="H21" s="116"/>
      <c r="I21" s="116"/>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row>
    <row r="22" spans="3:66" ht="53" customHeight="1">
      <c r="C22" s="115" t="s">
        <v>806</v>
      </c>
      <c r="D22" s="115"/>
      <c r="E22" s="116"/>
      <c r="F22" s="116"/>
      <c r="G22" s="116"/>
      <c r="H22" s="116"/>
      <c r="I22" s="116"/>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row>
    <row r="23" spans="3:66" ht="53" customHeight="1">
      <c r="C23" s="115" t="s">
        <v>807</v>
      </c>
      <c r="D23" s="115"/>
      <c r="E23" s="116"/>
      <c r="F23" s="116"/>
      <c r="G23" s="116"/>
      <c r="H23" s="116"/>
      <c r="I23" s="116"/>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row>
    <row r="24" spans="3:66" ht="44" customHeight="1">
      <c r="C24" s="115" t="s">
        <v>808</v>
      </c>
      <c r="D24" s="115"/>
      <c r="E24" s="116"/>
      <c r="F24" s="116"/>
      <c r="G24" s="116"/>
      <c r="H24" s="116"/>
      <c r="I24" s="116"/>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row>
    <row r="25" spans="3:66" ht="53" customHeight="1">
      <c r="C25" s="115" t="s">
        <v>809</v>
      </c>
      <c r="D25" s="115"/>
      <c r="E25" s="116"/>
      <c r="F25" s="116"/>
      <c r="G25" s="116"/>
      <c r="H25" s="116"/>
      <c r="I25" s="116"/>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row>
    <row r="26" spans="3:66" ht="54" customHeight="1">
      <c r="C26" s="113" t="s">
        <v>810</v>
      </c>
      <c r="D26" s="113"/>
      <c r="E26" s="114"/>
      <c r="F26" s="114"/>
      <c r="G26" s="114"/>
      <c r="H26" s="114"/>
      <c r="I26" s="114"/>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row>
    <row r="27" spans="3:66" ht="44" customHeight="1">
      <c r="C27" s="115" t="s">
        <v>811</v>
      </c>
      <c r="D27" s="115"/>
      <c r="E27" s="116"/>
      <c r="F27" s="116"/>
      <c r="G27" s="116"/>
      <c r="H27" s="116"/>
      <c r="I27" s="116"/>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row>
    <row r="28" spans="3:66" ht="53" customHeight="1">
      <c r="C28" s="115" t="s">
        <v>812</v>
      </c>
      <c r="D28" s="115"/>
      <c r="E28" s="116"/>
      <c r="F28" s="116"/>
      <c r="G28" s="116"/>
      <c r="H28" s="116"/>
      <c r="I28" s="116"/>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row>
    <row r="29" spans="3:66" ht="68" customHeight="1">
      <c r="C29" s="115" t="s">
        <v>813</v>
      </c>
      <c r="D29" s="115"/>
      <c r="E29" s="116"/>
      <c r="F29" s="116"/>
      <c r="G29" s="116"/>
      <c r="H29" s="116"/>
      <c r="I29" s="116"/>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row>
    <row r="30" spans="3:66" ht="44" customHeight="1">
      <c r="C30" s="115" t="s">
        <v>814</v>
      </c>
      <c r="D30" s="115"/>
      <c r="E30" s="116"/>
      <c r="F30" s="116"/>
      <c r="G30" s="116"/>
      <c r="H30" s="116"/>
      <c r="I30" s="116"/>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row>
    <row r="31" spans="3:66" ht="20" customHeight="1">
      <c r="C31" s="1"/>
      <c r="D31" s="1"/>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row>
    <row r="32" spans="3:66" ht="20" customHeight="1">
      <c r="C32" s="1"/>
      <c r="D32" s="1"/>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row>
    <row r="33" spans="3:66" ht="20" customHeight="1">
      <c r="C33" s="1"/>
      <c r="D33" s="1"/>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row>
    <row r="34" spans="3:66" ht="36" customHeight="1">
      <c r="C34" s="117" t="s">
        <v>815</v>
      </c>
      <c r="D34" s="117"/>
      <c r="E34" s="118"/>
      <c r="F34" s="118"/>
      <c r="G34" s="118"/>
      <c r="H34" s="118"/>
      <c r="I34" s="118"/>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row>
    <row r="35" spans="3:66" ht="36" customHeight="1">
      <c r="C35" s="117" t="s">
        <v>816</v>
      </c>
      <c r="D35" s="117"/>
      <c r="E35" s="118"/>
      <c r="F35" s="118"/>
      <c r="G35" s="118"/>
      <c r="H35" s="118"/>
      <c r="I35" s="118"/>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row>
    <row r="36" spans="3:66" ht="36" customHeight="1">
      <c r="C36" s="117" t="s">
        <v>817</v>
      </c>
      <c r="D36" s="117"/>
      <c r="E36" s="118"/>
      <c r="F36" s="118"/>
      <c r="G36" s="118"/>
      <c r="H36" s="118"/>
      <c r="I36" s="118"/>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row>
    <row r="37" spans="3:66" ht="36" customHeight="1">
      <c r="C37" s="117" t="s">
        <v>818</v>
      </c>
      <c r="D37" s="117"/>
      <c r="E37" s="118"/>
      <c r="F37" s="118"/>
      <c r="G37" s="118"/>
      <c r="H37" s="118"/>
      <c r="I37" s="118"/>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row>
    <row r="38" spans="3:66" ht="54" customHeight="1">
      <c r="C38" s="113" t="s">
        <v>819</v>
      </c>
      <c r="D38" s="113"/>
      <c r="E38" s="114"/>
      <c r="F38" s="114"/>
      <c r="G38" s="114"/>
      <c r="H38" s="114"/>
      <c r="I38" s="114"/>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row>
    <row r="39" spans="3:66" ht="36" customHeight="1">
      <c r="C39" s="117" t="s">
        <v>820</v>
      </c>
      <c r="D39" s="117"/>
      <c r="E39" s="118"/>
      <c r="F39" s="118"/>
      <c r="G39" s="118"/>
      <c r="H39" s="118"/>
      <c r="I39" s="118"/>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row>
    <row r="40" spans="3:66" ht="36" customHeight="1">
      <c r="C40" s="117" t="s">
        <v>821</v>
      </c>
      <c r="D40" s="117"/>
      <c r="E40" s="118"/>
      <c r="F40" s="118"/>
      <c r="G40" s="118"/>
      <c r="H40" s="118"/>
      <c r="I40" s="118"/>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row>
    <row r="41" spans="3:66" ht="36" customHeight="1">
      <c r="C41" s="117" t="s">
        <v>822</v>
      </c>
      <c r="D41" s="117"/>
      <c r="E41" s="118"/>
      <c r="F41" s="118"/>
      <c r="G41" s="118"/>
      <c r="H41" s="118"/>
      <c r="I41" s="118"/>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row>
    <row r="42" spans="3:66" ht="54" customHeight="1">
      <c r="C42" s="113" t="s">
        <v>823</v>
      </c>
      <c r="D42" s="113"/>
      <c r="E42" s="114"/>
      <c r="F42" s="114"/>
      <c r="G42" s="114"/>
      <c r="H42" s="114"/>
      <c r="I42" s="114"/>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row>
    <row r="43" spans="3:66" ht="54" customHeight="1">
      <c r="C43" s="113" t="s">
        <v>824</v>
      </c>
      <c r="D43" s="113"/>
      <c r="E43" s="114"/>
      <c r="F43" s="114"/>
      <c r="G43" s="114"/>
      <c r="H43" s="114"/>
      <c r="I43" s="114"/>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row>
    <row r="44" spans="3:66" ht="54" customHeight="1">
      <c r="C44" s="113" t="s">
        <v>825</v>
      </c>
      <c r="D44" s="113"/>
      <c r="E44" s="114"/>
      <c r="F44" s="114"/>
      <c r="G44" s="114"/>
      <c r="H44" s="114"/>
      <c r="I44" s="114"/>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row>
    <row r="45" spans="3:66" ht="54" customHeight="1">
      <c r="C45" s="113" t="s">
        <v>826</v>
      </c>
      <c r="D45" s="113"/>
      <c r="E45" s="114"/>
      <c r="F45" s="114"/>
      <c r="G45" s="114"/>
      <c r="H45" s="114"/>
      <c r="I45" s="114"/>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row>
    <row r="46" spans="3:66" ht="20" customHeight="1">
      <c r="C46" s="1"/>
      <c r="D46" s="1"/>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row>
    <row r="47" spans="3:66" ht="20" customHeight="1">
      <c r="C47" s="1"/>
      <c r="D47" s="1"/>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row>
    <row r="48" spans="3:66" ht="20" customHeight="1">
      <c r="C48" s="1"/>
      <c r="D48" s="1"/>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row>
    <row r="49" spans="3:66" ht="20" customHeight="1">
      <c r="C49" s="1"/>
      <c r="D49" s="1"/>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row>
    <row r="50" spans="3:66" ht="20" customHeight="1">
      <c r="C50" s="1"/>
      <c r="D50" s="1"/>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row>
    <row r="51" spans="3:66" ht="20" customHeight="1">
      <c r="C51" s="1"/>
      <c r="D51" s="1"/>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row>
    <row r="52" spans="3:66" ht="20" customHeight="1">
      <c r="C52" s="1"/>
      <c r="D52" s="1"/>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row>
    <row r="53" spans="3:66" ht="20" customHeight="1">
      <c r="C53" s="1"/>
      <c r="D53" s="1"/>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row>
    <row r="54" spans="3:66" ht="20" customHeight="1">
      <c r="C54" s="1"/>
      <c r="D54" s="1"/>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row>
    <row r="55" spans="3:66" ht="20" customHeight="1">
      <c r="C55" s="1"/>
      <c r="D55" s="1"/>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row>
    <row r="56" spans="3:66" ht="20" customHeight="1">
      <c r="C56" s="1"/>
      <c r="D56" s="1"/>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row>
    <row r="57" spans="3:66" ht="20" customHeight="1">
      <c r="C57" s="1"/>
      <c r="D57" s="1"/>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row>
    <row r="58" spans="3:66" ht="20" customHeight="1">
      <c r="C58" s="1"/>
      <c r="D58" s="1"/>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row>
    <row r="59" spans="3:66" ht="20" customHeight="1">
      <c r="C59" s="1"/>
      <c r="D59" s="1"/>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row>
    <row r="60" spans="3:66" ht="20" customHeight="1">
      <c r="C60" s="1"/>
      <c r="D60" s="1"/>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row>
    <row r="61" spans="3:66" ht="20" customHeight="1">
      <c r="C61" s="1"/>
      <c r="D61" s="1"/>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row>
    <row r="62" spans="3:66" ht="20" customHeight="1">
      <c r="C62" s="1"/>
      <c r="D62" s="1"/>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row>
    <row r="63" spans="3:66" ht="20" customHeight="1">
      <c r="C63" s="1"/>
      <c r="D63" s="1"/>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row>
    <row r="64" spans="3:66" ht="20" customHeight="1">
      <c r="C64" s="1"/>
      <c r="D64" s="1"/>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row>
    <row r="65" spans="3:66" ht="20" customHeight="1">
      <c r="C65" s="1"/>
      <c r="D65" s="1"/>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row>
    <row r="66" spans="3:66" ht="20" customHeight="1">
      <c r="C66" s="1"/>
      <c r="D66" s="1"/>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row>
    <row r="67" spans="3:66" ht="20" customHeight="1">
      <c r="C67" s="1"/>
      <c r="D67" s="1"/>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row>
    <row r="68" spans="3:66" ht="20" customHeight="1">
      <c r="C68" s="1"/>
      <c r="D68" s="1"/>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row>
    <row r="69" spans="3:66" ht="20" customHeight="1">
      <c r="C69" s="1"/>
      <c r="D69" s="1"/>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row>
    <row r="70" spans="3:66" ht="20" customHeight="1">
      <c r="C70" s="1"/>
      <c r="D70" s="1"/>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row>
    <row r="71" spans="3:66" ht="20" customHeight="1">
      <c r="C71" s="1"/>
      <c r="D71" s="1"/>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row>
    <row r="72" spans="3:66" ht="20" customHeight="1">
      <c r="C72" s="1"/>
      <c r="D72" s="1"/>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row>
    <row r="73" spans="3:66" ht="20" customHeight="1">
      <c r="C73" s="1"/>
      <c r="D73" s="1"/>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row>
    <row r="74" spans="3:66" ht="20" customHeight="1">
      <c r="C74" s="1"/>
      <c r="D74" s="1"/>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row>
    <row r="75" spans="3:66" ht="20" customHeight="1">
      <c r="C75" s="1"/>
      <c r="D75" s="1"/>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row>
    <row r="76" spans="3:66" ht="20" customHeight="1">
      <c r="C76" s="1"/>
      <c r="D76" s="1"/>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row>
    <row r="77" spans="3:66" ht="20" customHeight="1">
      <c r="C77" s="1"/>
      <c r="D77" s="1"/>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row>
    <row r="78" spans="3:66" ht="20" customHeight="1">
      <c r="C78" s="1"/>
      <c r="D78" s="1"/>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row>
    <row r="79" spans="3:66" ht="20" customHeight="1">
      <c r="C79" s="1"/>
      <c r="D79" s="1"/>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row>
    <row r="80" spans="3:66" ht="20" customHeight="1">
      <c r="C80" s="1"/>
      <c r="D80" s="1"/>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row>
    <row r="81" spans="3:66" ht="20" customHeight="1">
      <c r="C81" s="1"/>
      <c r="D81" s="1"/>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row>
    <row r="82" spans="3:66" ht="20" customHeight="1">
      <c r="C82" s="1"/>
      <c r="D82" s="1"/>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row>
    <row r="83" spans="3:66" ht="20" customHeight="1">
      <c r="C83" s="1"/>
      <c r="D83" s="1"/>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row>
    <row r="84" spans="3:66" ht="20" customHeight="1">
      <c r="C84" s="1"/>
      <c r="D84" s="1"/>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row>
    <row r="85" spans="3:66" ht="20" customHeight="1">
      <c r="C85" s="1"/>
      <c r="D85" s="1"/>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row>
    <row r="86" spans="3:66" ht="20" customHeight="1">
      <c r="C86" s="1"/>
      <c r="D86" s="1"/>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row>
    <row r="87" spans="3:66" ht="20" customHeight="1">
      <c r="C87" s="1"/>
      <c r="D87" s="1"/>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row>
    <row r="88" spans="3:66" ht="20" customHeight="1">
      <c r="C88" s="1"/>
      <c r="D88" s="1"/>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row>
    <row r="89" spans="3:66" ht="20" customHeight="1">
      <c r="C89" s="1"/>
      <c r="D89" s="1"/>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row>
    <row r="90" spans="3:66" ht="20" customHeight="1">
      <c r="C90" s="1"/>
      <c r="D90" s="1"/>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row>
    <row r="91" spans="3:66" ht="20" customHeight="1">
      <c r="C91" s="1"/>
      <c r="D91" s="1"/>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row>
    <row r="92" spans="3:66" ht="20" customHeight="1">
      <c r="C92" s="1"/>
      <c r="D92" s="1"/>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row>
    <row r="93" spans="3:66" ht="20" customHeight="1">
      <c r="C93" s="1"/>
      <c r="D93" s="1"/>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row>
    <row r="94" spans="3:66" ht="20" customHeight="1">
      <c r="C94" s="1"/>
      <c r="D94" s="1"/>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row>
    <row r="95" spans="3:66" ht="20" customHeight="1">
      <c r="C95" s="1"/>
      <c r="D95" s="1"/>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row>
    <row r="96" spans="3:66" ht="20" customHeight="1">
      <c r="C96" s="1"/>
      <c r="D96" s="1"/>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row>
    <row r="97" spans="3:66" ht="20" customHeight="1">
      <c r="C97" s="1"/>
      <c r="D97" s="1"/>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row>
    <row r="98" spans="3:66" ht="20" customHeight="1">
      <c r="C98" s="1"/>
      <c r="D98" s="1"/>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row>
    <row r="99" spans="3:66" ht="20" customHeight="1">
      <c r="C99" s="1"/>
      <c r="D99" s="1"/>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row>
    <row r="100" spans="3:66" ht="20" customHeight="1">
      <c r="C100" s="1"/>
      <c r="D100" s="1"/>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row>
    <row r="101" spans="3:66" ht="20" customHeight="1">
      <c r="C101" s="1"/>
      <c r="D101" s="1"/>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row>
    <row r="102" spans="3:66" ht="20" customHeight="1">
      <c r="C102" s="1"/>
      <c r="D102" s="1"/>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row>
    <row r="103" spans="3:66" ht="20" customHeight="1">
      <c r="C103" s="1"/>
      <c r="D103" s="1"/>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row>
    <row r="104" spans="3:66" ht="20" customHeight="1">
      <c r="C104" s="1"/>
      <c r="D104" s="1"/>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row>
    <row r="105" spans="3:66" ht="20" customHeight="1">
      <c r="C105" s="1"/>
      <c r="D105" s="1"/>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row>
    <row r="106" spans="3:66" ht="20" customHeight="1">
      <c r="C106" s="1"/>
      <c r="D106" s="1"/>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row>
    <row r="107" spans="3:66" ht="20" customHeight="1">
      <c r="C107" s="1"/>
      <c r="D107" s="1"/>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row>
    <row r="108" spans="3:66" ht="20" customHeight="1">
      <c r="C108" s="1"/>
      <c r="D108" s="1"/>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row>
    <row r="109" spans="3:66" ht="20" customHeight="1">
      <c r="C109" s="1"/>
      <c r="D109" s="1"/>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row>
    <row r="110" spans="3:66" ht="20" customHeight="1">
      <c r="C110" s="1"/>
      <c r="D110" s="1"/>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row>
    <row r="111" spans="3:66" ht="20" customHeight="1">
      <c r="C111" s="1"/>
      <c r="D111" s="1"/>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row>
    <row r="112" spans="3:66" ht="20" customHeight="1">
      <c r="C112" s="1"/>
      <c r="D112" s="1"/>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row>
    <row r="113" spans="3:66" ht="20" customHeight="1">
      <c r="C113" s="1"/>
      <c r="D113" s="1"/>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row>
    <row r="114" spans="3:66" ht="20" customHeight="1">
      <c r="C114" s="1"/>
      <c r="D114" s="1"/>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row>
    <row r="115" spans="3:66" ht="20" customHeight="1">
      <c r="C115" s="1"/>
      <c r="D115" s="1"/>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row>
    <row r="116" spans="3:66" ht="20" customHeight="1">
      <c r="C116" s="1"/>
      <c r="D116" s="1"/>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row>
    <row r="117" spans="3:66" ht="20" customHeight="1">
      <c r="C117" s="1"/>
      <c r="D117" s="1"/>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row>
    <row r="118" spans="3:66" ht="20" customHeight="1">
      <c r="C118" s="1"/>
      <c r="D118" s="1"/>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row>
    <row r="119" spans="3:66" ht="20" customHeight="1">
      <c r="C119" s="1"/>
      <c r="D119" s="1"/>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row>
    <row r="120" spans="3:66" ht="20" customHeight="1">
      <c r="C120" s="1"/>
      <c r="D120" s="1"/>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row>
    <row r="121" spans="3:66" ht="20" customHeight="1">
      <c r="C121" s="1"/>
      <c r="D121" s="1"/>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row>
    <row r="122" spans="3:66" ht="20" customHeight="1">
      <c r="C122" s="1"/>
      <c r="D122" s="1"/>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row>
    <row r="123" spans="3:66" ht="20" customHeight="1">
      <c r="C123" s="1"/>
      <c r="D123" s="1"/>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row>
    <row r="124" spans="3:66" ht="20" customHeight="1">
      <c r="C124" s="1"/>
      <c r="D124" s="1"/>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row>
    <row r="125" spans="3:66" ht="20" customHeight="1">
      <c r="C125" s="1"/>
      <c r="D125" s="1"/>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row>
    <row r="126" spans="3:66" ht="20" customHeight="1">
      <c r="C126" s="1"/>
      <c r="D126" s="1"/>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row>
    <row r="127" spans="3:66" ht="20" customHeight="1">
      <c r="C127" s="1"/>
      <c r="D127" s="1"/>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row>
    <row r="128" spans="3:66" ht="20" customHeight="1">
      <c r="C128" s="1"/>
      <c r="D128" s="1"/>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row>
    <row r="129" spans="3:66" ht="20" customHeight="1">
      <c r="C129" s="1"/>
      <c r="D129" s="1"/>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row>
    <row r="130" spans="3:66" ht="20" customHeight="1">
      <c r="C130" s="1"/>
      <c r="D130" s="1"/>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row>
    <row r="131" spans="3:66" ht="20" customHeight="1">
      <c r="C131" s="1"/>
      <c r="D131" s="1"/>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row>
    <row r="132" spans="3:66" ht="20" customHeight="1">
      <c r="C132" s="1"/>
      <c r="D132" s="1"/>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row>
    <row r="133" spans="3:66" ht="20" customHeight="1">
      <c r="C133" s="1"/>
      <c r="D133" s="1"/>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row>
    <row r="134" spans="3:66" ht="20" customHeight="1">
      <c r="C134" s="1"/>
      <c r="D134" s="1"/>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row>
    <row r="135" spans="3:66" ht="20" customHeight="1">
      <c r="C135" s="1"/>
      <c r="D135" s="1"/>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row>
    <row r="136" spans="3:66" ht="20" customHeight="1">
      <c r="C136" s="1"/>
      <c r="D136" s="1"/>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row>
    <row r="137" spans="3:66" ht="20" customHeight="1">
      <c r="C137" s="1"/>
      <c r="D137" s="1"/>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row>
    <row r="138" spans="3:66" ht="20" customHeight="1">
      <c r="C138" s="1"/>
      <c r="D138" s="1"/>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row>
    <row r="139" spans="3:66" ht="20" customHeight="1">
      <c r="C139" s="1"/>
      <c r="D139" s="1"/>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row>
    <row r="140" spans="3:66" ht="20" customHeight="1">
      <c r="C140" s="1"/>
      <c r="D140" s="1"/>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row>
    <row r="141" spans="3:66" ht="20" customHeight="1">
      <c r="C141" s="1"/>
      <c r="D141" s="1"/>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row>
    <row r="142" spans="3:66" ht="20" customHeight="1">
      <c r="C142" s="1"/>
      <c r="D142" s="1"/>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row>
    <row r="143" spans="3:66" ht="20" customHeight="1">
      <c r="C143" s="1"/>
      <c r="D143" s="1"/>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row>
    <row r="144" spans="3:66" ht="20" customHeight="1">
      <c r="C144" s="1"/>
      <c r="D144" s="1"/>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row>
    <row r="145" spans="3:66" ht="20" customHeight="1">
      <c r="C145" s="1"/>
      <c r="D145" s="1"/>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row>
    <row r="146" spans="3:66" ht="20" customHeight="1">
      <c r="C146" s="1"/>
      <c r="D146" s="1"/>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row>
    <row r="147" spans="3:66" ht="20" customHeight="1">
      <c r="C147" s="1"/>
      <c r="D147" s="1"/>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row>
    <row r="148" spans="3:66" ht="20" customHeight="1">
      <c r="C148" s="1"/>
      <c r="D148" s="1"/>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row>
    <row r="149" spans="3:66" ht="20" customHeight="1">
      <c r="C149" s="1"/>
      <c r="D149" s="1"/>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row>
    <row r="150" spans="3:66" ht="20" customHeight="1">
      <c r="C150" s="1"/>
      <c r="D150" s="1"/>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row>
    <row r="151" spans="3:66" ht="20" customHeight="1">
      <c r="C151" s="1"/>
      <c r="D151" s="1"/>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row>
    <row r="152" spans="3:66" ht="20" customHeight="1">
      <c r="C152" s="1"/>
      <c r="D152" s="1"/>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row>
    <row r="153" spans="3:66" ht="20" customHeight="1">
      <c r="C153" s="1"/>
      <c r="D153" s="1"/>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row>
    <row r="154" spans="3:66" ht="20" customHeight="1">
      <c r="C154" s="1"/>
      <c r="D154" s="1"/>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row>
    <row r="155" spans="3:66" ht="20" customHeight="1">
      <c r="C155" s="1"/>
      <c r="D155" s="1"/>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row>
    <row r="156" spans="3:66" ht="20" customHeight="1">
      <c r="C156" s="1"/>
      <c r="D156" s="1"/>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row>
    <row r="157" spans="3:66" ht="20" customHeight="1">
      <c r="C157" s="1"/>
      <c r="D157" s="1"/>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row>
    <row r="158" spans="3:66" ht="20" customHeight="1">
      <c r="C158" s="1"/>
      <c r="D158" s="1"/>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row>
    <row r="159" spans="3:66" ht="20" customHeight="1">
      <c r="C159" s="1"/>
      <c r="D159" s="1"/>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row>
    <row r="160" spans="3:66" ht="20" customHeight="1">
      <c r="C160" s="1"/>
      <c r="D160" s="1"/>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row>
    <row r="161" spans="3:66" ht="20" customHeight="1">
      <c r="C161" s="1"/>
      <c r="D161" s="1"/>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row>
    <row r="162" spans="3:66" ht="20" customHeight="1">
      <c r="C162" s="1"/>
      <c r="D162" s="1"/>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row>
    <row r="163" spans="3:66" ht="20" customHeight="1">
      <c r="C163" s="1"/>
      <c r="D163" s="1"/>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row>
    <row r="164" spans="3:66" ht="20" customHeight="1">
      <c r="C164" s="1"/>
      <c r="D164" s="1"/>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row>
    <row r="165" spans="3:66" ht="20" customHeight="1">
      <c r="C165" s="1"/>
      <c r="D165" s="1"/>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row>
    <row r="166" spans="3:66" ht="20" customHeight="1">
      <c r="C166" s="1"/>
      <c r="D166" s="1"/>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row>
    <row r="167" spans="3:66" ht="20" customHeight="1">
      <c r="C167" s="1"/>
      <c r="D167" s="1"/>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row>
    <row r="168" spans="3:66" ht="20" customHeight="1">
      <c r="C168" s="1"/>
      <c r="D168" s="1"/>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row>
    <row r="169" spans="3:66" ht="20" customHeight="1">
      <c r="C169" s="1"/>
      <c r="D169" s="1"/>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row>
    <row r="170" spans="3:66" ht="20" customHeight="1">
      <c r="C170" s="1"/>
      <c r="D170" s="1"/>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row>
    <row r="171" spans="3:66" ht="20" customHeight="1">
      <c r="C171" s="1"/>
      <c r="D171" s="1"/>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row>
    <row r="172" spans="3:66" ht="20" customHeight="1">
      <c r="C172" s="1"/>
      <c r="D172" s="1"/>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row>
    <row r="173" spans="3:66" ht="20" customHeight="1">
      <c r="C173" s="1"/>
      <c r="D173" s="1"/>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row>
    <row r="174" spans="3:66" ht="20" customHeight="1">
      <c r="C174" s="1"/>
      <c r="D174" s="1"/>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row>
    <row r="175" spans="3:66" ht="20" customHeight="1">
      <c r="C175" s="1"/>
      <c r="D175" s="1"/>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row>
    <row r="176" spans="3:66" ht="20" customHeight="1">
      <c r="C176" s="1"/>
      <c r="D176" s="1"/>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row>
    <row r="177" spans="3:66" ht="20" customHeight="1">
      <c r="C177" s="1"/>
      <c r="D177" s="1"/>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row>
    <row r="178" spans="3:66" ht="20" customHeight="1">
      <c r="C178" s="1"/>
      <c r="D178" s="1"/>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row>
    <row r="179" spans="3:66" ht="20" customHeight="1">
      <c r="C179" s="1"/>
      <c r="D179" s="1"/>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row>
    <row r="180" spans="3:66" ht="20" customHeight="1">
      <c r="C180" s="1"/>
      <c r="D180" s="1"/>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row>
    <row r="181" spans="3:66" ht="20" customHeight="1">
      <c r="C181" s="1"/>
      <c r="D181" s="1"/>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row>
    <row r="182" spans="3:66" ht="20" customHeight="1">
      <c r="C182" s="1"/>
      <c r="D182" s="1"/>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row>
    <row r="183" spans="3:66" ht="20" customHeight="1">
      <c r="C183" s="1"/>
      <c r="D183" s="1"/>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row>
    <row r="184" spans="3:66" ht="20" customHeight="1">
      <c r="C184" s="1"/>
      <c r="D184" s="1"/>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row>
    <row r="185" spans="3:66" ht="20" customHeight="1">
      <c r="C185" s="1"/>
      <c r="D185" s="1"/>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row>
    <row r="186" spans="3:66" ht="20" customHeight="1">
      <c r="C186" s="1"/>
      <c r="D186" s="1"/>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row>
    <row r="187" spans="3:66" ht="20" customHeight="1">
      <c r="C187" s="1"/>
      <c r="D187" s="1"/>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row>
    <row r="188" spans="3:66" ht="20" customHeight="1">
      <c r="C188" s="1"/>
      <c r="D188" s="1"/>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row>
    <row r="189" spans="3:66" ht="20" customHeight="1">
      <c r="C189" s="1"/>
      <c r="D189" s="1"/>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row>
    <row r="190" spans="3:66" ht="20" customHeight="1">
      <c r="C190" s="1"/>
      <c r="D190" s="1"/>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row>
    <row r="191" spans="3:66" ht="20" customHeight="1">
      <c r="C191" s="1"/>
      <c r="D191" s="1"/>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row>
    <row r="192" spans="3:66" ht="20" customHeight="1">
      <c r="C192" s="1"/>
      <c r="D192" s="1"/>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row>
    <row r="193" spans="3:66" ht="20" customHeight="1">
      <c r="C193" s="1"/>
      <c r="D193" s="1"/>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row>
    <row r="194" spans="3:66" ht="20" customHeight="1">
      <c r="C194" s="1"/>
      <c r="D194" s="1"/>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row>
    <row r="195" spans="3:66" ht="20" customHeight="1">
      <c r="C195" s="1"/>
      <c r="D195" s="1"/>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row>
    <row r="196" spans="3:66" ht="20" customHeight="1">
      <c r="C196" s="1"/>
      <c r="D196" s="1"/>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row>
    <row r="197" spans="3:66" ht="20" customHeight="1">
      <c r="C197" s="1"/>
      <c r="D197" s="1"/>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row>
    <row r="198" spans="3:66" ht="20" customHeight="1">
      <c r="C198" s="1"/>
      <c r="D198" s="1"/>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row>
    <row r="199" spans="3:66" ht="20" customHeight="1">
      <c r="C199" s="1"/>
      <c r="D199" s="1"/>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row>
    <row r="200" spans="3:66" ht="20" customHeight="1">
      <c r="C200" s="1"/>
      <c r="D200" s="1"/>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row>
  </sheetData>
  <mergeCells count="36">
    <mergeCell ref="C45:I45"/>
    <mergeCell ref="C40:I40"/>
    <mergeCell ref="C41:I41"/>
    <mergeCell ref="C42:I42"/>
    <mergeCell ref="C43:I43"/>
    <mergeCell ref="C44:I44"/>
    <mergeCell ref="C35:I35"/>
    <mergeCell ref="C36:I36"/>
    <mergeCell ref="C37:I37"/>
    <mergeCell ref="C38:I38"/>
    <mergeCell ref="C39:I39"/>
    <mergeCell ref="C27:I27"/>
    <mergeCell ref="C28:I28"/>
    <mergeCell ref="C29:I29"/>
    <mergeCell ref="C30:I30"/>
    <mergeCell ref="C34:I34"/>
    <mergeCell ref="C22:I22"/>
    <mergeCell ref="C23:I23"/>
    <mergeCell ref="C24:I24"/>
    <mergeCell ref="C25:I25"/>
    <mergeCell ref="C26:I26"/>
    <mergeCell ref="C17:I17"/>
    <mergeCell ref="C18:I18"/>
    <mergeCell ref="C19:I19"/>
    <mergeCell ref="C20:I20"/>
    <mergeCell ref="C21:I21"/>
    <mergeCell ref="C12:I12"/>
    <mergeCell ref="C13:I13"/>
    <mergeCell ref="C14:I14"/>
    <mergeCell ref="C15:I15"/>
    <mergeCell ref="C16:I16"/>
    <mergeCell ref="C7:I7"/>
    <mergeCell ref="C8:I8"/>
    <mergeCell ref="C9:I9"/>
    <mergeCell ref="C10:I10"/>
    <mergeCell ref="C11:I1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607483"/>
  </sheetPr>
  <dimension ref="C1:BL160"/>
  <sheetViews>
    <sheetView showGridLines="0" workbookViewId="0">
      <pane xSplit="4" ySplit="7" topLeftCell="E8" activePane="bottomRight" state="frozen"/>
      <selection pane="topRight"/>
      <selection pane="bottomLeft"/>
      <selection pane="bottomRight" activeCell="E8" sqref="E8"/>
    </sheetView>
  </sheetViews>
  <sheetFormatPr baseColWidth="10" defaultColWidth="8.83203125" defaultRowHeight="14"/>
  <cols>
    <col min="1" max="2" width="2" customWidth="1"/>
    <col min="3" max="3" width="52" customWidth="1"/>
    <col min="4" max="4" width="3" customWidth="1"/>
    <col min="5" max="64" width="15" customWidth="1"/>
  </cols>
  <sheetData>
    <row r="1" spans="3:64" ht="21" customHeight="1">
      <c r="C1" s="1"/>
      <c r="D1" s="1"/>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row>
    <row r="2" spans="3:64" ht="21" customHeight="1">
      <c r="C2" s="57" t="s">
        <v>827</v>
      </c>
      <c r="D2" s="1"/>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row>
    <row r="3" spans="3:64" ht="36" customHeight="1">
      <c r="C3" s="117" t="s">
        <v>828</v>
      </c>
      <c r="D3" s="117"/>
      <c r="E3" s="118"/>
      <c r="F3" s="118"/>
      <c r="G3" s="118"/>
      <c r="H3" s="118"/>
      <c r="I3" s="118"/>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row>
    <row r="4" spans="3:64" ht="21" customHeight="1">
      <c r="C4" s="1"/>
      <c r="D4" s="1"/>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row>
    <row r="5" spans="3:64" ht="21" customHeight="1">
      <c r="C5" s="1"/>
      <c r="D5" s="1"/>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row>
    <row r="6" spans="3:64" ht="21" customHeight="1">
      <c r="C6" s="1"/>
      <c r="D6" s="1"/>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row>
    <row r="7" spans="3:64" ht="26" customHeight="1">
      <c r="C7" s="60" t="s">
        <v>829</v>
      </c>
      <c r="D7" s="60"/>
      <c r="E7" s="80">
        <v>2024</v>
      </c>
      <c r="F7" s="80">
        <v>2025</v>
      </c>
      <c r="G7" s="80">
        <v>2026</v>
      </c>
      <c r="H7" s="61"/>
      <c r="I7" s="61"/>
      <c r="J7" s="61"/>
      <c r="K7" s="61"/>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row>
    <row r="8" spans="3:64" ht="21" customHeight="1">
      <c r="C8" s="81" t="s">
        <v>4</v>
      </c>
      <c r="D8" s="81"/>
      <c r="E8" s="82">
        <f>Historical!E16</f>
        <v>661.755</v>
      </c>
      <c r="F8" s="82">
        <f>Historical!F16</f>
        <v>666.51400000000001</v>
      </c>
      <c r="G8" s="82">
        <f>Historical!G16</f>
        <v>677.649</v>
      </c>
      <c r="H8" s="83"/>
      <c r="I8" s="83"/>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row>
    <row r="9" spans="3:64" ht="21" customHeight="1">
      <c r="C9" s="1" t="s">
        <v>830</v>
      </c>
      <c r="D9" s="1"/>
      <c r="E9" s="59" t="s">
        <v>831</v>
      </c>
      <c r="F9" s="76">
        <f>F8/E8-1</f>
        <v>7.1914832528654493E-3</v>
      </c>
      <c r="G9" s="76">
        <f>G8/F8-1</f>
        <v>1.6706325748596429E-2</v>
      </c>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row>
    <row r="10" spans="3:64" ht="21" customHeight="1">
      <c r="C10" s="1" t="s">
        <v>217</v>
      </c>
      <c r="D10" s="1"/>
      <c r="E10" s="5">
        <f>Historical!E8</f>
        <v>302.87599999999998</v>
      </c>
      <c r="F10" s="5">
        <f>Historical!F8</f>
        <v>333.274</v>
      </c>
      <c r="G10" s="5">
        <f>Historical!G8</f>
        <v>317.32900000000001</v>
      </c>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row>
    <row r="11" spans="3:64" ht="21" customHeight="1">
      <c r="C11" s="1" t="s">
        <v>832</v>
      </c>
      <c r="D11" s="1"/>
      <c r="E11" s="5">
        <f>Historical!E11</f>
        <v>221.745</v>
      </c>
      <c r="F11" s="5">
        <f>Historical!F11</f>
        <v>172.977</v>
      </c>
      <c r="G11" s="5">
        <f>Historical!G11</f>
        <v>206.76499999999999</v>
      </c>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row>
    <row r="12" spans="3:64" ht="21" customHeight="1">
      <c r="C12" s="1" t="s">
        <v>833</v>
      </c>
      <c r="D12" s="1"/>
      <c r="E12" s="5">
        <f>Historical!E15</f>
        <v>137.13399999999999</v>
      </c>
      <c r="F12" s="5">
        <f>Historical!F15</f>
        <v>160.26300000000001</v>
      </c>
      <c r="G12" s="5">
        <f>Historical!G15</f>
        <v>153.55500000000001</v>
      </c>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row>
    <row r="13" spans="3:64" ht="21" customHeight="1">
      <c r="C13" s="1"/>
      <c r="D13" s="1"/>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row>
    <row r="14" spans="3:64" ht="21" customHeight="1">
      <c r="C14" s="1" t="s">
        <v>448</v>
      </c>
      <c r="D14" s="1"/>
      <c r="E14" s="5">
        <f>Historical!E17</f>
        <v>364.71899999999999</v>
      </c>
      <c r="F14" s="5">
        <f>Historical!F17</f>
        <v>313.25599999999997</v>
      </c>
      <c r="G14" s="5">
        <f>Historical!G17</f>
        <v>302.02499999999998</v>
      </c>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row>
    <row r="15" spans="3:64" ht="21" customHeight="1">
      <c r="C15" s="1" t="s">
        <v>178</v>
      </c>
      <c r="D15" s="1"/>
      <c r="E15" s="5">
        <f>Historical!E18</f>
        <v>149.38399999999999</v>
      </c>
      <c r="F15" s="5">
        <f>Historical!F18</f>
        <v>170.429</v>
      </c>
      <c r="G15" s="5">
        <f>Historical!G18</f>
        <v>159.21700000000001</v>
      </c>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row>
    <row r="16" spans="3:64" ht="21" customHeight="1">
      <c r="C16" s="1" t="s">
        <v>834</v>
      </c>
      <c r="D16" s="1"/>
      <c r="E16" s="76">
        <f>E14/E8</f>
        <v>0.5511390167055783</v>
      </c>
      <c r="F16" s="76">
        <f>F14/F8</f>
        <v>0.4699916280828309</v>
      </c>
      <c r="G16" s="76">
        <f>G14/G8</f>
        <v>0.44569533785189674</v>
      </c>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row>
    <row r="17" spans="3:64" ht="21" customHeight="1">
      <c r="C17" s="1"/>
      <c r="D17" s="1"/>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row>
    <row r="18" spans="3:64" ht="21" customHeight="1">
      <c r="C18" s="1" t="s">
        <v>835</v>
      </c>
      <c r="D18" s="1"/>
      <c r="E18" s="5">
        <f>Historical!E24</f>
        <v>-69.352999999999994</v>
      </c>
      <c r="F18" s="5">
        <f>Historical!F24</f>
        <v>-18.43</v>
      </c>
      <c r="G18" s="5">
        <f>Historical!G24</f>
        <v>22.635000000000002</v>
      </c>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row>
    <row r="19" spans="3:64" ht="21" customHeight="1">
      <c r="C19" s="1" t="s">
        <v>836</v>
      </c>
      <c r="D19" s="1"/>
      <c r="E19" s="5">
        <f>Historical!E19</f>
        <v>16.526</v>
      </c>
      <c r="F19" s="5">
        <f>Historical!F19</f>
        <v>17.001999999999999</v>
      </c>
      <c r="G19" s="5">
        <f>Historical!G19</f>
        <v>20.631</v>
      </c>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row>
    <row r="20" spans="3:64" ht="21" customHeight="1">
      <c r="C20" s="1" t="s">
        <v>837</v>
      </c>
      <c r="D20" s="1"/>
      <c r="E20" s="5">
        <f>Historical!E20</f>
        <v>190.12299999999999</v>
      </c>
      <c r="F20" s="5">
        <f>Historical!F20</f>
        <v>196.37299999999999</v>
      </c>
      <c r="G20" s="5">
        <f>Historical!G20</f>
        <v>211.81299999999999</v>
      </c>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row>
    <row r="21" spans="3:64" ht="21" customHeight="1">
      <c r="C21" s="1" t="s">
        <v>838</v>
      </c>
      <c r="D21" s="1"/>
      <c r="E21" s="5">
        <f>Historical!E23</f>
        <v>37.421999999999997</v>
      </c>
      <c r="F21" s="5">
        <f>Historical!F23</f>
        <v>48.741999999999997</v>
      </c>
      <c r="G21" s="5">
        <f>Historical!G23</f>
        <v>46.881</v>
      </c>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row>
    <row r="22" spans="3:64" ht="21" customHeight="1">
      <c r="C22" s="1" t="s">
        <v>839</v>
      </c>
      <c r="D22" s="1"/>
      <c r="E22" s="16">
        <f>E18+E19+E20-E21</f>
        <v>99.873999999999995</v>
      </c>
      <c r="F22" s="16">
        <f>F18+F19+F20-F21</f>
        <v>146.203</v>
      </c>
      <c r="G22" s="16">
        <f>G18+G19+G20-G21</f>
        <v>208.19800000000001</v>
      </c>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row>
    <row r="23" spans="3:64" ht="21" customHeight="1">
      <c r="C23" s="1" t="s">
        <v>840</v>
      </c>
      <c r="D23" s="1"/>
      <c r="E23" s="5">
        <f>Historical!E21</f>
        <v>47.777999999999999</v>
      </c>
      <c r="F23" s="5">
        <f>Historical!F21</f>
        <v>36.625999999999998</v>
      </c>
      <c r="G23" s="5">
        <f>Historical!G21</f>
        <v>8.2089999999999996</v>
      </c>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row>
    <row r="24" spans="3:64" ht="21" customHeight="1">
      <c r="C24" s="81" t="s">
        <v>841</v>
      </c>
      <c r="D24" s="81"/>
      <c r="E24" s="82">
        <f>Historical!E25</f>
        <v>147.65199999999999</v>
      </c>
      <c r="F24" s="82">
        <f>Historical!F25</f>
        <v>182.82900000000001</v>
      </c>
      <c r="G24" s="82">
        <f>Historical!G25</f>
        <v>216.40700000000001</v>
      </c>
      <c r="H24" s="83"/>
      <c r="I24" s="83"/>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row>
    <row r="25" spans="3:64" ht="21" customHeight="1">
      <c r="C25" s="1" t="s">
        <v>842</v>
      </c>
      <c r="D25" s="1"/>
      <c r="E25" s="76">
        <f>E24/E8</f>
        <v>0.22312185023158115</v>
      </c>
      <c r="F25" s="76">
        <f>F24/F8</f>
        <v>0.27430631614639756</v>
      </c>
      <c r="G25" s="76">
        <f>G24/G8</f>
        <v>0.3193496928350813</v>
      </c>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row>
    <row r="26" spans="3:64" ht="21" customHeight="1">
      <c r="C26" s="1"/>
      <c r="D26" s="1"/>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row>
    <row r="27" spans="3:64" ht="21" customHeight="1">
      <c r="C27" s="1" t="s">
        <v>481</v>
      </c>
      <c r="D27" s="1"/>
      <c r="E27" s="5">
        <f>Historical!E43</f>
        <v>85.671000000000006</v>
      </c>
      <c r="F27" s="5">
        <f>Historical!F43</f>
        <v>72.701999999999998</v>
      </c>
      <c r="G27" s="5">
        <f>Historical!G43</f>
        <v>178.715</v>
      </c>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row>
    <row r="28" spans="3:64" ht="21" customHeight="1">
      <c r="C28" s="1" t="s">
        <v>843</v>
      </c>
      <c r="D28" s="1"/>
      <c r="E28" s="5">
        <f>Historical!E44</f>
        <v>17.510999999999999</v>
      </c>
      <c r="F28" s="5">
        <f>Historical!F44</f>
        <v>44.720999999999997</v>
      </c>
      <c r="G28" s="5">
        <f>Historical!G44</f>
        <v>85.918999999999997</v>
      </c>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row>
    <row r="29" spans="3:64" ht="21" customHeight="1">
      <c r="C29" s="1" t="s">
        <v>844</v>
      </c>
      <c r="D29" s="1"/>
      <c r="E29" s="5">
        <f>Historical!E45</f>
        <v>190.721</v>
      </c>
      <c r="F29" s="5">
        <f>Historical!F45</f>
        <v>278.74599999999998</v>
      </c>
      <c r="G29" s="5">
        <f>Historical!G45</f>
        <v>292.267</v>
      </c>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row>
    <row r="30" spans="3:64" ht="21" customHeight="1">
      <c r="C30" s="1" t="s">
        <v>845</v>
      </c>
      <c r="D30" s="1"/>
      <c r="E30" s="5">
        <f>Historical!E46</f>
        <v>37.027999999999999</v>
      </c>
      <c r="F30" s="5">
        <f>Historical!F46</f>
        <v>48.792000000000002</v>
      </c>
      <c r="G30" s="5">
        <f>Historical!G46</f>
        <v>148.61199999999999</v>
      </c>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row>
    <row r="31" spans="3:64" ht="21" customHeight="1">
      <c r="C31" s="81" t="s">
        <v>846</v>
      </c>
      <c r="D31" s="81"/>
      <c r="E31" s="82">
        <f>Historical!E49</f>
        <v>-85.533000000000001</v>
      </c>
      <c r="F31" s="82">
        <f>Historical!F49</f>
        <v>-201.97300000000001</v>
      </c>
      <c r="G31" s="82">
        <f>Historical!G49</f>
        <v>-50.859000000000002</v>
      </c>
      <c r="H31" s="83"/>
      <c r="I31" s="83"/>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row>
    <row r="32" spans="3:64" ht="21" customHeight="1">
      <c r="C32" s="1" t="s">
        <v>515</v>
      </c>
      <c r="D32" s="1"/>
      <c r="E32" s="5">
        <f>Historical!E78</f>
        <v>546.62099999999998</v>
      </c>
      <c r="F32" s="5">
        <f>Historical!F78</f>
        <v>636.97400000000005</v>
      </c>
      <c r="G32" s="5">
        <f>Historical!G78</f>
        <v>688.95399999999995</v>
      </c>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row>
    <row r="33" spans="3:64" ht="21" customHeight="1">
      <c r="C33" s="1" t="s">
        <v>517</v>
      </c>
      <c r="D33" s="1"/>
      <c r="E33" s="5">
        <f>Historical!E79</f>
        <v>73.549000000000007</v>
      </c>
      <c r="F33" s="5">
        <f>Historical!F79</f>
        <v>86.105000000000004</v>
      </c>
      <c r="G33" s="5">
        <f>Historical!G79</f>
        <v>67.245999999999995</v>
      </c>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row>
    <row r="34" spans="3:64" ht="21" customHeight="1">
      <c r="C34" s="81" t="s">
        <v>847</v>
      </c>
      <c r="D34" s="81"/>
      <c r="E34" s="84">
        <f>E32-E33</f>
        <v>473.072</v>
      </c>
      <c r="F34" s="84">
        <f>F32-F33</f>
        <v>550.86900000000003</v>
      </c>
      <c r="G34" s="84">
        <f>G32-G33</f>
        <v>621.70799999999997</v>
      </c>
      <c r="H34" s="83"/>
      <c r="I34" s="83"/>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row>
    <row r="35" spans="3:64" ht="21" customHeight="1">
      <c r="C35" s="1" t="s">
        <v>501</v>
      </c>
      <c r="D35" s="1"/>
      <c r="E35" s="5">
        <f>Historical!E65</f>
        <v>408.57900000000001</v>
      </c>
      <c r="F35" s="5">
        <f>Historical!F65</f>
        <v>537.34799999999996</v>
      </c>
      <c r="G35" s="5">
        <f>Historical!G65</f>
        <v>452.29199999999997</v>
      </c>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row>
    <row r="36" spans="3:64" ht="21" customHeight="1">
      <c r="C36" s="1" t="s">
        <v>206</v>
      </c>
      <c r="D36" s="1"/>
      <c r="E36" s="5">
        <f>Historical!E70</f>
        <v>331.41800000000001</v>
      </c>
      <c r="F36" s="5">
        <f>Historical!F70</f>
        <v>447.13099999999997</v>
      </c>
      <c r="G36" s="5">
        <f>Historical!G70</f>
        <v>375.03300000000002</v>
      </c>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row>
    <row r="37" spans="3:64" ht="21" customHeight="1">
      <c r="C37" s="1" t="s">
        <v>202</v>
      </c>
      <c r="D37" s="1"/>
      <c r="E37" s="5">
        <f>Historical!E74</f>
        <v>59.844999999999999</v>
      </c>
      <c r="F37" s="5">
        <f>Historical!F74</f>
        <v>102.614</v>
      </c>
      <c r="G37" s="5">
        <f>Historical!G74</f>
        <v>67.935000000000002</v>
      </c>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row>
    <row r="38" spans="3:64" ht="21" customHeight="1">
      <c r="C38" s="81" t="s">
        <v>848</v>
      </c>
      <c r="D38" s="81"/>
      <c r="E38" s="84">
        <f>E36-E37</f>
        <v>271.57299999999998</v>
      </c>
      <c r="F38" s="84">
        <f>F36-F37</f>
        <v>344.51699999999994</v>
      </c>
      <c r="G38" s="84">
        <f>G36-G37</f>
        <v>307.09800000000001</v>
      </c>
      <c r="H38" s="83"/>
      <c r="I38" s="83"/>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row>
    <row r="39" spans="3:64" ht="21" customHeight="1">
      <c r="C39" s="1"/>
      <c r="D39" s="1"/>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row>
    <row r="40" spans="3:64" ht="21" customHeight="1">
      <c r="C40" s="1" t="s">
        <v>849</v>
      </c>
      <c r="D40" s="1"/>
      <c r="E40" s="16">
        <f>E22+E23-E24</f>
        <v>0</v>
      </c>
      <c r="F40" s="16">
        <f>F22+F23-F24</f>
        <v>0</v>
      </c>
      <c r="G40" s="16">
        <f>G22+G23-G24</f>
        <v>0</v>
      </c>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row>
    <row r="41" spans="3:64" ht="21" customHeight="1">
      <c r="C41" s="1"/>
      <c r="D41" s="1"/>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row>
    <row r="42" spans="3:64" ht="21" customHeight="1">
      <c r="C42" s="1"/>
      <c r="D42" s="1"/>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row>
    <row r="43" spans="3:64" ht="36" customHeight="1">
      <c r="C43" s="117" t="s">
        <v>850</v>
      </c>
      <c r="D43" s="117"/>
      <c r="E43" s="118"/>
      <c r="F43" s="118"/>
      <c r="G43" s="118"/>
      <c r="H43" s="118"/>
      <c r="I43" s="118"/>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row>
    <row r="44" spans="3:64" ht="36" customHeight="1">
      <c r="C44" s="117" t="s">
        <v>851</v>
      </c>
      <c r="D44" s="117"/>
      <c r="E44" s="118"/>
      <c r="F44" s="118"/>
      <c r="G44" s="118"/>
      <c r="H44" s="118"/>
      <c r="I44" s="118"/>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row>
    <row r="45" spans="3:64" ht="36" customHeight="1">
      <c r="C45" s="117" t="s">
        <v>852</v>
      </c>
      <c r="D45" s="117"/>
      <c r="E45" s="118"/>
      <c r="F45" s="118"/>
      <c r="G45" s="118"/>
      <c r="H45" s="118"/>
      <c r="I45" s="118"/>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row>
    <row r="46" spans="3:64" ht="21" customHeight="1">
      <c r="C46" s="1"/>
      <c r="D46" s="1"/>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row>
    <row r="47" spans="3:64" ht="21" customHeight="1">
      <c r="C47" s="1"/>
      <c r="D47" s="1"/>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row>
    <row r="48" spans="3:64" ht="21" customHeight="1">
      <c r="C48" s="1"/>
      <c r="D48" s="1"/>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row>
    <row r="49" spans="3:64" ht="21" customHeight="1">
      <c r="C49" s="1"/>
      <c r="D49" s="1"/>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row>
    <row r="50" spans="3:64" ht="21" customHeight="1">
      <c r="C50" s="1"/>
      <c r="D50" s="1"/>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row>
    <row r="51" spans="3:64" ht="21" customHeight="1">
      <c r="C51" s="1"/>
      <c r="D51" s="1"/>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row>
    <row r="52" spans="3:64" ht="21" customHeight="1">
      <c r="C52" s="1"/>
      <c r="D52" s="1"/>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row>
    <row r="53" spans="3:64" ht="21" customHeight="1">
      <c r="C53" s="1"/>
      <c r="D53" s="1"/>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row>
    <row r="54" spans="3:64" ht="21" customHeight="1">
      <c r="C54" s="1"/>
      <c r="D54" s="1"/>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row>
    <row r="55" spans="3:64" ht="21" customHeight="1">
      <c r="C55" s="1"/>
      <c r="D55" s="1"/>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row>
    <row r="56" spans="3:64" ht="21" customHeight="1">
      <c r="C56" s="1"/>
      <c r="D56" s="1"/>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row>
    <row r="57" spans="3:64" ht="21" customHeight="1">
      <c r="C57" s="1"/>
      <c r="D57" s="1"/>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row>
    <row r="58" spans="3:64" ht="21" customHeight="1">
      <c r="C58" s="1"/>
      <c r="D58" s="1"/>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row>
    <row r="59" spans="3:64" ht="21" customHeight="1">
      <c r="C59" s="1"/>
      <c r="D59" s="1"/>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row>
    <row r="60" spans="3:64" ht="21" customHeight="1">
      <c r="C60" s="1"/>
      <c r="D60" s="1"/>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row>
    <row r="61" spans="3:64" ht="21" customHeight="1">
      <c r="C61" s="1"/>
      <c r="D61" s="1"/>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row>
    <row r="62" spans="3:64" ht="21" customHeight="1">
      <c r="C62" s="1"/>
      <c r="D62" s="1"/>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row>
    <row r="63" spans="3:64" ht="21" customHeight="1">
      <c r="C63" s="1"/>
      <c r="D63" s="1"/>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row>
    <row r="64" spans="3:64" ht="21" customHeight="1">
      <c r="C64" s="1"/>
      <c r="D64" s="1"/>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row>
    <row r="65" spans="3:64" ht="21" customHeight="1">
      <c r="C65" s="1"/>
      <c r="D65" s="1"/>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row>
    <row r="66" spans="3:64" ht="21" customHeight="1">
      <c r="C66" s="1"/>
      <c r="D66" s="1"/>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row>
    <row r="67" spans="3:64" ht="21" customHeight="1">
      <c r="C67" s="1"/>
      <c r="D67" s="1"/>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row>
    <row r="68" spans="3:64" ht="21" customHeight="1">
      <c r="C68" s="1"/>
      <c r="D68" s="1"/>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row>
    <row r="69" spans="3:64" ht="21" customHeight="1">
      <c r="C69" s="1"/>
      <c r="D69" s="1"/>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row>
    <row r="70" spans="3:64" ht="21" customHeight="1">
      <c r="C70" s="1"/>
      <c r="D70" s="1"/>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row>
    <row r="71" spans="3:64" ht="21" customHeight="1">
      <c r="C71" s="1"/>
      <c r="D71" s="1"/>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row>
    <row r="72" spans="3:64" ht="21" customHeight="1">
      <c r="C72" s="1"/>
      <c r="D72" s="1"/>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row>
    <row r="73" spans="3:64" ht="21" customHeight="1">
      <c r="C73" s="1"/>
      <c r="D73" s="1"/>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row>
    <row r="74" spans="3:64" ht="21" customHeight="1">
      <c r="C74" s="1"/>
      <c r="D74" s="1"/>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row>
    <row r="75" spans="3:64" ht="21" customHeight="1">
      <c r="C75" s="1"/>
      <c r="D75" s="1"/>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row>
    <row r="76" spans="3:64" ht="21" customHeight="1">
      <c r="C76" s="1"/>
      <c r="D76" s="1"/>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row>
    <row r="77" spans="3:64" ht="21" customHeight="1">
      <c r="C77" s="1"/>
      <c r="D77" s="1"/>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row>
    <row r="78" spans="3:64" ht="21" customHeight="1">
      <c r="C78" s="1"/>
      <c r="D78" s="1"/>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row>
    <row r="79" spans="3:64" ht="21" customHeight="1">
      <c r="C79" s="1"/>
      <c r="D79" s="1"/>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row>
    <row r="80" spans="3:64" ht="21" customHeight="1">
      <c r="C80" s="1"/>
      <c r="D80" s="1"/>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row>
    <row r="81" spans="3:64" ht="21" customHeight="1">
      <c r="C81" s="1"/>
      <c r="D81" s="1"/>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row>
    <row r="82" spans="3:64" ht="21" customHeight="1">
      <c r="C82" s="1"/>
      <c r="D82" s="1"/>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row>
    <row r="83" spans="3:64" ht="21" customHeight="1">
      <c r="C83" s="1"/>
      <c r="D83" s="1"/>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row>
    <row r="84" spans="3:64" ht="21" customHeight="1">
      <c r="C84" s="1"/>
      <c r="D84" s="1"/>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row>
    <row r="85" spans="3:64" ht="21" customHeight="1">
      <c r="C85" s="1"/>
      <c r="D85" s="1"/>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row>
    <row r="86" spans="3:64" ht="21" customHeight="1">
      <c r="C86" s="1"/>
      <c r="D86" s="1"/>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row>
    <row r="87" spans="3:64" ht="21" customHeight="1">
      <c r="C87" s="1"/>
      <c r="D87" s="1"/>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row>
    <row r="88" spans="3:64" ht="21" customHeight="1">
      <c r="C88" s="1"/>
      <c r="D88" s="1"/>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row>
    <row r="89" spans="3:64" ht="21" customHeight="1">
      <c r="C89" s="1"/>
      <c r="D89" s="1"/>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row>
    <row r="90" spans="3:64" ht="21" customHeight="1">
      <c r="C90" s="1"/>
      <c r="D90" s="1"/>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row>
    <row r="91" spans="3:64" ht="21" customHeight="1">
      <c r="C91" s="1"/>
      <c r="D91" s="1"/>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row>
    <row r="92" spans="3:64" ht="21" customHeight="1">
      <c r="C92" s="1"/>
      <c r="D92" s="1"/>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row>
    <row r="93" spans="3:64" ht="21" customHeight="1">
      <c r="C93" s="1"/>
      <c r="D93" s="1"/>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row>
    <row r="94" spans="3:64" ht="21" customHeight="1">
      <c r="C94" s="1"/>
      <c r="D94" s="1"/>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row>
    <row r="95" spans="3:64" ht="21" customHeight="1">
      <c r="C95" s="1"/>
      <c r="D95" s="1"/>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row>
    <row r="96" spans="3:64" ht="21" customHeight="1">
      <c r="C96" s="1"/>
      <c r="D96" s="1"/>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row>
    <row r="97" spans="3:64" ht="21" customHeight="1">
      <c r="C97" s="1"/>
      <c r="D97" s="1"/>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row>
    <row r="98" spans="3:64" ht="21" customHeight="1">
      <c r="C98" s="1"/>
      <c r="D98" s="1"/>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row>
    <row r="99" spans="3:64" ht="21" customHeight="1">
      <c r="C99" s="1"/>
      <c r="D99" s="1"/>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row>
    <row r="100" spans="3:64" ht="21" customHeight="1">
      <c r="C100" s="1"/>
      <c r="D100" s="1"/>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row>
    <row r="101" spans="3:64" ht="21" customHeight="1">
      <c r="C101" s="1"/>
      <c r="D101" s="1"/>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row>
    <row r="102" spans="3:64" ht="21" customHeight="1">
      <c r="C102" s="1"/>
      <c r="D102" s="1"/>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row>
    <row r="103" spans="3:64" ht="21" customHeight="1">
      <c r="C103" s="1"/>
      <c r="D103" s="1"/>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row>
    <row r="104" spans="3:64" ht="21" customHeight="1">
      <c r="C104" s="1"/>
      <c r="D104" s="1"/>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row>
    <row r="105" spans="3:64" ht="21" customHeight="1">
      <c r="C105" s="1"/>
      <c r="D105" s="1"/>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row>
    <row r="106" spans="3:64" ht="21" customHeight="1">
      <c r="C106" s="1"/>
      <c r="D106" s="1"/>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row>
    <row r="107" spans="3:64" ht="21" customHeight="1">
      <c r="C107" s="1"/>
      <c r="D107" s="1"/>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row>
    <row r="108" spans="3:64" ht="21" customHeight="1">
      <c r="C108" s="1"/>
      <c r="D108" s="1"/>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row>
    <row r="109" spans="3:64" ht="21" customHeight="1">
      <c r="C109" s="1"/>
      <c r="D109" s="1"/>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row>
    <row r="110" spans="3:64" ht="21" customHeight="1">
      <c r="C110" s="1"/>
      <c r="D110" s="1"/>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row>
    <row r="111" spans="3:64" ht="21" customHeight="1">
      <c r="C111" s="1"/>
      <c r="D111" s="1"/>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row>
    <row r="112" spans="3:64" ht="21" customHeight="1">
      <c r="C112" s="1"/>
      <c r="D112" s="1"/>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row>
    <row r="113" spans="3:64" ht="21" customHeight="1">
      <c r="C113" s="1"/>
      <c r="D113" s="1"/>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row>
    <row r="114" spans="3:64" ht="21" customHeight="1">
      <c r="C114" s="1"/>
      <c r="D114" s="1"/>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row>
    <row r="115" spans="3:64" ht="21" customHeight="1">
      <c r="C115" s="1"/>
      <c r="D115" s="1"/>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row>
    <row r="116" spans="3:64" ht="21" customHeight="1">
      <c r="C116" s="1"/>
      <c r="D116" s="1"/>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row>
    <row r="117" spans="3:64" ht="21" customHeight="1">
      <c r="C117" s="1"/>
      <c r="D117" s="1"/>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row>
    <row r="118" spans="3:64" ht="21" customHeight="1">
      <c r="C118" s="1"/>
      <c r="D118" s="1"/>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row>
    <row r="119" spans="3:64" ht="21" customHeight="1">
      <c r="C119" s="1"/>
      <c r="D119" s="1"/>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row>
    <row r="120" spans="3:64" ht="21" customHeight="1">
      <c r="C120" s="1"/>
      <c r="D120" s="1"/>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row>
    <row r="121" spans="3:64" ht="21" customHeight="1">
      <c r="C121" s="1"/>
      <c r="D121" s="1"/>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row>
    <row r="122" spans="3:64" ht="21" customHeight="1">
      <c r="C122" s="1"/>
      <c r="D122" s="1"/>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row>
    <row r="123" spans="3:64" ht="21" customHeight="1">
      <c r="C123" s="1"/>
      <c r="D123" s="1"/>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row>
    <row r="124" spans="3:64" ht="21" customHeight="1">
      <c r="C124" s="1"/>
      <c r="D124" s="1"/>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row>
    <row r="125" spans="3:64" ht="21" customHeight="1">
      <c r="C125" s="1"/>
      <c r="D125" s="1"/>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row>
    <row r="126" spans="3:64" ht="21" customHeight="1">
      <c r="C126" s="1"/>
      <c r="D126" s="1"/>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row>
    <row r="127" spans="3:64" ht="21" customHeight="1">
      <c r="C127" s="1"/>
      <c r="D127" s="1"/>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row>
    <row r="128" spans="3:64" ht="21" customHeight="1">
      <c r="C128" s="1"/>
      <c r="D128" s="1"/>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row>
    <row r="129" spans="3:64" ht="21" customHeight="1">
      <c r="C129" s="1"/>
      <c r="D129" s="1"/>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row>
    <row r="130" spans="3:64" ht="21" customHeight="1">
      <c r="C130" s="1"/>
      <c r="D130" s="1"/>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row>
    <row r="131" spans="3:64" ht="21" customHeight="1">
      <c r="C131" s="1"/>
      <c r="D131" s="1"/>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row>
    <row r="132" spans="3:64" ht="21" customHeight="1">
      <c r="C132" s="1"/>
      <c r="D132" s="1"/>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row>
    <row r="133" spans="3:64" ht="21" customHeight="1">
      <c r="C133" s="1"/>
      <c r="D133" s="1"/>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row>
    <row r="134" spans="3:64" ht="21" customHeight="1">
      <c r="C134" s="1"/>
      <c r="D134" s="1"/>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row>
    <row r="135" spans="3:64" ht="21" customHeight="1">
      <c r="C135" s="1"/>
      <c r="D135" s="1"/>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row>
    <row r="136" spans="3:64" ht="21" customHeight="1">
      <c r="C136" s="1"/>
      <c r="D136" s="1"/>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row>
    <row r="137" spans="3:64" ht="21" customHeight="1">
      <c r="C137" s="1"/>
      <c r="D137" s="1"/>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row>
    <row r="138" spans="3:64" ht="21" customHeight="1">
      <c r="C138" s="1"/>
      <c r="D138" s="1"/>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row>
    <row r="139" spans="3:64" ht="21" customHeight="1">
      <c r="C139" s="1"/>
      <c r="D139" s="1"/>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row>
    <row r="140" spans="3:64" ht="21" customHeight="1">
      <c r="C140" s="1"/>
      <c r="D140" s="1"/>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row>
    <row r="141" spans="3:64" ht="21" customHeight="1">
      <c r="C141" s="1"/>
      <c r="D141" s="1"/>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row>
    <row r="142" spans="3:64" ht="21" customHeight="1">
      <c r="C142" s="1"/>
      <c r="D142" s="1"/>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row>
    <row r="143" spans="3:64" ht="21" customHeight="1">
      <c r="C143" s="1"/>
      <c r="D143" s="1"/>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row>
    <row r="144" spans="3:64" ht="21" customHeight="1">
      <c r="C144" s="1"/>
      <c r="D144" s="1"/>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row>
    <row r="145" spans="3:64" ht="21" customHeight="1">
      <c r="C145" s="1"/>
      <c r="D145" s="1"/>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row>
    <row r="146" spans="3:64" ht="21" customHeight="1">
      <c r="C146" s="1"/>
      <c r="D146" s="1"/>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row>
    <row r="147" spans="3:64" ht="21" customHeight="1">
      <c r="C147" s="1"/>
      <c r="D147" s="1"/>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row>
    <row r="148" spans="3:64" ht="21" customHeight="1">
      <c r="C148" s="1"/>
      <c r="D148" s="1"/>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row>
    <row r="149" spans="3:64" ht="21" customHeight="1">
      <c r="C149" s="1"/>
      <c r="D149" s="1"/>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row>
    <row r="150" spans="3:64" ht="21" customHeight="1">
      <c r="C150" s="1"/>
      <c r="D150" s="1"/>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row>
    <row r="151" spans="3:64" ht="21" customHeight="1">
      <c r="C151" s="1"/>
      <c r="D151" s="1"/>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row>
    <row r="152" spans="3:64" ht="21" customHeight="1">
      <c r="C152" s="1"/>
      <c r="D152" s="1"/>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row>
    <row r="153" spans="3:64" ht="21" customHeight="1">
      <c r="C153" s="1"/>
      <c r="D153" s="1"/>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row>
    <row r="154" spans="3:64" ht="21" customHeight="1">
      <c r="C154" s="1"/>
      <c r="D154" s="1"/>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row>
    <row r="155" spans="3:64" ht="21" customHeight="1">
      <c r="C155" s="1"/>
      <c r="D155" s="1"/>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row>
    <row r="156" spans="3:64" ht="21" customHeight="1">
      <c r="C156" s="1"/>
      <c r="D156" s="1"/>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row>
    <row r="157" spans="3:64" ht="21" customHeight="1">
      <c r="C157" s="1"/>
      <c r="D157" s="1"/>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row>
    <row r="158" spans="3:64" ht="21" customHeight="1">
      <c r="C158" s="1"/>
      <c r="D158" s="1"/>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row>
    <row r="159" spans="3:64" ht="21" customHeight="1">
      <c r="C159" s="1"/>
      <c r="D159" s="1"/>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row>
    <row r="160" spans="3:64" ht="21" customHeight="1">
      <c r="C160" s="1"/>
      <c r="D160" s="1"/>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row>
  </sheetData>
  <mergeCells count="4">
    <mergeCell ref="C3:I3"/>
    <mergeCell ref="C43:I43"/>
    <mergeCell ref="C44:I44"/>
    <mergeCell ref="C45:I4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607483"/>
  </sheetPr>
  <dimension ref="C1:BL160"/>
  <sheetViews>
    <sheetView showGridLines="0" workbookViewId="0">
      <pane xSplit="4" ySplit="7" topLeftCell="E8" activePane="bottomRight" state="frozen"/>
      <selection pane="topRight"/>
      <selection pane="bottomLeft"/>
      <selection pane="bottomRight" activeCell="E8" sqref="E8"/>
    </sheetView>
  </sheetViews>
  <sheetFormatPr baseColWidth="10" defaultColWidth="8.83203125" defaultRowHeight="14"/>
  <cols>
    <col min="1" max="2" width="2" customWidth="1"/>
    <col min="3" max="3" width="52" customWidth="1"/>
    <col min="4" max="4" width="3" customWidth="1"/>
    <col min="5" max="64" width="15" customWidth="1"/>
  </cols>
  <sheetData>
    <row r="1" spans="3:64" ht="21" customHeight="1">
      <c r="C1" s="1"/>
      <c r="D1" s="1"/>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row>
    <row r="2" spans="3:64" ht="21" customHeight="1">
      <c r="C2" s="57" t="s">
        <v>853</v>
      </c>
      <c r="D2" s="1"/>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row>
    <row r="3" spans="3:64" ht="36" customHeight="1">
      <c r="C3" s="117" t="s">
        <v>828</v>
      </c>
      <c r="D3" s="117"/>
      <c r="E3" s="118"/>
      <c r="F3" s="118"/>
      <c r="G3" s="118"/>
      <c r="H3" s="118"/>
      <c r="I3" s="118"/>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row>
    <row r="4" spans="3:64" ht="21" customHeight="1">
      <c r="C4" s="1"/>
      <c r="D4" s="1"/>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row>
    <row r="5" spans="3:64" ht="21" customHeight="1">
      <c r="C5" s="1"/>
      <c r="D5" s="1"/>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row>
    <row r="6" spans="3:64" ht="21" customHeight="1">
      <c r="C6" s="1"/>
      <c r="D6" s="1"/>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row>
    <row r="7" spans="3:64" ht="26" customHeight="1">
      <c r="C7" s="60" t="s">
        <v>854</v>
      </c>
      <c r="D7" s="60"/>
      <c r="E7" s="80">
        <v>2027</v>
      </c>
      <c r="F7" s="80">
        <v>2028</v>
      </c>
      <c r="G7" s="80">
        <v>2029</v>
      </c>
      <c r="H7" s="80">
        <v>2030</v>
      </c>
      <c r="I7" s="80">
        <v>2031</v>
      </c>
      <c r="J7" s="61"/>
      <c r="K7" s="61"/>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row>
    <row r="8" spans="3:64" ht="21" customHeight="1">
      <c r="C8" s="1" t="s">
        <v>4</v>
      </c>
      <c r="D8" s="1"/>
      <c r="E8" s="16">
        <f>SUM(E21:P21)</f>
        <v>750</v>
      </c>
      <c r="F8" s="16">
        <f>SUM(Q21:AB21)</f>
        <v>714.70000000000027</v>
      </c>
      <c r="G8" s="16">
        <f>SUM(AC21:AN21)</f>
        <v>728.71500000000015</v>
      </c>
      <c r="H8" s="16">
        <f>SUM(AO21:AZ21)</f>
        <v>743.11845000000005</v>
      </c>
      <c r="I8" s="16">
        <f>SUM(BA21:BL21)</f>
        <v>757.92136349999998</v>
      </c>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row>
    <row r="9" spans="3:64" ht="21" customHeight="1">
      <c r="C9" s="1" t="s">
        <v>5</v>
      </c>
      <c r="D9" s="1"/>
      <c r="E9" s="16">
        <f>SUM(E22:P22)</f>
        <v>214.99999999999991</v>
      </c>
      <c r="F9" s="16">
        <f>SUM(Q22:AB22)</f>
        <v>177.00000000000003</v>
      </c>
      <c r="G9" s="16">
        <f>SUM(AC22:AN22)</f>
        <v>183.50100000000006</v>
      </c>
      <c r="H9" s="16">
        <f>SUM(AO22:AZ22)</f>
        <v>185.48017000000002</v>
      </c>
      <c r="I9" s="16">
        <f>SUM(BA22:BL22)</f>
        <v>182.85031789999982</v>
      </c>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row>
    <row r="10" spans="3:64" ht="21" customHeight="1">
      <c r="C10" s="1" t="s">
        <v>855</v>
      </c>
      <c r="D10" s="1"/>
      <c r="E10" s="16">
        <f>SUM(E23:P23)</f>
        <v>46.277772814584253</v>
      </c>
      <c r="F10" s="16">
        <f>SUM(Q23:AB23)</f>
        <v>17.875400738768516</v>
      </c>
      <c r="G10" s="16">
        <f>SUM(AC23:AN23)</f>
        <v>50.869305183943155</v>
      </c>
      <c r="H10" s="16">
        <f>SUM(AO23:AZ23)</f>
        <v>78.584698785225328</v>
      </c>
      <c r="I10" s="16">
        <f>SUM(BA23:BL23)</f>
        <v>95.310250291893936</v>
      </c>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row>
    <row r="11" spans="3:64" ht="21" customHeight="1">
      <c r="C11" s="1" t="s">
        <v>856</v>
      </c>
      <c r="D11" s="1"/>
      <c r="E11" s="16">
        <f>SUM(E27:P27)</f>
        <v>12.313802210257915</v>
      </c>
      <c r="F11" s="16">
        <f>SUM(Q27:AB27)</f>
        <v>8.494541766731027</v>
      </c>
      <c r="G11" s="16">
        <f>SUM(AC27:AN27)</f>
        <v>9.6537287095389868</v>
      </c>
      <c r="H11" s="16">
        <f>SUM(AO27:AZ27)</f>
        <v>19.646174696306332</v>
      </c>
      <c r="I11" s="16">
        <f>SUM(BA27:BL27)</f>
        <v>23.827562572973484</v>
      </c>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row>
    <row r="12" spans="3:64" ht="21" customHeight="1">
      <c r="C12" s="81" t="s">
        <v>857</v>
      </c>
      <c r="D12" s="81"/>
      <c r="E12" s="84">
        <f>SUM(E28:P28)</f>
        <v>-78.234921184856987</v>
      </c>
      <c r="F12" s="84">
        <f>SUM(Q28:AB28)</f>
        <v>7.9047152884666971</v>
      </c>
      <c r="G12" s="84">
        <f>SUM(AC28:AN28)</f>
        <v>121.19086025644694</v>
      </c>
      <c r="H12" s="84">
        <f>SUM(AO28:AZ28)</f>
        <v>79.960774749779247</v>
      </c>
      <c r="I12" s="84">
        <f>SUM(BA28:BL28)</f>
        <v>75.710406245416266</v>
      </c>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row>
    <row r="13" spans="3:64" ht="21" customHeight="1">
      <c r="C13" s="1" t="s">
        <v>858</v>
      </c>
      <c r="D13" s="1"/>
      <c r="E13" s="16">
        <f>SUM(E42:P42)</f>
        <v>-71.483718974599057</v>
      </c>
      <c r="F13" s="16">
        <f>SUM(Q42:AB42)</f>
        <v>7.9047152884666971</v>
      </c>
      <c r="G13" s="16">
        <f>SUM(AC42:AN42)</f>
        <v>121.19086025644694</v>
      </c>
      <c r="H13" s="16">
        <f>SUM(AO42:AZ42)</f>
        <v>79.960774749779247</v>
      </c>
      <c r="I13" s="16">
        <f>SUM(BA42:BL42)</f>
        <v>75.710406245416266</v>
      </c>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row>
    <row r="14" spans="3:64" ht="21" customHeight="1">
      <c r="C14" s="81" t="s">
        <v>859</v>
      </c>
      <c r="D14" s="81"/>
      <c r="E14" s="84">
        <f>SUM(E44:P44)</f>
        <v>-71.532214001235602</v>
      </c>
      <c r="F14" s="84">
        <f>SUM(Q44:AB44)</f>
        <v>5.4620140910926462</v>
      </c>
      <c r="G14" s="84">
        <f>SUM(AC44:AN44)</f>
        <v>96.231149106799677</v>
      </c>
      <c r="H14" s="84">
        <f>SUM(AO44:AZ44)</f>
        <v>56.917276200346322</v>
      </c>
      <c r="I14" s="84">
        <f>SUM(BA44:BL44)</f>
        <v>48.900347044702997</v>
      </c>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row>
    <row r="15" spans="3:64" ht="21" customHeight="1">
      <c r="C15" s="1" t="s">
        <v>860</v>
      </c>
      <c r="D15" s="1"/>
      <c r="E15" s="16">
        <f>SUM(E41:P41)</f>
        <v>0</v>
      </c>
      <c r="F15" s="16">
        <f>SUM(Q41:AB41)</f>
        <v>0</v>
      </c>
      <c r="G15" s="16">
        <f>SUM(AC41:AN41)</f>
        <v>0</v>
      </c>
      <c r="H15" s="16">
        <f>SUM(AO41:AZ41)</f>
        <v>0</v>
      </c>
      <c r="I15" s="16">
        <f>SUM(BA41:BL41)</f>
        <v>0</v>
      </c>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row>
    <row r="16" spans="3:64" ht="21" customHeight="1">
      <c r="C16" s="1"/>
      <c r="D16" s="1"/>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row>
    <row r="17" spans="3:64" ht="36" customHeight="1">
      <c r="C17" s="117" t="s">
        <v>861</v>
      </c>
      <c r="D17" s="117"/>
      <c r="E17" s="118"/>
      <c r="F17" s="118"/>
      <c r="G17" s="118"/>
      <c r="H17" s="118"/>
      <c r="I17" s="118"/>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row>
    <row r="18" spans="3:64" ht="21" customHeight="1">
      <c r="C18" s="1"/>
      <c r="D18" s="1"/>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row>
    <row r="19" spans="3:64" ht="21" customHeight="1">
      <c r="C19" s="1" t="s">
        <v>862</v>
      </c>
      <c r="D19" s="1"/>
      <c r="E19" s="9">
        <v>46204</v>
      </c>
      <c r="F19" s="9">
        <v>46235</v>
      </c>
      <c r="G19" s="9">
        <v>46266</v>
      </c>
      <c r="H19" s="9">
        <v>46296</v>
      </c>
      <c r="I19" s="9">
        <v>46327</v>
      </c>
      <c r="J19" s="9">
        <v>46357</v>
      </c>
      <c r="K19" s="9">
        <v>46388</v>
      </c>
      <c r="L19" s="9">
        <v>46419</v>
      </c>
      <c r="M19" s="9">
        <v>46447</v>
      </c>
      <c r="N19" s="9">
        <v>46478</v>
      </c>
      <c r="O19" s="9">
        <v>46508</v>
      </c>
      <c r="P19" s="9">
        <v>46539</v>
      </c>
      <c r="Q19" s="9">
        <v>46569</v>
      </c>
      <c r="R19" s="9">
        <v>46600</v>
      </c>
      <c r="S19" s="9">
        <v>46631</v>
      </c>
      <c r="T19" s="9">
        <v>46661</v>
      </c>
      <c r="U19" s="9">
        <v>46692</v>
      </c>
      <c r="V19" s="9">
        <v>46722</v>
      </c>
      <c r="W19" s="9">
        <v>46753</v>
      </c>
      <c r="X19" s="9">
        <v>46784</v>
      </c>
      <c r="Y19" s="9">
        <v>46813</v>
      </c>
      <c r="Z19" s="9">
        <v>46844</v>
      </c>
      <c r="AA19" s="9">
        <v>46874</v>
      </c>
      <c r="AB19" s="9">
        <v>46905</v>
      </c>
      <c r="AC19" s="9">
        <v>46935</v>
      </c>
      <c r="AD19" s="9">
        <v>46966</v>
      </c>
      <c r="AE19" s="9">
        <v>46997</v>
      </c>
      <c r="AF19" s="9">
        <v>47027</v>
      </c>
      <c r="AG19" s="9">
        <v>47058</v>
      </c>
      <c r="AH19" s="9">
        <v>47088</v>
      </c>
      <c r="AI19" s="9">
        <v>47119</v>
      </c>
      <c r="AJ19" s="9">
        <v>47150</v>
      </c>
      <c r="AK19" s="9">
        <v>47178</v>
      </c>
      <c r="AL19" s="9">
        <v>47209</v>
      </c>
      <c r="AM19" s="9">
        <v>47239</v>
      </c>
      <c r="AN19" s="9">
        <v>47270</v>
      </c>
      <c r="AO19" s="9">
        <v>47300</v>
      </c>
      <c r="AP19" s="9">
        <v>47331</v>
      </c>
      <c r="AQ19" s="9">
        <v>47362</v>
      </c>
      <c r="AR19" s="9">
        <v>47392</v>
      </c>
      <c r="AS19" s="9">
        <v>47423</v>
      </c>
      <c r="AT19" s="9">
        <v>47453</v>
      </c>
      <c r="AU19" s="9">
        <v>47484</v>
      </c>
      <c r="AV19" s="9">
        <v>47515</v>
      </c>
      <c r="AW19" s="9">
        <v>47543</v>
      </c>
      <c r="AX19" s="9">
        <v>47574</v>
      </c>
      <c r="AY19" s="9">
        <v>47604</v>
      </c>
      <c r="AZ19" s="9">
        <v>47635</v>
      </c>
      <c r="BA19" s="9">
        <v>47665</v>
      </c>
      <c r="BB19" s="9">
        <v>47696</v>
      </c>
      <c r="BC19" s="9">
        <v>47727</v>
      </c>
      <c r="BD19" s="9">
        <v>47757</v>
      </c>
      <c r="BE19" s="9">
        <v>47788</v>
      </c>
      <c r="BF19" s="9">
        <v>47818</v>
      </c>
      <c r="BG19" s="9">
        <v>47849</v>
      </c>
      <c r="BH19" s="9">
        <v>47880</v>
      </c>
      <c r="BI19" s="9">
        <v>47908</v>
      </c>
      <c r="BJ19" s="9">
        <v>47939</v>
      </c>
      <c r="BK19" s="9">
        <v>47969</v>
      </c>
      <c r="BL19" s="9">
        <v>48000</v>
      </c>
    </row>
    <row r="20" spans="3:64" ht="21" customHeight="1">
      <c r="C20" s="1"/>
      <c r="D20" s="1"/>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row>
    <row r="21" spans="3:64" ht="21" customHeight="1">
      <c r="C21" s="1" t="s">
        <v>4</v>
      </c>
      <c r="D21" s="1"/>
      <c r="E21" s="5">
        <f>'Revenue costs'!E14</f>
        <v>62.5</v>
      </c>
      <c r="F21" s="5">
        <f>'Revenue costs'!F14</f>
        <v>62.5</v>
      </c>
      <c r="G21" s="5">
        <f>'Revenue costs'!G14</f>
        <v>62.5</v>
      </c>
      <c r="H21" s="5">
        <f>'Revenue costs'!H14</f>
        <v>62.5</v>
      </c>
      <c r="I21" s="5">
        <f>'Revenue costs'!I14</f>
        <v>62.5</v>
      </c>
      <c r="J21" s="5">
        <f>'Revenue costs'!J14</f>
        <v>62.5</v>
      </c>
      <c r="K21" s="5">
        <f>'Revenue costs'!K14</f>
        <v>62.5</v>
      </c>
      <c r="L21" s="5">
        <f>'Revenue costs'!L14</f>
        <v>62.5</v>
      </c>
      <c r="M21" s="5">
        <f>'Revenue costs'!M14</f>
        <v>62.5</v>
      </c>
      <c r="N21" s="5">
        <f>'Revenue costs'!N14</f>
        <v>62.5</v>
      </c>
      <c r="O21" s="5">
        <f>'Revenue costs'!O14</f>
        <v>62.5</v>
      </c>
      <c r="P21" s="5">
        <f>'Revenue costs'!P14</f>
        <v>62.5</v>
      </c>
      <c r="Q21" s="5">
        <f>'Revenue costs'!Q14</f>
        <v>59.558333333333337</v>
      </c>
      <c r="R21" s="5">
        <f>'Revenue costs'!R14</f>
        <v>59.558333333333337</v>
      </c>
      <c r="S21" s="5">
        <f>'Revenue costs'!S14</f>
        <v>59.558333333333337</v>
      </c>
      <c r="T21" s="5">
        <f>'Revenue costs'!T14</f>
        <v>59.558333333333337</v>
      </c>
      <c r="U21" s="5">
        <f>'Revenue costs'!U14</f>
        <v>59.558333333333337</v>
      </c>
      <c r="V21" s="5">
        <f>'Revenue costs'!V14</f>
        <v>59.558333333333337</v>
      </c>
      <c r="W21" s="5">
        <f>'Revenue costs'!W14</f>
        <v>59.558333333333337</v>
      </c>
      <c r="X21" s="5">
        <f>'Revenue costs'!X14</f>
        <v>59.558333333333337</v>
      </c>
      <c r="Y21" s="5">
        <f>'Revenue costs'!Y14</f>
        <v>59.558333333333337</v>
      </c>
      <c r="Z21" s="5">
        <f>'Revenue costs'!Z14</f>
        <v>59.558333333333337</v>
      </c>
      <c r="AA21" s="5">
        <f>'Revenue costs'!AA14</f>
        <v>59.558333333333337</v>
      </c>
      <c r="AB21" s="5">
        <f>'Revenue costs'!AB14</f>
        <v>59.558333333333337</v>
      </c>
      <c r="AC21" s="5">
        <f>'Revenue costs'!AC14</f>
        <v>60.72625</v>
      </c>
      <c r="AD21" s="5">
        <f>'Revenue costs'!AD14</f>
        <v>60.72625</v>
      </c>
      <c r="AE21" s="5">
        <f>'Revenue costs'!AE14</f>
        <v>60.72625</v>
      </c>
      <c r="AF21" s="5">
        <f>'Revenue costs'!AF14</f>
        <v>60.72625</v>
      </c>
      <c r="AG21" s="5">
        <f>'Revenue costs'!AG14</f>
        <v>60.72625</v>
      </c>
      <c r="AH21" s="5">
        <f>'Revenue costs'!AH14</f>
        <v>60.72625</v>
      </c>
      <c r="AI21" s="5">
        <f>'Revenue costs'!AI14</f>
        <v>60.72625</v>
      </c>
      <c r="AJ21" s="5">
        <f>'Revenue costs'!AJ14</f>
        <v>60.72625</v>
      </c>
      <c r="AK21" s="5">
        <f>'Revenue costs'!AK14</f>
        <v>60.72625</v>
      </c>
      <c r="AL21" s="5">
        <f>'Revenue costs'!AL14</f>
        <v>60.72625</v>
      </c>
      <c r="AM21" s="5">
        <f>'Revenue costs'!AM14</f>
        <v>60.72625</v>
      </c>
      <c r="AN21" s="5">
        <f>'Revenue costs'!AN14</f>
        <v>60.72625</v>
      </c>
      <c r="AO21" s="5">
        <f>'Revenue costs'!AO14</f>
        <v>61.926537500000002</v>
      </c>
      <c r="AP21" s="5">
        <f>'Revenue costs'!AP14</f>
        <v>61.926537500000002</v>
      </c>
      <c r="AQ21" s="5">
        <f>'Revenue costs'!AQ14</f>
        <v>61.926537500000002</v>
      </c>
      <c r="AR21" s="5">
        <f>'Revenue costs'!AR14</f>
        <v>61.926537500000002</v>
      </c>
      <c r="AS21" s="5">
        <f>'Revenue costs'!AS14</f>
        <v>61.926537500000002</v>
      </c>
      <c r="AT21" s="5">
        <f>'Revenue costs'!AT14</f>
        <v>61.926537500000002</v>
      </c>
      <c r="AU21" s="5">
        <f>'Revenue costs'!AU14</f>
        <v>61.926537500000002</v>
      </c>
      <c r="AV21" s="5">
        <f>'Revenue costs'!AV14</f>
        <v>61.926537500000002</v>
      </c>
      <c r="AW21" s="5">
        <f>'Revenue costs'!AW14</f>
        <v>61.926537500000002</v>
      </c>
      <c r="AX21" s="5">
        <f>'Revenue costs'!AX14</f>
        <v>61.926537500000002</v>
      </c>
      <c r="AY21" s="5">
        <f>'Revenue costs'!AY14</f>
        <v>61.926537500000002</v>
      </c>
      <c r="AZ21" s="5">
        <f>'Revenue costs'!AZ14</f>
        <v>61.926537500000002</v>
      </c>
      <c r="BA21" s="5">
        <f>'Revenue costs'!BA14</f>
        <v>63.160113624999994</v>
      </c>
      <c r="BB21" s="5">
        <f>'Revenue costs'!BB14</f>
        <v>63.160113624999994</v>
      </c>
      <c r="BC21" s="5">
        <f>'Revenue costs'!BC14</f>
        <v>63.160113624999994</v>
      </c>
      <c r="BD21" s="5">
        <f>'Revenue costs'!BD14</f>
        <v>63.160113624999994</v>
      </c>
      <c r="BE21" s="5">
        <f>'Revenue costs'!BE14</f>
        <v>63.160113624999994</v>
      </c>
      <c r="BF21" s="5">
        <f>'Revenue costs'!BF14</f>
        <v>63.160113624999994</v>
      </c>
      <c r="BG21" s="5">
        <f>'Revenue costs'!BG14</f>
        <v>63.160113624999994</v>
      </c>
      <c r="BH21" s="5">
        <f>'Revenue costs'!BH14</f>
        <v>63.160113624999994</v>
      </c>
      <c r="BI21" s="5">
        <f>'Revenue costs'!BI14</f>
        <v>63.160113624999994</v>
      </c>
      <c r="BJ21" s="5">
        <f>'Revenue costs'!BJ14</f>
        <v>63.160113624999994</v>
      </c>
      <c r="BK21" s="5">
        <f>'Revenue costs'!BK14</f>
        <v>63.160113624999994</v>
      </c>
      <c r="BL21" s="5">
        <f>'Revenue costs'!BL14</f>
        <v>63.160113624999994</v>
      </c>
    </row>
    <row r="22" spans="3:64" ht="21" customHeight="1">
      <c r="C22" s="1" t="s">
        <v>5</v>
      </c>
      <c r="D22" s="1"/>
      <c r="E22" s="5">
        <f>'Revenue costs'!E22</f>
        <v>17.916666666666664</v>
      </c>
      <c r="F22" s="5">
        <f>'Revenue costs'!F22</f>
        <v>17.916666666666664</v>
      </c>
      <c r="G22" s="5">
        <f>'Revenue costs'!G22</f>
        <v>17.916666666666664</v>
      </c>
      <c r="H22" s="5">
        <f>'Revenue costs'!H22</f>
        <v>17.916666666666664</v>
      </c>
      <c r="I22" s="5">
        <f>'Revenue costs'!I22</f>
        <v>17.916666666666664</v>
      </c>
      <c r="J22" s="5">
        <f>'Revenue costs'!J22</f>
        <v>17.916666666666664</v>
      </c>
      <c r="K22" s="5">
        <f>'Revenue costs'!K22</f>
        <v>17.916666666666664</v>
      </c>
      <c r="L22" s="5">
        <f>'Revenue costs'!L22</f>
        <v>17.916666666666664</v>
      </c>
      <c r="M22" s="5">
        <f>'Revenue costs'!M22</f>
        <v>17.916666666666664</v>
      </c>
      <c r="N22" s="5">
        <f>'Revenue costs'!N22</f>
        <v>17.916666666666664</v>
      </c>
      <c r="O22" s="5">
        <f>'Revenue costs'!O22</f>
        <v>17.916666666666664</v>
      </c>
      <c r="P22" s="5">
        <f>'Revenue costs'!P22</f>
        <v>17.916666666666664</v>
      </c>
      <c r="Q22" s="5">
        <f>'Revenue costs'!Q22</f>
        <v>14.750000000000005</v>
      </c>
      <c r="R22" s="5">
        <f>'Revenue costs'!R22</f>
        <v>14.750000000000005</v>
      </c>
      <c r="S22" s="5">
        <f>'Revenue costs'!S22</f>
        <v>14.750000000000005</v>
      </c>
      <c r="T22" s="5">
        <f>'Revenue costs'!T22</f>
        <v>14.750000000000005</v>
      </c>
      <c r="U22" s="5">
        <f>'Revenue costs'!U22</f>
        <v>14.750000000000005</v>
      </c>
      <c r="V22" s="5">
        <f>'Revenue costs'!V22</f>
        <v>14.750000000000005</v>
      </c>
      <c r="W22" s="5">
        <f>'Revenue costs'!W22</f>
        <v>14.750000000000005</v>
      </c>
      <c r="X22" s="5">
        <f>'Revenue costs'!X22</f>
        <v>14.750000000000005</v>
      </c>
      <c r="Y22" s="5">
        <f>'Revenue costs'!Y22</f>
        <v>14.750000000000005</v>
      </c>
      <c r="Z22" s="5">
        <f>'Revenue costs'!Z22</f>
        <v>14.750000000000005</v>
      </c>
      <c r="AA22" s="5">
        <f>'Revenue costs'!AA22</f>
        <v>14.750000000000005</v>
      </c>
      <c r="AB22" s="5">
        <f>'Revenue costs'!AB22</f>
        <v>14.750000000000005</v>
      </c>
      <c r="AC22" s="5">
        <f>'Revenue costs'!AC22</f>
        <v>15.29175</v>
      </c>
      <c r="AD22" s="5">
        <f>'Revenue costs'!AD22</f>
        <v>15.29175</v>
      </c>
      <c r="AE22" s="5">
        <f>'Revenue costs'!AE22</f>
        <v>15.29175</v>
      </c>
      <c r="AF22" s="5">
        <f>'Revenue costs'!AF22</f>
        <v>15.29175</v>
      </c>
      <c r="AG22" s="5">
        <f>'Revenue costs'!AG22</f>
        <v>15.29175</v>
      </c>
      <c r="AH22" s="5">
        <f>'Revenue costs'!AH22</f>
        <v>15.29175</v>
      </c>
      <c r="AI22" s="5">
        <f>'Revenue costs'!AI22</f>
        <v>15.29175</v>
      </c>
      <c r="AJ22" s="5">
        <f>'Revenue costs'!AJ22</f>
        <v>15.29175</v>
      </c>
      <c r="AK22" s="5">
        <f>'Revenue costs'!AK22</f>
        <v>15.29175</v>
      </c>
      <c r="AL22" s="5">
        <f>'Revenue costs'!AL22</f>
        <v>15.29175</v>
      </c>
      <c r="AM22" s="5">
        <f>'Revenue costs'!AM22</f>
        <v>15.29175</v>
      </c>
      <c r="AN22" s="5">
        <f>'Revenue costs'!AN22</f>
        <v>15.29175</v>
      </c>
      <c r="AO22" s="5">
        <f>'Revenue costs'!AO22</f>
        <v>15.456680833333333</v>
      </c>
      <c r="AP22" s="5">
        <f>'Revenue costs'!AP22</f>
        <v>15.456680833333333</v>
      </c>
      <c r="AQ22" s="5">
        <f>'Revenue costs'!AQ22</f>
        <v>15.456680833333333</v>
      </c>
      <c r="AR22" s="5">
        <f>'Revenue costs'!AR22</f>
        <v>15.456680833333333</v>
      </c>
      <c r="AS22" s="5">
        <f>'Revenue costs'!AS22</f>
        <v>15.456680833333333</v>
      </c>
      <c r="AT22" s="5">
        <f>'Revenue costs'!AT22</f>
        <v>15.456680833333333</v>
      </c>
      <c r="AU22" s="5">
        <f>'Revenue costs'!AU22</f>
        <v>15.456680833333333</v>
      </c>
      <c r="AV22" s="5">
        <f>'Revenue costs'!AV22</f>
        <v>15.456680833333333</v>
      </c>
      <c r="AW22" s="5">
        <f>'Revenue costs'!AW22</f>
        <v>15.456680833333333</v>
      </c>
      <c r="AX22" s="5">
        <f>'Revenue costs'!AX22</f>
        <v>15.456680833333333</v>
      </c>
      <c r="AY22" s="5">
        <f>'Revenue costs'!AY22</f>
        <v>15.456680833333333</v>
      </c>
      <c r="AZ22" s="5">
        <f>'Revenue costs'!AZ22</f>
        <v>15.456680833333333</v>
      </c>
      <c r="BA22" s="5">
        <f>'Revenue costs'!BA22</f>
        <v>15.237526491666657</v>
      </c>
      <c r="BB22" s="5">
        <f>'Revenue costs'!BB22</f>
        <v>15.237526491666657</v>
      </c>
      <c r="BC22" s="5">
        <f>'Revenue costs'!BC22</f>
        <v>15.237526491666657</v>
      </c>
      <c r="BD22" s="5">
        <f>'Revenue costs'!BD22</f>
        <v>15.237526491666657</v>
      </c>
      <c r="BE22" s="5">
        <f>'Revenue costs'!BE22</f>
        <v>15.237526491666657</v>
      </c>
      <c r="BF22" s="5">
        <f>'Revenue costs'!BF22</f>
        <v>15.237526491666657</v>
      </c>
      <c r="BG22" s="5">
        <f>'Revenue costs'!BG22</f>
        <v>15.237526491666657</v>
      </c>
      <c r="BH22" s="5">
        <f>'Revenue costs'!BH22</f>
        <v>15.237526491666657</v>
      </c>
      <c r="BI22" s="5">
        <f>'Revenue costs'!BI22</f>
        <v>15.237526491666657</v>
      </c>
      <c r="BJ22" s="5">
        <f>'Revenue costs'!BJ22</f>
        <v>15.237526491666657</v>
      </c>
      <c r="BK22" s="5">
        <f>'Revenue costs'!BK22</f>
        <v>15.237526491666657</v>
      </c>
      <c r="BL22" s="5">
        <f>'Revenue costs'!BL22</f>
        <v>15.237526491666657</v>
      </c>
    </row>
    <row r="23" spans="3:64" ht="21" customHeight="1">
      <c r="C23" s="1" t="s">
        <v>863</v>
      </c>
      <c r="D23" s="1"/>
      <c r="E23" s="5">
        <f>E22-Registrations!E89-'Revenue costs'!E24-'Revenue costs'!E25+Transfers!E25</f>
        <v>2.7916666666666652</v>
      </c>
      <c r="F23" s="5">
        <f>F22-Registrations!F89-'Revenue costs'!F24-'Revenue costs'!F25+Transfers!F25</f>
        <v>23.101190476190478</v>
      </c>
      <c r="G23" s="5">
        <f>G22-Registrations!G89-'Revenue costs'!G24-'Revenue costs'!G25+Transfers!G25</f>
        <v>20.362351698174496</v>
      </c>
      <c r="H23" s="5">
        <f>H22-Registrations!H89-'Revenue costs'!H24-'Revenue costs'!H25+Transfers!H25</f>
        <v>5.8062663728066455E-2</v>
      </c>
      <c r="I23" s="5">
        <f>I22-Registrations!I89-'Revenue costs'!I24-'Revenue costs'!I25+Transfers!I25</f>
        <v>5.8062663728066455E-2</v>
      </c>
      <c r="J23" s="5">
        <f>J22-Registrations!J89-'Revenue costs'!J24-'Revenue costs'!J25+Transfers!J25</f>
        <v>5.8062663728066455E-2</v>
      </c>
      <c r="K23" s="5">
        <f>K22-Registrations!K89-'Revenue costs'!K24-'Revenue costs'!K25+Transfers!K25</f>
        <v>-2.5270669605267471E-2</v>
      </c>
      <c r="L23" s="5">
        <f>L22-Registrations!L89-'Revenue costs'!L24-'Revenue costs'!L25+Transfers!L25</f>
        <v>-2.5270669605265694E-2</v>
      </c>
      <c r="M23" s="5">
        <f>M22-Registrations!M89-'Revenue costs'!M24-'Revenue costs'!M25+Transfers!M25</f>
        <v>-2.5270669605265694E-2</v>
      </c>
      <c r="N23" s="5">
        <f>N22-Registrations!N89-'Revenue costs'!N24-'Revenue costs'!N25+Transfers!N25</f>
        <v>-2.5270669605265694E-2</v>
      </c>
      <c r="O23" s="5">
        <f>O22-Registrations!O89-'Revenue costs'!O24-'Revenue costs'!O25+Transfers!O25</f>
        <v>-2.5270669605265694E-2</v>
      </c>
      <c r="P23" s="5">
        <f>P22-Registrations!P89-'Revenue costs'!P24-'Revenue costs'!P25+Transfers!P25</f>
        <v>-2.5270669605265694E-2</v>
      </c>
      <c r="Q23" s="5">
        <f>Q22-Registrations!Q89-'Revenue costs'!Q24-'Revenue costs'!Q25+Transfers!Q25</f>
        <v>-1.6930409656586582</v>
      </c>
      <c r="R23" s="5">
        <f>R22-Registrations!R89-'Revenue costs'!R24-'Revenue costs'!R25+Transfers!R25</f>
        <v>32.156165383547687</v>
      </c>
      <c r="S23" s="5">
        <f>S22-Registrations!S89-'Revenue costs'!S24-'Revenue costs'!S25+Transfers!S25</f>
        <v>-1.2587723679120528</v>
      </c>
      <c r="T23" s="5">
        <f>T22-Registrations!T89-'Revenue costs'!T24-'Revenue costs'!T25+Transfers!T25</f>
        <v>-1.2587723679120528</v>
      </c>
      <c r="U23" s="5">
        <f>U22-Registrations!U89-'Revenue costs'!U24-'Revenue costs'!U25+Transfers!U25</f>
        <v>-1.2587723679120528</v>
      </c>
      <c r="V23" s="5">
        <f>V22-Registrations!V89-'Revenue costs'!V24-'Revenue costs'!V25+Transfers!V25</f>
        <v>-1.2587723679120528</v>
      </c>
      <c r="W23" s="5">
        <f>W22-Registrations!W89-'Revenue costs'!W24-'Revenue costs'!W25+Transfers!W25</f>
        <v>-1.258772367912051</v>
      </c>
      <c r="X23" s="5">
        <f>X22-Registrations!X89-'Revenue costs'!X24-'Revenue costs'!X25+Transfers!X25</f>
        <v>-1.258772367912051</v>
      </c>
      <c r="Y23" s="5">
        <f>Y22-Registrations!Y89-'Revenue costs'!Y24-'Revenue costs'!Y25+Transfers!Y25</f>
        <v>-1.258772367912051</v>
      </c>
      <c r="Z23" s="5">
        <f>Z22-Registrations!Z89-'Revenue costs'!Z24-'Revenue costs'!Z25+Transfers!Z25</f>
        <v>-1.258772367912051</v>
      </c>
      <c r="AA23" s="5">
        <f>AA22-Registrations!AA89-'Revenue costs'!AA24-'Revenue costs'!AA25+Transfers!AA25</f>
        <v>-1.258772367912051</v>
      </c>
      <c r="AB23" s="5">
        <f>AB22-Registrations!AB89-'Revenue costs'!AB24-'Revenue costs'!AB25+Transfers!AB25</f>
        <v>-1.258772367912051</v>
      </c>
      <c r="AC23" s="5">
        <f>AC22-Registrations!AC89-'Revenue costs'!AC24-'Revenue costs'!AC25+Transfers!AC25</f>
        <v>1.0133564453955946</v>
      </c>
      <c r="AD23" s="5">
        <f>AD22-Registrations!AD89-'Revenue costs'!AD24-'Revenue costs'!AD25+Transfers!AD25</f>
        <v>34.862562794601942</v>
      </c>
      <c r="AE23" s="5">
        <f>AE22-Registrations!AE89-'Revenue costs'!AE24-'Revenue costs'!AE25+Transfers!AE25</f>
        <v>1.4993385943945623</v>
      </c>
      <c r="AF23" s="5">
        <f>AF22-Registrations!AF89-'Revenue costs'!AF24-'Revenue costs'!AF25+Transfers!AF25</f>
        <v>1.4993385943945623</v>
      </c>
      <c r="AG23" s="5">
        <f>AG22-Registrations!AG89-'Revenue costs'!AG24-'Revenue costs'!AG25+Transfers!AG25</f>
        <v>1.4993385943945623</v>
      </c>
      <c r="AH23" s="5">
        <f>AH22-Registrations!AH89-'Revenue costs'!AH24-'Revenue costs'!AH25+Transfers!AH25</f>
        <v>1.4993385943945623</v>
      </c>
      <c r="AI23" s="5">
        <f>AI22-Registrations!AI89-'Revenue costs'!AI24-'Revenue costs'!AI25+Transfers!AI25</f>
        <v>1.4993385943945623</v>
      </c>
      <c r="AJ23" s="5">
        <f>AJ22-Registrations!AJ89-'Revenue costs'!AJ24-'Revenue costs'!AJ25+Transfers!AJ25</f>
        <v>1.4993385943945605</v>
      </c>
      <c r="AK23" s="5">
        <f>AK22-Registrations!AK89-'Revenue costs'!AK24-'Revenue costs'!AK25+Transfers!AK25</f>
        <v>1.4993385943945605</v>
      </c>
      <c r="AL23" s="5">
        <f>AL22-Registrations!AL89-'Revenue costs'!AL24-'Revenue costs'!AL25+Transfers!AL25</f>
        <v>1.4993385943945605</v>
      </c>
      <c r="AM23" s="5">
        <f>AM22-Registrations!AM89-'Revenue costs'!AM24-'Revenue costs'!AM25+Transfers!AM25</f>
        <v>1.4993385943945605</v>
      </c>
      <c r="AN23" s="5">
        <f>AN22-Registrations!AN89-'Revenue costs'!AN24-'Revenue costs'!AN25+Transfers!AN25</f>
        <v>1.4993385943945605</v>
      </c>
      <c r="AO23" s="5">
        <f>AO22-Registrations!AO89-'Revenue costs'!AO24-'Revenue costs'!AO25+Transfers!AO25</f>
        <v>3.2840703902472663</v>
      </c>
      <c r="AP23" s="5">
        <f>AP22-Registrations!AP89-'Revenue costs'!AP24-'Revenue costs'!AP25+Transfers!AP25</f>
        <v>37.133276739453613</v>
      </c>
      <c r="AQ23" s="5">
        <f>AQ22-Registrations!AQ89-'Revenue costs'!AQ24-'Revenue costs'!AQ25+Transfers!AQ25</f>
        <v>3.8167351655524469</v>
      </c>
      <c r="AR23" s="5">
        <f>AR22-Registrations!AR89-'Revenue costs'!AR24-'Revenue costs'!AR25+Transfers!AR25</f>
        <v>3.8167351655524469</v>
      </c>
      <c r="AS23" s="5">
        <f>AS22-Registrations!AS89-'Revenue costs'!AS24-'Revenue costs'!AS25+Transfers!AS25</f>
        <v>3.8167351655524469</v>
      </c>
      <c r="AT23" s="5">
        <f>AT22-Registrations!AT89-'Revenue costs'!AT24-'Revenue costs'!AT25+Transfers!AT25</f>
        <v>3.8167351655524469</v>
      </c>
      <c r="AU23" s="5">
        <f>AU22-Registrations!AU89-'Revenue costs'!AU24-'Revenue costs'!AU25+Transfers!AU25</f>
        <v>3.8167351655524469</v>
      </c>
      <c r="AV23" s="5">
        <f>AV22-Registrations!AV89-'Revenue costs'!AV24-'Revenue costs'!AV25+Transfers!AV25</f>
        <v>3.8167351655524486</v>
      </c>
      <c r="AW23" s="5">
        <f>AW22-Registrations!AW89-'Revenue costs'!AW24-'Revenue costs'!AW25+Transfers!AW25</f>
        <v>3.8167351655524486</v>
      </c>
      <c r="AX23" s="5">
        <f>AX22-Registrations!AX89-'Revenue costs'!AX24-'Revenue costs'!AX25+Transfers!AX25</f>
        <v>3.8167351655524486</v>
      </c>
      <c r="AY23" s="5">
        <f>AY22-Registrations!AY89-'Revenue costs'!AY24-'Revenue costs'!AY25+Transfers!AY25</f>
        <v>3.8167351655524504</v>
      </c>
      <c r="AZ23" s="5">
        <f>AZ22-Registrations!AZ89-'Revenue costs'!AZ24-'Revenue costs'!AZ25+Transfers!AZ25</f>
        <v>3.8167351655524504</v>
      </c>
      <c r="BA23" s="5">
        <f>BA22-Registrations!BA89-'Revenue costs'!BA24-'Revenue costs'!BA25+Transfers!BA25</f>
        <v>4.6315578458178743</v>
      </c>
      <c r="BB23" s="5">
        <f>BB22-Registrations!BB89-'Revenue costs'!BB24-'Revenue costs'!BB25+Transfers!BB25</f>
        <v>38.480764195024221</v>
      </c>
      <c r="BC23" s="5">
        <f>BC22-Registrations!BC89-'Revenue costs'!BC24-'Revenue costs'!BC25+Transfers!BC25</f>
        <v>5.2197928251051833</v>
      </c>
      <c r="BD23" s="5">
        <f>BD22-Registrations!BD89-'Revenue costs'!BD24-'Revenue costs'!BD25+Transfers!BD25</f>
        <v>5.2197928251051833</v>
      </c>
      <c r="BE23" s="5">
        <f>BE22-Registrations!BE89-'Revenue costs'!BE24-'Revenue costs'!BE25+Transfers!BE25</f>
        <v>5.2197928251051833</v>
      </c>
      <c r="BF23" s="5">
        <f>BF22-Registrations!BF89-'Revenue costs'!BF24-'Revenue costs'!BF25+Transfers!BF25</f>
        <v>5.2197928251051833</v>
      </c>
      <c r="BG23" s="5">
        <f>BG22-Registrations!BG89-'Revenue costs'!BG24-'Revenue costs'!BG25+Transfers!BG25</f>
        <v>5.2197928251051833</v>
      </c>
      <c r="BH23" s="5">
        <f>BH22-Registrations!BH89-'Revenue costs'!BH24-'Revenue costs'!BH25+Transfers!BH25</f>
        <v>5.2197928251051833</v>
      </c>
      <c r="BI23" s="5">
        <f>BI22-Registrations!BI89-'Revenue costs'!BI24-'Revenue costs'!BI25+Transfers!BI25</f>
        <v>5.2197928251051833</v>
      </c>
      <c r="BJ23" s="5">
        <f>BJ22-Registrations!BJ89-'Revenue costs'!BJ24-'Revenue costs'!BJ25+Transfers!BJ25</f>
        <v>5.2197928251051833</v>
      </c>
      <c r="BK23" s="5">
        <f>BK22-Registrations!BK89-'Revenue costs'!BK24-'Revenue costs'!BK25+Transfers!BK25</f>
        <v>5.2197928251051833</v>
      </c>
      <c r="BL23" s="5">
        <f>BL22-Registrations!BL89-'Revenue costs'!BL24-'Revenue costs'!BL25+Transfers!BL25</f>
        <v>5.2197928251051842</v>
      </c>
    </row>
    <row r="24" spans="3:64" ht="21" customHeight="1">
      <c r="C24" s="1" t="s">
        <v>864</v>
      </c>
      <c r="D24" s="1"/>
      <c r="E24" s="5">
        <f>Assumptions!$E$310</f>
        <v>0</v>
      </c>
      <c r="F24" s="5">
        <f t="shared" ref="F24:AK24" si="0">E26</f>
        <v>0</v>
      </c>
      <c r="G24" s="5">
        <f t="shared" si="0"/>
        <v>0</v>
      </c>
      <c r="H24" s="5">
        <f t="shared" si="0"/>
        <v>0</v>
      </c>
      <c r="I24" s="5">
        <f t="shared" si="0"/>
        <v>0</v>
      </c>
      <c r="J24" s="5">
        <f t="shared" si="0"/>
        <v>0</v>
      </c>
      <c r="K24" s="5">
        <f t="shared" si="0"/>
        <v>0</v>
      </c>
      <c r="L24" s="5">
        <f t="shared" si="0"/>
        <v>2.5270669605267471E-2</v>
      </c>
      <c r="M24" s="5">
        <f t="shared" si="0"/>
        <v>5.0541339210533165E-2</v>
      </c>
      <c r="N24" s="5">
        <f t="shared" si="0"/>
        <v>7.5812008815798859E-2</v>
      </c>
      <c r="O24" s="5">
        <f t="shared" si="0"/>
        <v>0.10108267842106455</v>
      </c>
      <c r="P24" s="5">
        <f t="shared" si="0"/>
        <v>0.12635334802633025</v>
      </c>
      <c r="Q24" s="5">
        <f t="shared" si="0"/>
        <v>0.15162401763159594</v>
      </c>
      <c r="R24" s="5">
        <f t="shared" si="0"/>
        <v>1.8446649832902542</v>
      </c>
      <c r="S24" s="5">
        <f t="shared" si="0"/>
        <v>0</v>
      </c>
      <c r="T24" s="5">
        <f t="shared" si="0"/>
        <v>1.2587723679120528</v>
      </c>
      <c r="U24" s="5">
        <f t="shared" si="0"/>
        <v>2.5175447358241057</v>
      </c>
      <c r="V24" s="5">
        <f t="shared" si="0"/>
        <v>3.7763171037361585</v>
      </c>
      <c r="W24" s="5">
        <f t="shared" si="0"/>
        <v>5.0350894716482113</v>
      </c>
      <c r="X24" s="5">
        <f t="shared" si="0"/>
        <v>6.2938618395602628</v>
      </c>
      <c r="Y24" s="5">
        <f t="shared" si="0"/>
        <v>7.5526342074723143</v>
      </c>
      <c r="Z24" s="5">
        <f t="shared" si="0"/>
        <v>8.8114065753843658</v>
      </c>
      <c r="AA24" s="5">
        <f t="shared" si="0"/>
        <v>10.070178943296417</v>
      </c>
      <c r="AB24" s="5">
        <f t="shared" si="0"/>
        <v>11.328951311208469</v>
      </c>
      <c r="AC24" s="5">
        <f t="shared" si="0"/>
        <v>12.58772367912052</v>
      </c>
      <c r="AD24" s="5">
        <f t="shared" si="0"/>
        <v>11.574367233724926</v>
      </c>
      <c r="AE24" s="5">
        <f t="shared" si="0"/>
        <v>0</v>
      </c>
      <c r="AF24" s="5">
        <f t="shared" si="0"/>
        <v>0</v>
      </c>
      <c r="AG24" s="5">
        <f t="shared" si="0"/>
        <v>0</v>
      </c>
      <c r="AH24" s="5">
        <f t="shared" si="0"/>
        <v>0</v>
      </c>
      <c r="AI24" s="5">
        <f t="shared" si="0"/>
        <v>0</v>
      </c>
      <c r="AJ24" s="5">
        <f t="shared" si="0"/>
        <v>0</v>
      </c>
      <c r="AK24" s="5">
        <f t="shared" si="0"/>
        <v>0</v>
      </c>
      <c r="AL24" s="5">
        <f t="shared" ref="AL24:BL24" si="1">AK26</f>
        <v>0</v>
      </c>
      <c r="AM24" s="5">
        <f t="shared" si="1"/>
        <v>0</v>
      </c>
      <c r="AN24" s="5">
        <f t="shared" si="1"/>
        <v>0</v>
      </c>
      <c r="AO24" s="5">
        <f t="shared" si="1"/>
        <v>0</v>
      </c>
      <c r="AP24" s="5">
        <f t="shared" si="1"/>
        <v>0</v>
      </c>
      <c r="AQ24" s="5">
        <f t="shared" si="1"/>
        <v>0</v>
      </c>
      <c r="AR24" s="5">
        <f t="shared" si="1"/>
        <v>0</v>
      </c>
      <c r="AS24" s="5">
        <f t="shared" si="1"/>
        <v>0</v>
      </c>
      <c r="AT24" s="5">
        <f t="shared" si="1"/>
        <v>0</v>
      </c>
      <c r="AU24" s="5">
        <f t="shared" si="1"/>
        <v>0</v>
      </c>
      <c r="AV24" s="5">
        <f t="shared" si="1"/>
        <v>0</v>
      </c>
      <c r="AW24" s="5">
        <f t="shared" si="1"/>
        <v>0</v>
      </c>
      <c r="AX24" s="5">
        <f t="shared" si="1"/>
        <v>0</v>
      </c>
      <c r="AY24" s="5">
        <f t="shared" si="1"/>
        <v>0</v>
      </c>
      <c r="AZ24" s="5">
        <f t="shared" si="1"/>
        <v>0</v>
      </c>
      <c r="BA24" s="5">
        <f t="shared" si="1"/>
        <v>0</v>
      </c>
      <c r="BB24" s="5">
        <f t="shared" si="1"/>
        <v>0</v>
      </c>
      <c r="BC24" s="5">
        <f t="shared" si="1"/>
        <v>0</v>
      </c>
      <c r="BD24" s="5">
        <f t="shared" si="1"/>
        <v>0</v>
      </c>
      <c r="BE24" s="5">
        <f t="shared" si="1"/>
        <v>0</v>
      </c>
      <c r="BF24" s="5">
        <f t="shared" si="1"/>
        <v>0</v>
      </c>
      <c r="BG24" s="5">
        <f t="shared" si="1"/>
        <v>0</v>
      </c>
      <c r="BH24" s="5">
        <f t="shared" si="1"/>
        <v>0</v>
      </c>
      <c r="BI24" s="5">
        <f t="shared" si="1"/>
        <v>0</v>
      </c>
      <c r="BJ24" s="5">
        <f t="shared" si="1"/>
        <v>0</v>
      </c>
      <c r="BK24" s="5">
        <f t="shared" si="1"/>
        <v>0</v>
      </c>
      <c r="BL24" s="5">
        <f t="shared" si="1"/>
        <v>0</v>
      </c>
    </row>
    <row r="25" spans="3:64" ht="21" customHeight="1">
      <c r="C25" s="1" t="s">
        <v>865</v>
      </c>
      <c r="D25" s="1"/>
      <c r="E25" s="16">
        <f t="shared" ref="E25:AJ25" si="2">MAX(0,E23-E24)</f>
        <v>2.7916666666666652</v>
      </c>
      <c r="F25" s="16">
        <f t="shared" si="2"/>
        <v>23.101190476190478</v>
      </c>
      <c r="G25" s="16">
        <f t="shared" si="2"/>
        <v>20.362351698174496</v>
      </c>
      <c r="H25" s="16">
        <f t="shared" si="2"/>
        <v>5.8062663728066455E-2</v>
      </c>
      <c r="I25" s="16">
        <f t="shared" si="2"/>
        <v>5.8062663728066455E-2</v>
      </c>
      <c r="J25" s="16">
        <f t="shared" si="2"/>
        <v>5.8062663728066455E-2</v>
      </c>
      <c r="K25" s="16">
        <f t="shared" si="2"/>
        <v>0</v>
      </c>
      <c r="L25" s="16">
        <f t="shared" si="2"/>
        <v>0</v>
      </c>
      <c r="M25" s="16">
        <f t="shared" si="2"/>
        <v>0</v>
      </c>
      <c r="N25" s="16">
        <f t="shared" si="2"/>
        <v>0</v>
      </c>
      <c r="O25" s="16">
        <f t="shared" si="2"/>
        <v>0</v>
      </c>
      <c r="P25" s="16">
        <f t="shared" si="2"/>
        <v>0</v>
      </c>
      <c r="Q25" s="16">
        <f t="shared" si="2"/>
        <v>0</v>
      </c>
      <c r="R25" s="16">
        <f t="shared" si="2"/>
        <v>30.311500400257433</v>
      </c>
      <c r="S25" s="16">
        <f t="shared" si="2"/>
        <v>0</v>
      </c>
      <c r="T25" s="16">
        <f t="shared" si="2"/>
        <v>0</v>
      </c>
      <c r="U25" s="16">
        <f t="shared" si="2"/>
        <v>0</v>
      </c>
      <c r="V25" s="16">
        <f t="shared" si="2"/>
        <v>0</v>
      </c>
      <c r="W25" s="16">
        <f t="shared" si="2"/>
        <v>0</v>
      </c>
      <c r="X25" s="16">
        <f t="shared" si="2"/>
        <v>0</v>
      </c>
      <c r="Y25" s="16">
        <f t="shared" si="2"/>
        <v>0</v>
      </c>
      <c r="Z25" s="16">
        <f t="shared" si="2"/>
        <v>0</v>
      </c>
      <c r="AA25" s="16">
        <f t="shared" si="2"/>
        <v>0</v>
      </c>
      <c r="AB25" s="16">
        <f t="shared" si="2"/>
        <v>0</v>
      </c>
      <c r="AC25" s="16">
        <f t="shared" si="2"/>
        <v>0</v>
      </c>
      <c r="AD25" s="16">
        <f t="shared" si="2"/>
        <v>23.288195560877014</v>
      </c>
      <c r="AE25" s="16">
        <f t="shared" si="2"/>
        <v>1.4993385943945623</v>
      </c>
      <c r="AF25" s="16">
        <f t="shared" si="2"/>
        <v>1.4993385943945623</v>
      </c>
      <c r="AG25" s="16">
        <f t="shared" si="2"/>
        <v>1.4993385943945623</v>
      </c>
      <c r="AH25" s="16">
        <f t="shared" si="2"/>
        <v>1.4993385943945623</v>
      </c>
      <c r="AI25" s="16">
        <f t="shared" si="2"/>
        <v>1.4993385943945623</v>
      </c>
      <c r="AJ25" s="16">
        <f t="shared" si="2"/>
        <v>1.4993385943945605</v>
      </c>
      <c r="AK25" s="16">
        <f t="shared" ref="AK25:BP25" si="3">MAX(0,AK23-AK24)</f>
        <v>1.4993385943945605</v>
      </c>
      <c r="AL25" s="16">
        <f t="shared" si="3"/>
        <v>1.4993385943945605</v>
      </c>
      <c r="AM25" s="16">
        <f t="shared" si="3"/>
        <v>1.4993385943945605</v>
      </c>
      <c r="AN25" s="16">
        <f t="shared" si="3"/>
        <v>1.4993385943945605</v>
      </c>
      <c r="AO25" s="16">
        <f t="shared" si="3"/>
        <v>3.2840703902472663</v>
      </c>
      <c r="AP25" s="16">
        <f t="shared" si="3"/>
        <v>37.133276739453613</v>
      </c>
      <c r="AQ25" s="16">
        <f t="shared" si="3"/>
        <v>3.8167351655524469</v>
      </c>
      <c r="AR25" s="16">
        <f t="shared" si="3"/>
        <v>3.8167351655524469</v>
      </c>
      <c r="AS25" s="16">
        <f t="shared" si="3"/>
        <v>3.8167351655524469</v>
      </c>
      <c r="AT25" s="16">
        <f t="shared" si="3"/>
        <v>3.8167351655524469</v>
      </c>
      <c r="AU25" s="16">
        <f t="shared" si="3"/>
        <v>3.8167351655524469</v>
      </c>
      <c r="AV25" s="16">
        <f t="shared" si="3"/>
        <v>3.8167351655524486</v>
      </c>
      <c r="AW25" s="16">
        <f t="shared" si="3"/>
        <v>3.8167351655524486</v>
      </c>
      <c r="AX25" s="16">
        <f t="shared" si="3"/>
        <v>3.8167351655524486</v>
      </c>
      <c r="AY25" s="16">
        <f t="shared" si="3"/>
        <v>3.8167351655524504</v>
      </c>
      <c r="AZ25" s="16">
        <f t="shared" si="3"/>
        <v>3.8167351655524504</v>
      </c>
      <c r="BA25" s="16">
        <f t="shared" si="3"/>
        <v>4.6315578458178743</v>
      </c>
      <c r="BB25" s="16">
        <f t="shared" si="3"/>
        <v>38.480764195024221</v>
      </c>
      <c r="BC25" s="16">
        <f t="shared" si="3"/>
        <v>5.2197928251051833</v>
      </c>
      <c r="BD25" s="16">
        <f t="shared" si="3"/>
        <v>5.2197928251051833</v>
      </c>
      <c r="BE25" s="16">
        <f t="shared" si="3"/>
        <v>5.2197928251051833</v>
      </c>
      <c r="BF25" s="16">
        <f t="shared" si="3"/>
        <v>5.2197928251051833</v>
      </c>
      <c r="BG25" s="16">
        <f t="shared" si="3"/>
        <v>5.2197928251051833</v>
      </c>
      <c r="BH25" s="16">
        <f t="shared" si="3"/>
        <v>5.2197928251051833</v>
      </c>
      <c r="BI25" s="16">
        <f t="shared" si="3"/>
        <v>5.2197928251051833</v>
      </c>
      <c r="BJ25" s="16">
        <f t="shared" si="3"/>
        <v>5.2197928251051833</v>
      </c>
      <c r="BK25" s="16">
        <f t="shared" si="3"/>
        <v>5.2197928251051833</v>
      </c>
      <c r="BL25" s="16">
        <f t="shared" si="3"/>
        <v>5.2197928251051842</v>
      </c>
    </row>
    <row r="26" spans="3:64" ht="21" customHeight="1">
      <c r="C26" s="1" t="s">
        <v>866</v>
      </c>
      <c r="D26" s="1"/>
      <c r="E26" s="16">
        <f t="shared" ref="E26:AJ26" si="4">MAX(0,E24-E23)</f>
        <v>0</v>
      </c>
      <c r="F26" s="16">
        <f t="shared" si="4"/>
        <v>0</v>
      </c>
      <c r="G26" s="16">
        <f t="shared" si="4"/>
        <v>0</v>
      </c>
      <c r="H26" s="16">
        <f t="shared" si="4"/>
        <v>0</v>
      </c>
      <c r="I26" s="16">
        <f t="shared" si="4"/>
        <v>0</v>
      </c>
      <c r="J26" s="16">
        <f t="shared" si="4"/>
        <v>0</v>
      </c>
      <c r="K26" s="16">
        <f t="shared" si="4"/>
        <v>2.5270669605267471E-2</v>
      </c>
      <c r="L26" s="16">
        <f t="shared" si="4"/>
        <v>5.0541339210533165E-2</v>
      </c>
      <c r="M26" s="16">
        <f t="shared" si="4"/>
        <v>7.5812008815798859E-2</v>
      </c>
      <c r="N26" s="16">
        <f t="shared" si="4"/>
        <v>0.10108267842106455</v>
      </c>
      <c r="O26" s="16">
        <f t="shared" si="4"/>
        <v>0.12635334802633025</v>
      </c>
      <c r="P26" s="16">
        <f t="shared" si="4"/>
        <v>0.15162401763159594</v>
      </c>
      <c r="Q26" s="16">
        <f t="shared" si="4"/>
        <v>1.8446649832902542</v>
      </c>
      <c r="R26" s="16">
        <f t="shared" si="4"/>
        <v>0</v>
      </c>
      <c r="S26" s="16">
        <f t="shared" si="4"/>
        <v>1.2587723679120528</v>
      </c>
      <c r="T26" s="16">
        <f t="shared" si="4"/>
        <v>2.5175447358241057</v>
      </c>
      <c r="U26" s="16">
        <f t="shared" si="4"/>
        <v>3.7763171037361585</v>
      </c>
      <c r="V26" s="16">
        <f t="shared" si="4"/>
        <v>5.0350894716482113</v>
      </c>
      <c r="W26" s="16">
        <f t="shared" si="4"/>
        <v>6.2938618395602628</v>
      </c>
      <c r="X26" s="16">
        <f t="shared" si="4"/>
        <v>7.5526342074723143</v>
      </c>
      <c r="Y26" s="16">
        <f t="shared" si="4"/>
        <v>8.8114065753843658</v>
      </c>
      <c r="Z26" s="16">
        <f t="shared" si="4"/>
        <v>10.070178943296417</v>
      </c>
      <c r="AA26" s="16">
        <f t="shared" si="4"/>
        <v>11.328951311208469</v>
      </c>
      <c r="AB26" s="16">
        <f t="shared" si="4"/>
        <v>12.58772367912052</v>
      </c>
      <c r="AC26" s="16">
        <f t="shared" si="4"/>
        <v>11.574367233724926</v>
      </c>
      <c r="AD26" s="16">
        <f t="shared" si="4"/>
        <v>0</v>
      </c>
      <c r="AE26" s="16">
        <f t="shared" si="4"/>
        <v>0</v>
      </c>
      <c r="AF26" s="16">
        <f t="shared" si="4"/>
        <v>0</v>
      </c>
      <c r="AG26" s="16">
        <f t="shared" si="4"/>
        <v>0</v>
      </c>
      <c r="AH26" s="16">
        <f t="shared" si="4"/>
        <v>0</v>
      </c>
      <c r="AI26" s="16">
        <f t="shared" si="4"/>
        <v>0</v>
      </c>
      <c r="AJ26" s="16">
        <f t="shared" si="4"/>
        <v>0</v>
      </c>
      <c r="AK26" s="16">
        <f t="shared" ref="AK26:BL26" si="5">MAX(0,AK24-AK23)</f>
        <v>0</v>
      </c>
      <c r="AL26" s="16">
        <f t="shared" si="5"/>
        <v>0</v>
      </c>
      <c r="AM26" s="16">
        <f t="shared" si="5"/>
        <v>0</v>
      </c>
      <c r="AN26" s="16">
        <f t="shared" si="5"/>
        <v>0</v>
      </c>
      <c r="AO26" s="16">
        <f t="shared" si="5"/>
        <v>0</v>
      </c>
      <c r="AP26" s="16">
        <f t="shared" si="5"/>
        <v>0</v>
      </c>
      <c r="AQ26" s="16">
        <f t="shared" si="5"/>
        <v>0</v>
      </c>
      <c r="AR26" s="16">
        <f t="shared" si="5"/>
        <v>0</v>
      </c>
      <c r="AS26" s="16">
        <f t="shared" si="5"/>
        <v>0</v>
      </c>
      <c r="AT26" s="16">
        <f t="shared" si="5"/>
        <v>0</v>
      </c>
      <c r="AU26" s="16">
        <f t="shared" si="5"/>
        <v>0</v>
      </c>
      <c r="AV26" s="16">
        <f t="shared" si="5"/>
        <v>0</v>
      </c>
      <c r="AW26" s="16">
        <f t="shared" si="5"/>
        <v>0</v>
      </c>
      <c r="AX26" s="16">
        <f t="shared" si="5"/>
        <v>0</v>
      </c>
      <c r="AY26" s="16">
        <f t="shared" si="5"/>
        <v>0</v>
      </c>
      <c r="AZ26" s="16">
        <f t="shared" si="5"/>
        <v>0</v>
      </c>
      <c r="BA26" s="16">
        <f t="shared" si="5"/>
        <v>0</v>
      </c>
      <c r="BB26" s="16">
        <f t="shared" si="5"/>
        <v>0</v>
      </c>
      <c r="BC26" s="16">
        <f t="shared" si="5"/>
        <v>0</v>
      </c>
      <c r="BD26" s="16">
        <f t="shared" si="5"/>
        <v>0</v>
      </c>
      <c r="BE26" s="16">
        <f t="shared" si="5"/>
        <v>0</v>
      </c>
      <c r="BF26" s="16">
        <f t="shared" si="5"/>
        <v>0</v>
      </c>
      <c r="BG26" s="16">
        <f t="shared" si="5"/>
        <v>0</v>
      </c>
      <c r="BH26" s="16">
        <f t="shared" si="5"/>
        <v>0</v>
      </c>
      <c r="BI26" s="16">
        <f t="shared" si="5"/>
        <v>0</v>
      </c>
      <c r="BJ26" s="16">
        <f t="shared" si="5"/>
        <v>0</v>
      </c>
      <c r="BK26" s="16">
        <f t="shared" si="5"/>
        <v>0</v>
      </c>
      <c r="BL26" s="16">
        <f t="shared" si="5"/>
        <v>0</v>
      </c>
    </row>
    <row r="27" spans="3:64" ht="21" customHeight="1">
      <c r="C27" s="1" t="s">
        <v>867</v>
      </c>
      <c r="D27" s="1"/>
      <c r="E27" s="5">
        <f>MAX('Revenue costs'!E28,E25*Assumptions!E309)</f>
        <v>0.6979166666666663</v>
      </c>
      <c r="F27" s="5">
        <f>MAX('Revenue costs'!F28,F25*Assumptions!E309)</f>
        <v>5.7752976190476195</v>
      </c>
      <c r="G27" s="5">
        <f>MAX('Revenue costs'!G28,G25*Assumptions!E309)</f>
        <v>5.0905879245436241</v>
      </c>
      <c r="H27" s="5">
        <f>MAX('Revenue costs'!H28,H25*Assumptions!E309)</f>
        <v>8.3333333333333329E-2</v>
      </c>
      <c r="I27" s="5">
        <f>MAX('Revenue costs'!I28,I25*Assumptions!E309)</f>
        <v>8.3333333333333329E-2</v>
      </c>
      <c r="J27" s="5">
        <f>MAX('Revenue costs'!J28,J25*Assumptions!E309)</f>
        <v>8.3333333333333329E-2</v>
      </c>
      <c r="K27" s="5">
        <f>MAX('Revenue costs'!K28,K25*Assumptions!E309)</f>
        <v>8.3333333333333329E-2</v>
      </c>
      <c r="L27" s="5">
        <f>MAX('Revenue costs'!L28,L25*Assumptions!E309)</f>
        <v>8.3333333333333329E-2</v>
      </c>
      <c r="M27" s="5">
        <f>MAX('Revenue costs'!M28,M25*Assumptions!E309)</f>
        <v>8.3333333333333329E-2</v>
      </c>
      <c r="N27" s="5">
        <f>MAX('Revenue costs'!N28,N25*Assumptions!E309)</f>
        <v>8.3333333333333329E-2</v>
      </c>
      <c r="O27" s="5">
        <f>MAX('Revenue costs'!O28,O25*Assumptions!E309)</f>
        <v>8.3333333333333329E-2</v>
      </c>
      <c r="P27" s="5">
        <f>MAX('Revenue costs'!P28,P25*Assumptions!E309)</f>
        <v>8.3333333333333329E-2</v>
      </c>
      <c r="Q27" s="5">
        <f>MAX('Revenue costs'!Q28,Q25*Assumptions!F309)</f>
        <v>8.3333333333333329E-2</v>
      </c>
      <c r="R27" s="5">
        <f>MAX('Revenue costs'!R28,R25*Assumptions!F309)</f>
        <v>7.5778751000643583</v>
      </c>
      <c r="S27" s="5">
        <f>MAX('Revenue costs'!S28,S25*Assumptions!F309)</f>
        <v>8.3333333333333329E-2</v>
      </c>
      <c r="T27" s="5">
        <f>MAX('Revenue costs'!T28,T25*Assumptions!F309)</f>
        <v>8.3333333333333329E-2</v>
      </c>
      <c r="U27" s="5">
        <f>MAX('Revenue costs'!U28,U25*Assumptions!F309)</f>
        <v>8.3333333333333329E-2</v>
      </c>
      <c r="V27" s="5">
        <f>MAX('Revenue costs'!V28,V25*Assumptions!F309)</f>
        <v>8.3333333333333329E-2</v>
      </c>
      <c r="W27" s="5">
        <f>MAX('Revenue costs'!W28,W25*Assumptions!F309)</f>
        <v>8.3333333333333329E-2</v>
      </c>
      <c r="X27" s="5">
        <f>MAX('Revenue costs'!X28,X25*Assumptions!F309)</f>
        <v>8.3333333333333329E-2</v>
      </c>
      <c r="Y27" s="5">
        <f>MAX('Revenue costs'!Y28,Y25*Assumptions!F309)</f>
        <v>8.3333333333333329E-2</v>
      </c>
      <c r="Z27" s="5">
        <f>MAX('Revenue costs'!Z28,Z25*Assumptions!F309)</f>
        <v>8.3333333333333329E-2</v>
      </c>
      <c r="AA27" s="5">
        <f>MAX('Revenue costs'!AA28,AA25*Assumptions!F309)</f>
        <v>8.3333333333333329E-2</v>
      </c>
      <c r="AB27" s="5">
        <f>MAX('Revenue costs'!AB28,AB25*Assumptions!F309)</f>
        <v>8.3333333333333329E-2</v>
      </c>
      <c r="AC27" s="5">
        <f>MAX('Revenue costs'!AC28,AC25*Assumptions!G309)</f>
        <v>8.3333333333333329E-2</v>
      </c>
      <c r="AD27" s="5">
        <f>MAX('Revenue costs'!AD28,AD25*Assumptions!G309)</f>
        <v>5.8220488902192535</v>
      </c>
      <c r="AE27" s="5">
        <f>MAX('Revenue costs'!AE28,AE25*Assumptions!G309)</f>
        <v>0.37483464859864057</v>
      </c>
      <c r="AF27" s="5">
        <f>MAX('Revenue costs'!AF28,AF25*Assumptions!G309)</f>
        <v>0.37483464859864057</v>
      </c>
      <c r="AG27" s="5">
        <f>MAX('Revenue costs'!AG28,AG25*Assumptions!G309)</f>
        <v>0.37483464859864057</v>
      </c>
      <c r="AH27" s="5">
        <f>MAX('Revenue costs'!AH28,AH25*Assumptions!G309)</f>
        <v>0.37483464859864057</v>
      </c>
      <c r="AI27" s="5">
        <f>MAX('Revenue costs'!AI28,AI25*Assumptions!G309)</f>
        <v>0.37483464859864057</v>
      </c>
      <c r="AJ27" s="5">
        <f>MAX('Revenue costs'!AJ28,AJ25*Assumptions!G309)</f>
        <v>0.37483464859864013</v>
      </c>
      <c r="AK27" s="5">
        <f>MAX('Revenue costs'!AK28,AK25*Assumptions!G309)</f>
        <v>0.37483464859864013</v>
      </c>
      <c r="AL27" s="5">
        <f>MAX('Revenue costs'!AL28,AL25*Assumptions!G309)</f>
        <v>0.37483464859864013</v>
      </c>
      <c r="AM27" s="5">
        <f>MAX('Revenue costs'!AM28,AM25*Assumptions!G309)</f>
        <v>0.37483464859864013</v>
      </c>
      <c r="AN27" s="5">
        <f>MAX('Revenue costs'!AN28,AN25*Assumptions!G309)</f>
        <v>0.37483464859864013</v>
      </c>
      <c r="AO27" s="5">
        <f>MAX('Revenue costs'!AO28,AO25*Assumptions!H309)</f>
        <v>0.82101759756181658</v>
      </c>
      <c r="AP27" s="5">
        <f>MAX('Revenue costs'!AP28,AP25*Assumptions!H309)</f>
        <v>9.2833191848634034</v>
      </c>
      <c r="AQ27" s="5">
        <f>MAX('Revenue costs'!AQ28,AQ25*Assumptions!H309)</f>
        <v>0.95418379138811171</v>
      </c>
      <c r="AR27" s="5">
        <f>MAX('Revenue costs'!AR28,AR25*Assumptions!H309)</f>
        <v>0.95418379138811171</v>
      </c>
      <c r="AS27" s="5">
        <f>MAX('Revenue costs'!AS28,AS25*Assumptions!H309)</f>
        <v>0.95418379138811171</v>
      </c>
      <c r="AT27" s="5">
        <f>MAX('Revenue costs'!AT28,AT25*Assumptions!H309)</f>
        <v>0.95418379138811171</v>
      </c>
      <c r="AU27" s="5">
        <f>MAX('Revenue costs'!AU28,AU25*Assumptions!H309)</f>
        <v>0.95418379138811171</v>
      </c>
      <c r="AV27" s="5">
        <f>MAX('Revenue costs'!AV28,AV25*Assumptions!H309)</f>
        <v>0.95418379138811216</v>
      </c>
      <c r="AW27" s="5">
        <f>MAX('Revenue costs'!AW28,AW25*Assumptions!H309)</f>
        <v>0.95418379138811216</v>
      </c>
      <c r="AX27" s="5">
        <f>MAX('Revenue costs'!AX28,AX25*Assumptions!H309)</f>
        <v>0.95418379138811216</v>
      </c>
      <c r="AY27" s="5">
        <f>MAX('Revenue costs'!AY28,AY25*Assumptions!H309)</f>
        <v>0.9541837913881126</v>
      </c>
      <c r="AZ27" s="5">
        <f>MAX('Revenue costs'!AZ28,AZ25*Assumptions!H309)</f>
        <v>0.9541837913881126</v>
      </c>
      <c r="BA27" s="5">
        <f>MAX('Revenue costs'!BA28,BA25*Assumptions!I309)</f>
        <v>1.1578894614544686</v>
      </c>
      <c r="BB27" s="5">
        <f>MAX('Revenue costs'!BB28,BB25*Assumptions!I309)</f>
        <v>9.6201910487560554</v>
      </c>
      <c r="BC27" s="5">
        <f>MAX('Revenue costs'!BC28,BC25*Assumptions!I309)</f>
        <v>1.3049482062762958</v>
      </c>
      <c r="BD27" s="5">
        <f>MAX('Revenue costs'!BD28,BD25*Assumptions!I309)</f>
        <v>1.3049482062762958</v>
      </c>
      <c r="BE27" s="5">
        <f>MAX('Revenue costs'!BE28,BE25*Assumptions!I309)</f>
        <v>1.3049482062762958</v>
      </c>
      <c r="BF27" s="5">
        <f>MAX('Revenue costs'!BF28,BF25*Assumptions!I309)</f>
        <v>1.3049482062762958</v>
      </c>
      <c r="BG27" s="5">
        <f>MAX('Revenue costs'!BG28,BG25*Assumptions!I309)</f>
        <v>1.3049482062762958</v>
      </c>
      <c r="BH27" s="5">
        <f>MAX('Revenue costs'!BH28,BH25*Assumptions!I309)</f>
        <v>1.3049482062762958</v>
      </c>
      <c r="BI27" s="5">
        <f>MAX('Revenue costs'!BI28,BI25*Assumptions!I309)</f>
        <v>1.3049482062762958</v>
      </c>
      <c r="BJ27" s="5">
        <f>MAX('Revenue costs'!BJ28,BJ25*Assumptions!I309)</f>
        <v>1.3049482062762958</v>
      </c>
      <c r="BK27" s="5">
        <f>MAX('Revenue costs'!BK28,BK25*Assumptions!I309)</f>
        <v>1.3049482062762958</v>
      </c>
      <c r="BL27" s="5">
        <f>MAX('Revenue costs'!BL28,BL25*Assumptions!I309)</f>
        <v>1.304948206276296</v>
      </c>
    </row>
    <row r="28" spans="3:64" ht="21" customHeight="1">
      <c r="C28" s="81" t="s">
        <v>853</v>
      </c>
      <c r="D28" s="81"/>
      <c r="E28" s="84">
        <f t="shared" ref="E28:AJ28" si="6">E30+E31+E32-E33-E34-E35+E36-E37-E38-E39</f>
        <v>14.852083333333333</v>
      </c>
      <c r="F28" s="84">
        <f t="shared" si="6"/>
        <v>24.774702380952377</v>
      </c>
      <c r="G28" s="84">
        <f t="shared" si="6"/>
        <v>-46.377987924543632</v>
      </c>
      <c r="H28" s="84">
        <f t="shared" si="6"/>
        <v>15.466666666666665</v>
      </c>
      <c r="I28" s="84">
        <f t="shared" si="6"/>
        <v>15.466666666666665</v>
      </c>
      <c r="J28" s="16">
        <f t="shared" si="6"/>
        <v>-182.65505230793241</v>
      </c>
      <c r="K28" s="16">
        <f t="shared" si="6"/>
        <v>10.466666666666665</v>
      </c>
      <c r="L28" s="16">
        <f t="shared" si="6"/>
        <v>15.466666666666665</v>
      </c>
      <c r="M28" s="16">
        <f t="shared" si="6"/>
        <v>15.466666666666665</v>
      </c>
      <c r="N28" s="16">
        <f t="shared" si="6"/>
        <v>15.466666666666665</v>
      </c>
      <c r="O28" s="16">
        <f t="shared" si="6"/>
        <v>15.466666666666665</v>
      </c>
      <c r="P28" s="16">
        <f t="shared" si="6"/>
        <v>7.9046666666666647</v>
      </c>
      <c r="Q28" s="16">
        <f t="shared" si="6"/>
        <v>-17.466666666666661</v>
      </c>
      <c r="R28" s="16">
        <f t="shared" si="6"/>
        <v>38.038791566602313</v>
      </c>
      <c r="S28" s="16">
        <f t="shared" si="6"/>
        <v>-26.812866666666665</v>
      </c>
      <c r="T28" s="16">
        <f t="shared" si="6"/>
        <v>11.533333333333339</v>
      </c>
      <c r="U28" s="16">
        <f t="shared" si="6"/>
        <v>11.533333333333339</v>
      </c>
      <c r="V28" s="16">
        <f t="shared" si="6"/>
        <v>-78.121209611468998</v>
      </c>
      <c r="W28" s="16">
        <f t="shared" si="6"/>
        <v>11.533333333333339</v>
      </c>
      <c r="X28" s="16">
        <f t="shared" si="6"/>
        <v>11.533333333333339</v>
      </c>
      <c r="Y28" s="16">
        <f t="shared" si="6"/>
        <v>11.533333333333339</v>
      </c>
      <c r="Z28" s="16">
        <f t="shared" si="6"/>
        <v>11.533333333333339</v>
      </c>
      <c r="AA28" s="16">
        <f t="shared" si="6"/>
        <v>11.533333333333339</v>
      </c>
      <c r="AB28" s="16">
        <f t="shared" si="6"/>
        <v>11.533333333333339</v>
      </c>
      <c r="AC28" s="16">
        <f t="shared" si="6"/>
        <v>-34.091583333333325</v>
      </c>
      <c r="AD28" s="16">
        <f t="shared" si="6"/>
        <v>53.169701109780746</v>
      </c>
      <c r="AE28" s="16">
        <f t="shared" si="6"/>
        <v>-16.142734648598637</v>
      </c>
      <c r="AF28" s="16">
        <f t="shared" si="6"/>
        <v>12.61691535140136</v>
      </c>
      <c r="AG28" s="16">
        <f t="shared" si="6"/>
        <v>12.61691535140136</v>
      </c>
      <c r="AH28" s="16">
        <f t="shared" si="6"/>
        <v>17.320154317387271</v>
      </c>
      <c r="AI28" s="16">
        <f t="shared" si="6"/>
        <v>12.61691535140136</v>
      </c>
      <c r="AJ28" s="16">
        <f t="shared" si="6"/>
        <v>12.61691535140136</v>
      </c>
      <c r="AK28" s="16">
        <f t="shared" ref="AK28:BL28" si="7">AK30+AK31+AK32-AK33-AK34-AK35+AK36-AK37-AK38-AK39</f>
        <v>12.61691535140136</v>
      </c>
      <c r="AL28" s="16">
        <f t="shared" si="7"/>
        <v>12.61691535140136</v>
      </c>
      <c r="AM28" s="16">
        <f t="shared" si="7"/>
        <v>12.61691535140136</v>
      </c>
      <c r="AN28" s="16">
        <f t="shared" si="7"/>
        <v>12.61691535140136</v>
      </c>
      <c r="AO28" s="16">
        <f t="shared" si="7"/>
        <v>-46.66433676422848</v>
      </c>
      <c r="AP28" s="16">
        <f t="shared" si="7"/>
        <v>53.873361648469938</v>
      </c>
      <c r="AQ28" s="16">
        <f t="shared" si="7"/>
        <v>-16.557152958054775</v>
      </c>
      <c r="AR28" s="16">
        <f t="shared" si="7"/>
        <v>12.202497041945222</v>
      </c>
      <c r="AS28" s="16">
        <f t="shared" si="7"/>
        <v>12.202497041945222</v>
      </c>
      <c r="AT28" s="16">
        <f t="shared" si="7"/>
        <v>-8.3110735119692016</v>
      </c>
      <c r="AU28" s="16">
        <f t="shared" si="7"/>
        <v>12.202497041945222</v>
      </c>
      <c r="AV28" s="16">
        <f t="shared" si="7"/>
        <v>12.202497041945222</v>
      </c>
      <c r="AW28" s="16">
        <f t="shared" si="7"/>
        <v>12.202497041945222</v>
      </c>
      <c r="AX28" s="16">
        <f t="shared" si="7"/>
        <v>12.202497041945222</v>
      </c>
      <c r="AY28" s="16">
        <f t="shared" si="7"/>
        <v>12.202497041945222</v>
      </c>
      <c r="AZ28" s="16">
        <f t="shared" si="7"/>
        <v>12.202497041945222</v>
      </c>
      <c r="BA28" s="16">
        <f t="shared" si="7"/>
        <v>-53.220362969787807</v>
      </c>
      <c r="BB28" s="16">
        <f t="shared" si="7"/>
        <v>53.317335442910604</v>
      </c>
      <c r="BC28" s="16">
        <f t="shared" si="7"/>
        <v>-7.5405217146096408</v>
      </c>
      <c r="BD28" s="16">
        <f t="shared" si="7"/>
        <v>11.632578285390361</v>
      </c>
      <c r="BE28" s="16">
        <f t="shared" si="7"/>
        <v>11.632578285390361</v>
      </c>
      <c r="BF28" s="16">
        <f t="shared" si="7"/>
        <v>-9.90667079621978</v>
      </c>
      <c r="BG28" s="16">
        <f t="shared" si="7"/>
        <v>11.632578285390361</v>
      </c>
      <c r="BH28" s="16">
        <f t="shared" si="7"/>
        <v>11.632578285390361</v>
      </c>
      <c r="BI28" s="16">
        <f t="shared" si="7"/>
        <v>11.632578285390361</v>
      </c>
      <c r="BJ28" s="16">
        <f t="shared" si="7"/>
        <v>11.632578285390361</v>
      </c>
      <c r="BK28" s="16">
        <f t="shared" si="7"/>
        <v>11.632578285390361</v>
      </c>
      <c r="BL28" s="16">
        <f t="shared" si="7"/>
        <v>11.632578285390361</v>
      </c>
    </row>
    <row r="29" spans="3:64" ht="21" customHeight="1">
      <c r="C29" s="1"/>
      <c r="D29" s="1"/>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row>
    <row r="30" spans="3:64" ht="21" customHeight="1">
      <c r="C30" s="1" t="s">
        <v>868</v>
      </c>
      <c r="D30" s="1"/>
      <c r="E30" s="16">
        <f t="shared" ref="E30:AJ30" si="8">E23-E27</f>
        <v>2.0937499999999991</v>
      </c>
      <c r="F30" s="16">
        <f t="shared" si="8"/>
        <v>17.325892857142858</v>
      </c>
      <c r="G30" s="16">
        <f t="shared" si="8"/>
        <v>15.271763773630873</v>
      </c>
      <c r="H30" s="16">
        <f t="shared" si="8"/>
        <v>-2.5270669605266874E-2</v>
      </c>
      <c r="I30" s="16">
        <f t="shared" si="8"/>
        <v>-2.5270669605266874E-2</v>
      </c>
      <c r="J30" s="16">
        <f t="shared" si="8"/>
        <v>-2.5270669605266874E-2</v>
      </c>
      <c r="K30" s="16">
        <f t="shared" si="8"/>
        <v>-0.1086040029386008</v>
      </c>
      <c r="L30" s="16">
        <f t="shared" si="8"/>
        <v>-0.10860400293859902</v>
      </c>
      <c r="M30" s="16">
        <f t="shared" si="8"/>
        <v>-0.10860400293859902</v>
      </c>
      <c r="N30" s="16">
        <f t="shared" si="8"/>
        <v>-0.10860400293859902</v>
      </c>
      <c r="O30" s="16">
        <f t="shared" si="8"/>
        <v>-0.10860400293859902</v>
      </c>
      <c r="P30" s="16">
        <f t="shared" si="8"/>
        <v>-0.10860400293859902</v>
      </c>
      <c r="Q30" s="16">
        <f t="shared" si="8"/>
        <v>-1.7763742989919915</v>
      </c>
      <c r="R30" s="16">
        <f t="shared" si="8"/>
        <v>24.57829028348333</v>
      </c>
      <c r="S30" s="16">
        <f t="shared" si="8"/>
        <v>-1.3421057012453861</v>
      </c>
      <c r="T30" s="16">
        <f t="shared" si="8"/>
        <v>-1.3421057012453861</v>
      </c>
      <c r="U30" s="16">
        <f t="shared" si="8"/>
        <v>-1.3421057012453861</v>
      </c>
      <c r="V30" s="16">
        <f t="shared" si="8"/>
        <v>-1.3421057012453861</v>
      </c>
      <c r="W30" s="16">
        <f t="shared" si="8"/>
        <v>-1.3421057012453843</v>
      </c>
      <c r="X30" s="16">
        <f t="shared" si="8"/>
        <v>-1.3421057012453843</v>
      </c>
      <c r="Y30" s="16">
        <f t="shared" si="8"/>
        <v>-1.3421057012453843</v>
      </c>
      <c r="Z30" s="16">
        <f t="shared" si="8"/>
        <v>-1.3421057012453843</v>
      </c>
      <c r="AA30" s="16">
        <f t="shared" si="8"/>
        <v>-1.3421057012453843</v>
      </c>
      <c r="AB30" s="16">
        <f t="shared" si="8"/>
        <v>-1.3421057012453843</v>
      </c>
      <c r="AC30" s="16">
        <f t="shared" si="8"/>
        <v>0.93002311206226118</v>
      </c>
      <c r="AD30" s="16">
        <f t="shared" si="8"/>
        <v>29.040513904382689</v>
      </c>
      <c r="AE30" s="16">
        <f t="shared" si="8"/>
        <v>1.1245039457959218</v>
      </c>
      <c r="AF30" s="16">
        <f t="shared" si="8"/>
        <v>1.1245039457959218</v>
      </c>
      <c r="AG30" s="16">
        <f t="shared" si="8"/>
        <v>1.1245039457959218</v>
      </c>
      <c r="AH30" s="16">
        <f t="shared" si="8"/>
        <v>1.1245039457959218</v>
      </c>
      <c r="AI30" s="16">
        <f t="shared" si="8"/>
        <v>1.1245039457959218</v>
      </c>
      <c r="AJ30" s="16">
        <f t="shared" si="8"/>
        <v>1.1245039457959205</v>
      </c>
      <c r="AK30" s="16">
        <f t="shared" ref="AK30:BL30" si="9">AK23-AK27</f>
        <v>1.1245039457959205</v>
      </c>
      <c r="AL30" s="16">
        <f t="shared" si="9"/>
        <v>1.1245039457959205</v>
      </c>
      <c r="AM30" s="16">
        <f t="shared" si="9"/>
        <v>1.1245039457959205</v>
      </c>
      <c r="AN30" s="16">
        <f t="shared" si="9"/>
        <v>1.1245039457959205</v>
      </c>
      <c r="AO30" s="16">
        <f t="shared" si="9"/>
        <v>2.46305279268545</v>
      </c>
      <c r="AP30" s="16">
        <f t="shared" si="9"/>
        <v>27.849957554590212</v>
      </c>
      <c r="AQ30" s="16">
        <f t="shared" si="9"/>
        <v>2.8625513741643349</v>
      </c>
      <c r="AR30" s="16">
        <f t="shared" si="9"/>
        <v>2.8625513741643349</v>
      </c>
      <c r="AS30" s="16">
        <f t="shared" si="9"/>
        <v>2.8625513741643349</v>
      </c>
      <c r="AT30" s="16">
        <f t="shared" si="9"/>
        <v>2.8625513741643349</v>
      </c>
      <c r="AU30" s="16">
        <f t="shared" si="9"/>
        <v>2.8625513741643349</v>
      </c>
      <c r="AV30" s="16">
        <f t="shared" si="9"/>
        <v>2.8625513741643367</v>
      </c>
      <c r="AW30" s="16">
        <f t="shared" si="9"/>
        <v>2.8625513741643367</v>
      </c>
      <c r="AX30" s="16">
        <f t="shared" si="9"/>
        <v>2.8625513741643367</v>
      </c>
      <c r="AY30" s="16">
        <f t="shared" si="9"/>
        <v>2.8625513741643376</v>
      </c>
      <c r="AZ30" s="16">
        <f t="shared" si="9"/>
        <v>2.8625513741643376</v>
      </c>
      <c r="BA30" s="16">
        <f t="shared" si="9"/>
        <v>3.473668384363406</v>
      </c>
      <c r="BB30" s="16">
        <f t="shared" si="9"/>
        <v>28.860573146268166</v>
      </c>
      <c r="BC30" s="16">
        <f t="shared" si="9"/>
        <v>3.9148446188288872</v>
      </c>
      <c r="BD30" s="16">
        <f t="shared" si="9"/>
        <v>3.9148446188288872</v>
      </c>
      <c r="BE30" s="16">
        <f t="shared" si="9"/>
        <v>3.9148446188288872</v>
      </c>
      <c r="BF30" s="16">
        <f t="shared" si="9"/>
        <v>3.9148446188288872</v>
      </c>
      <c r="BG30" s="16">
        <f t="shared" si="9"/>
        <v>3.9148446188288872</v>
      </c>
      <c r="BH30" s="16">
        <f t="shared" si="9"/>
        <v>3.9148446188288872</v>
      </c>
      <c r="BI30" s="16">
        <f t="shared" si="9"/>
        <v>3.9148446188288872</v>
      </c>
      <c r="BJ30" s="16">
        <f t="shared" si="9"/>
        <v>3.9148446188288872</v>
      </c>
      <c r="BK30" s="16">
        <f t="shared" si="9"/>
        <v>3.9148446188288872</v>
      </c>
      <c r="BL30" s="16">
        <f t="shared" si="9"/>
        <v>3.9148446188288881</v>
      </c>
    </row>
    <row r="31" spans="3:64" ht="21" customHeight="1">
      <c r="C31" s="1" t="s">
        <v>869</v>
      </c>
      <c r="D31" s="1"/>
      <c r="E31" s="5">
        <f>Registrations!E89</f>
        <v>13.008333333333333</v>
      </c>
      <c r="F31" s="5">
        <f>Registrations!F89</f>
        <v>13.008333333333331</v>
      </c>
      <c r="G31" s="5">
        <f>Registrations!G89</f>
        <v>15.760648301825503</v>
      </c>
      <c r="H31" s="5">
        <f>Registrations!H89</f>
        <v>15.741937336271931</v>
      </c>
      <c r="I31" s="5">
        <f>Registrations!I89</f>
        <v>15.741937336271931</v>
      </c>
      <c r="J31" s="5">
        <f>Registrations!J89</f>
        <v>15.741937336271931</v>
      </c>
      <c r="K31" s="5">
        <f>Registrations!K89</f>
        <v>15.825270669605265</v>
      </c>
      <c r="L31" s="5">
        <f>Registrations!L89</f>
        <v>15.825270669605263</v>
      </c>
      <c r="M31" s="5">
        <f>Registrations!M89</f>
        <v>15.825270669605263</v>
      </c>
      <c r="N31" s="5">
        <f>Registrations!N89</f>
        <v>15.825270669605263</v>
      </c>
      <c r="O31" s="5">
        <f>Registrations!O89</f>
        <v>15.825270669605263</v>
      </c>
      <c r="P31" s="5">
        <f>Registrations!P89</f>
        <v>15.825270669605263</v>
      </c>
      <c r="Q31" s="5">
        <f>Registrations!Q89</f>
        <v>14.326374298991997</v>
      </c>
      <c r="R31" s="5">
        <f>Registrations!R89</f>
        <v>14.326374298991997</v>
      </c>
      <c r="S31" s="5">
        <f>Registrations!S89</f>
        <v>13.892105701245391</v>
      </c>
      <c r="T31" s="5">
        <f>Registrations!T89</f>
        <v>13.892105701245391</v>
      </c>
      <c r="U31" s="5">
        <f>Registrations!U89</f>
        <v>13.892105701245391</v>
      </c>
      <c r="V31" s="5">
        <f>Registrations!V89</f>
        <v>13.892105701245391</v>
      </c>
      <c r="W31" s="5">
        <f>Registrations!W89</f>
        <v>13.89210570124539</v>
      </c>
      <c r="X31" s="5">
        <f>Registrations!X89</f>
        <v>13.89210570124539</v>
      </c>
      <c r="Y31" s="5">
        <f>Registrations!Y89</f>
        <v>13.89210570124539</v>
      </c>
      <c r="Z31" s="5">
        <f>Registrations!Z89</f>
        <v>13.89210570124539</v>
      </c>
      <c r="AA31" s="5">
        <f>Registrations!AA89</f>
        <v>13.89210570124539</v>
      </c>
      <c r="AB31" s="5">
        <f>Registrations!AB89</f>
        <v>13.89210570124539</v>
      </c>
      <c r="AC31" s="5">
        <f>Registrations!AC89</f>
        <v>12.161726887937739</v>
      </c>
      <c r="AD31" s="5">
        <f>Registrations!AD89</f>
        <v>12.161726887937739</v>
      </c>
      <c r="AE31" s="5">
        <f>Registrations!AE89</f>
        <v>11.675744738938771</v>
      </c>
      <c r="AF31" s="5">
        <f>Registrations!AF89</f>
        <v>11.675744738938771</v>
      </c>
      <c r="AG31" s="5">
        <f>Registrations!AG89</f>
        <v>11.675744738938771</v>
      </c>
      <c r="AH31" s="5">
        <f>Registrations!AH89</f>
        <v>11.675744738938771</v>
      </c>
      <c r="AI31" s="5">
        <f>Registrations!AI89</f>
        <v>11.675744738938771</v>
      </c>
      <c r="AJ31" s="5">
        <f>Registrations!AJ89</f>
        <v>11.675744738938773</v>
      </c>
      <c r="AK31" s="5">
        <f>Registrations!AK89</f>
        <v>11.675744738938773</v>
      </c>
      <c r="AL31" s="5">
        <f>Registrations!AL89</f>
        <v>11.675744738938773</v>
      </c>
      <c r="AM31" s="5">
        <f>Registrations!AM89</f>
        <v>11.675744738938773</v>
      </c>
      <c r="AN31" s="5">
        <f>Registrations!AN89</f>
        <v>11.675744738938773</v>
      </c>
      <c r="AO31" s="5">
        <f>Registrations!AO89</f>
        <v>10.055943776419401</v>
      </c>
      <c r="AP31" s="5">
        <f>Registrations!AP89</f>
        <v>10.055943776419401</v>
      </c>
      <c r="AQ31" s="5">
        <f>Registrations!AQ89</f>
        <v>9.5232790011142203</v>
      </c>
      <c r="AR31" s="5">
        <f>Registrations!AR89</f>
        <v>9.5232790011142203</v>
      </c>
      <c r="AS31" s="5">
        <f>Registrations!AS89</f>
        <v>9.5232790011142203</v>
      </c>
      <c r="AT31" s="5">
        <f>Registrations!AT89</f>
        <v>9.5232790011142203</v>
      </c>
      <c r="AU31" s="5">
        <f>Registrations!AU89</f>
        <v>9.5232790011142203</v>
      </c>
      <c r="AV31" s="5">
        <f>Registrations!AV89</f>
        <v>9.5232790011142185</v>
      </c>
      <c r="AW31" s="5">
        <f>Registrations!AW89</f>
        <v>9.5232790011142185</v>
      </c>
      <c r="AX31" s="5">
        <f>Registrations!AX89</f>
        <v>9.5232790011142185</v>
      </c>
      <c r="AY31" s="5">
        <f>Registrations!AY89</f>
        <v>9.5232790011142168</v>
      </c>
      <c r="AZ31" s="5">
        <f>Registrations!AZ89</f>
        <v>9.5232790011142168</v>
      </c>
      <c r="BA31" s="5">
        <f>Registrations!BA89</f>
        <v>8.489301979182116</v>
      </c>
      <c r="BB31" s="5">
        <f>Registrations!BB89</f>
        <v>8.489301979182116</v>
      </c>
      <c r="BC31" s="5">
        <f>Registrations!BC89</f>
        <v>7.9010669998948071</v>
      </c>
      <c r="BD31" s="5">
        <f>Registrations!BD89</f>
        <v>7.9010669998948071</v>
      </c>
      <c r="BE31" s="5">
        <f>Registrations!BE89</f>
        <v>7.9010669998948071</v>
      </c>
      <c r="BF31" s="5">
        <f>Registrations!BF89</f>
        <v>7.9010669998948071</v>
      </c>
      <c r="BG31" s="5">
        <f>Registrations!BG89</f>
        <v>7.9010669998948071</v>
      </c>
      <c r="BH31" s="5">
        <f>Registrations!BH89</f>
        <v>7.9010669998948071</v>
      </c>
      <c r="BI31" s="5">
        <f>Registrations!BI89</f>
        <v>7.9010669998948071</v>
      </c>
      <c r="BJ31" s="5">
        <f>Registrations!BJ89</f>
        <v>7.9010669998948071</v>
      </c>
      <c r="BK31" s="5">
        <f>Registrations!BK89</f>
        <v>7.9010669998948071</v>
      </c>
      <c r="BL31" s="5">
        <f>Registrations!BL89</f>
        <v>7.9010669998948062</v>
      </c>
    </row>
    <row r="32" spans="3:64" ht="21" customHeight="1">
      <c r="C32" s="1" t="s">
        <v>870</v>
      </c>
      <c r="D32" s="1"/>
      <c r="E32" s="5">
        <f>'Revenue costs'!E24+'Revenue costs'!E25</f>
        <v>2.1166666666666667</v>
      </c>
      <c r="F32" s="5">
        <f>'Revenue costs'!F24+'Revenue costs'!F25</f>
        <v>2.1166666666666667</v>
      </c>
      <c r="G32" s="5">
        <f>'Revenue costs'!G24+'Revenue costs'!G25</f>
        <v>2.1166666666666667</v>
      </c>
      <c r="H32" s="5">
        <f>'Revenue costs'!H24+'Revenue costs'!H25</f>
        <v>2.1166666666666667</v>
      </c>
      <c r="I32" s="5">
        <f>'Revenue costs'!I24+'Revenue costs'!I25</f>
        <v>2.1166666666666667</v>
      </c>
      <c r="J32" s="5">
        <f>'Revenue costs'!J24+'Revenue costs'!J25</f>
        <v>2.1166666666666667</v>
      </c>
      <c r="K32" s="5">
        <f>'Revenue costs'!K24+'Revenue costs'!K25</f>
        <v>2.1166666666666667</v>
      </c>
      <c r="L32" s="5">
        <f>'Revenue costs'!L24+'Revenue costs'!L25</f>
        <v>2.1166666666666667</v>
      </c>
      <c r="M32" s="5">
        <f>'Revenue costs'!M24+'Revenue costs'!M25</f>
        <v>2.1166666666666667</v>
      </c>
      <c r="N32" s="5">
        <f>'Revenue costs'!N24+'Revenue costs'!N25</f>
        <v>2.1166666666666667</v>
      </c>
      <c r="O32" s="5">
        <f>'Revenue costs'!O24+'Revenue costs'!O25</f>
        <v>2.1166666666666667</v>
      </c>
      <c r="P32" s="5">
        <f>'Revenue costs'!P24+'Revenue costs'!P25</f>
        <v>2.1166666666666667</v>
      </c>
      <c r="Q32" s="5">
        <f>'Revenue costs'!Q24+'Revenue costs'!Q25</f>
        <v>2.1166666666666667</v>
      </c>
      <c r="R32" s="5">
        <f>'Revenue costs'!R24+'Revenue costs'!R25</f>
        <v>2.1166666666666667</v>
      </c>
      <c r="S32" s="5">
        <f>'Revenue costs'!S24+'Revenue costs'!S25</f>
        <v>2.1166666666666667</v>
      </c>
      <c r="T32" s="5">
        <f>'Revenue costs'!T24+'Revenue costs'!T25</f>
        <v>2.1166666666666667</v>
      </c>
      <c r="U32" s="5">
        <f>'Revenue costs'!U24+'Revenue costs'!U25</f>
        <v>2.1166666666666667</v>
      </c>
      <c r="V32" s="5">
        <f>'Revenue costs'!V24+'Revenue costs'!V25</f>
        <v>2.1166666666666667</v>
      </c>
      <c r="W32" s="5">
        <f>'Revenue costs'!W24+'Revenue costs'!W25</f>
        <v>2.1166666666666667</v>
      </c>
      <c r="X32" s="5">
        <f>'Revenue costs'!X24+'Revenue costs'!X25</f>
        <v>2.1166666666666667</v>
      </c>
      <c r="Y32" s="5">
        <f>'Revenue costs'!Y24+'Revenue costs'!Y25</f>
        <v>2.1166666666666667</v>
      </c>
      <c r="Z32" s="5">
        <f>'Revenue costs'!Z24+'Revenue costs'!Z25</f>
        <v>2.1166666666666667</v>
      </c>
      <c r="AA32" s="5">
        <f>'Revenue costs'!AA24+'Revenue costs'!AA25</f>
        <v>2.1166666666666667</v>
      </c>
      <c r="AB32" s="5">
        <f>'Revenue costs'!AB24+'Revenue costs'!AB25</f>
        <v>2.1166666666666667</v>
      </c>
      <c r="AC32" s="5">
        <f>'Revenue costs'!AC24+'Revenue costs'!AC25</f>
        <v>2.1166666666666667</v>
      </c>
      <c r="AD32" s="5">
        <f>'Revenue costs'!AD24+'Revenue costs'!AD25</f>
        <v>2.1166666666666667</v>
      </c>
      <c r="AE32" s="5">
        <f>'Revenue costs'!AE24+'Revenue costs'!AE25</f>
        <v>2.1166666666666667</v>
      </c>
      <c r="AF32" s="5">
        <f>'Revenue costs'!AF24+'Revenue costs'!AF25</f>
        <v>2.1166666666666667</v>
      </c>
      <c r="AG32" s="5">
        <f>'Revenue costs'!AG24+'Revenue costs'!AG25</f>
        <v>2.1166666666666667</v>
      </c>
      <c r="AH32" s="5">
        <f>'Revenue costs'!AH24+'Revenue costs'!AH25</f>
        <v>2.1166666666666667</v>
      </c>
      <c r="AI32" s="5">
        <f>'Revenue costs'!AI24+'Revenue costs'!AI25</f>
        <v>2.1166666666666667</v>
      </c>
      <c r="AJ32" s="5">
        <f>'Revenue costs'!AJ24+'Revenue costs'!AJ25</f>
        <v>2.1166666666666667</v>
      </c>
      <c r="AK32" s="5">
        <f>'Revenue costs'!AK24+'Revenue costs'!AK25</f>
        <v>2.1166666666666667</v>
      </c>
      <c r="AL32" s="5">
        <f>'Revenue costs'!AL24+'Revenue costs'!AL25</f>
        <v>2.1166666666666667</v>
      </c>
      <c r="AM32" s="5">
        <f>'Revenue costs'!AM24+'Revenue costs'!AM25</f>
        <v>2.1166666666666667</v>
      </c>
      <c r="AN32" s="5">
        <f>'Revenue costs'!AN24+'Revenue costs'!AN25</f>
        <v>2.1166666666666667</v>
      </c>
      <c r="AO32" s="5">
        <f>'Revenue costs'!AO24+'Revenue costs'!AO25</f>
        <v>2.1166666666666667</v>
      </c>
      <c r="AP32" s="5">
        <f>'Revenue costs'!AP24+'Revenue costs'!AP25</f>
        <v>2.1166666666666667</v>
      </c>
      <c r="AQ32" s="5">
        <f>'Revenue costs'!AQ24+'Revenue costs'!AQ25</f>
        <v>2.1166666666666667</v>
      </c>
      <c r="AR32" s="5">
        <f>'Revenue costs'!AR24+'Revenue costs'!AR25</f>
        <v>2.1166666666666667</v>
      </c>
      <c r="AS32" s="5">
        <f>'Revenue costs'!AS24+'Revenue costs'!AS25</f>
        <v>2.1166666666666667</v>
      </c>
      <c r="AT32" s="5">
        <f>'Revenue costs'!AT24+'Revenue costs'!AT25</f>
        <v>2.1166666666666667</v>
      </c>
      <c r="AU32" s="5">
        <f>'Revenue costs'!AU24+'Revenue costs'!AU25</f>
        <v>2.1166666666666667</v>
      </c>
      <c r="AV32" s="5">
        <f>'Revenue costs'!AV24+'Revenue costs'!AV25</f>
        <v>2.1166666666666667</v>
      </c>
      <c r="AW32" s="5">
        <f>'Revenue costs'!AW24+'Revenue costs'!AW25</f>
        <v>2.1166666666666667</v>
      </c>
      <c r="AX32" s="5">
        <f>'Revenue costs'!AX24+'Revenue costs'!AX25</f>
        <v>2.1166666666666667</v>
      </c>
      <c r="AY32" s="5">
        <f>'Revenue costs'!AY24+'Revenue costs'!AY25</f>
        <v>2.1166666666666667</v>
      </c>
      <c r="AZ32" s="5">
        <f>'Revenue costs'!AZ24+'Revenue costs'!AZ25</f>
        <v>2.1166666666666667</v>
      </c>
      <c r="BA32" s="5">
        <f>'Revenue costs'!BA24+'Revenue costs'!BA25</f>
        <v>2.1166666666666667</v>
      </c>
      <c r="BB32" s="5">
        <f>'Revenue costs'!BB24+'Revenue costs'!BB25</f>
        <v>2.1166666666666667</v>
      </c>
      <c r="BC32" s="5">
        <f>'Revenue costs'!BC24+'Revenue costs'!BC25</f>
        <v>2.1166666666666667</v>
      </c>
      <c r="BD32" s="5">
        <f>'Revenue costs'!BD24+'Revenue costs'!BD25</f>
        <v>2.1166666666666667</v>
      </c>
      <c r="BE32" s="5">
        <f>'Revenue costs'!BE24+'Revenue costs'!BE25</f>
        <v>2.1166666666666667</v>
      </c>
      <c r="BF32" s="5">
        <f>'Revenue costs'!BF24+'Revenue costs'!BF25</f>
        <v>2.1166666666666667</v>
      </c>
      <c r="BG32" s="5">
        <f>'Revenue costs'!BG24+'Revenue costs'!BG25</f>
        <v>2.1166666666666667</v>
      </c>
      <c r="BH32" s="5">
        <f>'Revenue costs'!BH24+'Revenue costs'!BH25</f>
        <v>2.1166666666666667</v>
      </c>
      <c r="BI32" s="5">
        <f>'Revenue costs'!BI24+'Revenue costs'!BI25</f>
        <v>2.1166666666666667</v>
      </c>
      <c r="BJ32" s="5">
        <f>'Revenue costs'!BJ24+'Revenue costs'!BJ25</f>
        <v>2.1166666666666667</v>
      </c>
      <c r="BK32" s="5">
        <f>'Revenue costs'!BK24+'Revenue costs'!BK25</f>
        <v>2.1166666666666667</v>
      </c>
      <c r="BL32" s="5">
        <f>'Revenue costs'!BL24+'Revenue costs'!BL25</f>
        <v>2.1166666666666667</v>
      </c>
    </row>
    <row r="33" spans="3:64" ht="21" customHeight="1">
      <c r="C33" s="1" t="s">
        <v>871</v>
      </c>
      <c r="D33" s="1"/>
      <c r="E33" s="5">
        <f>Transfers!E25</f>
        <v>0</v>
      </c>
      <c r="F33" s="5">
        <f>Transfers!F25</f>
        <v>20.30952380952381</v>
      </c>
      <c r="G33" s="5">
        <f>Transfers!G25</f>
        <v>20.323</v>
      </c>
      <c r="H33" s="5">
        <f>Transfers!H25</f>
        <v>0</v>
      </c>
      <c r="I33" s="5">
        <f>Transfers!I25</f>
        <v>0</v>
      </c>
      <c r="J33" s="5">
        <f>Transfers!J25</f>
        <v>0</v>
      </c>
      <c r="K33" s="5">
        <f>Transfers!K25</f>
        <v>0</v>
      </c>
      <c r="L33" s="5">
        <f>Transfers!L25</f>
        <v>0</v>
      </c>
      <c r="M33" s="5">
        <f>Transfers!M25</f>
        <v>0</v>
      </c>
      <c r="N33" s="5">
        <f>Transfers!N25</f>
        <v>0</v>
      </c>
      <c r="O33" s="5">
        <f>Transfers!O25</f>
        <v>0</v>
      </c>
      <c r="P33" s="5">
        <f>Transfers!P25</f>
        <v>0</v>
      </c>
      <c r="Q33" s="5">
        <f>Transfers!Q25</f>
        <v>0</v>
      </c>
      <c r="R33" s="5">
        <f>Transfers!R25</f>
        <v>33.849206349206348</v>
      </c>
      <c r="S33" s="5">
        <f>Transfers!S25</f>
        <v>0</v>
      </c>
      <c r="T33" s="5">
        <f>Transfers!T25</f>
        <v>0</v>
      </c>
      <c r="U33" s="5">
        <f>Transfers!U25</f>
        <v>0</v>
      </c>
      <c r="V33" s="5">
        <f>Transfers!V25</f>
        <v>0</v>
      </c>
      <c r="W33" s="5">
        <f>Transfers!W25</f>
        <v>0</v>
      </c>
      <c r="X33" s="5">
        <f>Transfers!X25</f>
        <v>0</v>
      </c>
      <c r="Y33" s="5">
        <f>Transfers!Y25</f>
        <v>0</v>
      </c>
      <c r="Z33" s="5">
        <f>Transfers!Z25</f>
        <v>0</v>
      </c>
      <c r="AA33" s="5">
        <f>Transfers!AA25</f>
        <v>0</v>
      </c>
      <c r="AB33" s="5">
        <f>Transfers!AB25</f>
        <v>0</v>
      </c>
      <c r="AC33" s="5">
        <f>Transfers!AC25</f>
        <v>0</v>
      </c>
      <c r="AD33" s="5">
        <f>Transfers!AD25</f>
        <v>33.849206349206348</v>
      </c>
      <c r="AE33" s="5">
        <f>Transfers!AE25</f>
        <v>0</v>
      </c>
      <c r="AF33" s="5">
        <f>Transfers!AF25</f>
        <v>0</v>
      </c>
      <c r="AG33" s="5">
        <f>Transfers!AG25</f>
        <v>0</v>
      </c>
      <c r="AH33" s="5">
        <f>Transfers!AH25</f>
        <v>0</v>
      </c>
      <c r="AI33" s="5">
        <f>Transfers!AI25</f>
        <v>0</v>
      </c>
      <c r="AJ33" s="5">
        <f>Transfers!AJ25</f>
        <v>0</v>
      </c>
      <c r="AK33" s="5">
        <f>Transfers!AK25</f>
        <v>0</v>
      </c>
      <c r="AL33" s="5">
        <f>Transfers!AL25</f>
        <v>0</v>
      </c>
      <c r="AM33" s="5">
        <f>Transfers!AM25</f>
        <v>0</v>
      </c>
      <c r="AN33" s="5">
        <f>Transfers!AN25</f>
        <v>0</v>
      </c>
      <c r="AO33" s="5">
        <f>Transfers!AO25</f>
        <v>0</v>
      </c>
      <c r="AP33" s="5">
        <f>Transfers!AP25</f>
        <v>33.849206349206348</v>
      </c>
      <c r="AQ33" s="5">
        <f>Transfers!AQ25</f>
        <v>0</v>
      </c>
      <c r="AR33" s="5">
        <f>Transfers!AR25</f>
        <v>0</v>
      </c>
      <c r="AS33" s="5">
        <f>Transfers!AS25</f>
        <v>0</v>
      </c>
      <c r="AT33" s="5">
        <f>Transfers!AT25</f>
        <v>0</v>
      </c>
      <c r="AU33" s="5">
        <f>Transfers!AU25</f>
        <v>0</v>
      </c>
      <c r="AV33" s="5">
        <f>Transfers!AV25</f>
        <v>0</v>
      </c>
      <c r="AW33" s="5">
        <f>Transfers!AW25</f>
        <v>0</v>
      </c>
      <c r="AX33" s="5">
        <f>Transfers!AX25</f>
        <v>0</v>
      </c>
      <c r="AY33" s="5">
        <f>Transfers!AY25</f>
        <v>0</v>
      </c>
      <c r="AZ33" s="5">
        <f>Transfers!AZ25</f>
        <v>0</v>
      </c>
      <c r="BA33" s="5">
        <f>Transfers!BA25</f>
        <v>0</v>
      </c>
      <c r="BB33" s="5">
        <f>Transfers!BB25</f>
        <v>33.849206349206348</v>
      </c>
      <c r="BC33" s="5">
        <f>Transfers!BC25</f>
        <v>0</v>
      </c>
      <c r="BD33" s="5">
        <f>Transfers!BD25</f>
        <v>0</v>
      </c>
      <c r="BE33" s="5">
        <f>Transfers!BE25</f>
        <v>0</v>
      </c>
      <c r="BF33" s="5">
        <f>Transfers!BF25</f>
        <v>0</v>
      </c>
      <c r="BG33" s="5">
        <f>Transfers!BG25</f>
        <v>0</v>
      </c>
      <c r="BH33" s="5">
        <f>Transfers!BH25</f>
        <v>0</v>
      </c>
      <c r="BI33" s="5">
        <f>Transfers!BI25</f>
        <v>0</v>
      </c>
      <c r="BJ33" s="5">
        <f>Transfers!BJ25</f>
        <v>0</v>
      </c>
      <c r="BK33" s="5">
        <f>Transfers!BK25</f>
        <v>0</v>
      </c>
      <c r="BL33" s="5">
        <f>Transfers!BL25</f>
        <v>0</v>
      </c>
    </row>
    <row r="34" spans="3:64" ht="21" customHeight="1">
      <c r="C34" s="1" t="s">
        <v>872</v>
      </c>
      <c r="D34" s="1"/>
      <c r="E34" s="5">
        <f>'Debt cash'!E13</f>
        <v>2.3666666666666667</v>
      </c>
      <c r="F34" s="5">
        <f>'Debt cash'!F13</f>
        <v>2.3666666666666667</v>
      </c>
      <c r="G34" s="5">
        <f>'Debt cash'!G13</f>
        <v>2.3666666666666667</v>
      </c>
      <c r="H34" s="5">
        <f>'Debt cash'!H13</f>
        <v>2.3666666666666667</v>
      </c>
      <c r="I34" s="5">
        <f>'Debt cash'!I13</f>
        <v>2.3666666666666667</v>
      </c>
      <c r="J34" s="5">
        <f>'Debt cash'!J13</f>
        <v>2.3666666666666667</v>
      </c>
      <c r="K34" s="5">
        <f>'Debt cash'!K13</f>
        <v>2.3666666666666667</v>
      </c>
      <c r="L34" s="5">
        <f>'Debt cash'!L13</f>
        <v>2.3666666666666667</v>
      </c>
      <c r="M34" s="5">
        <f>'Debt cash'!M13</f>
        <v>2.3666666666666667</v>
      </c>
      <c r="N34" s="5">
        <f>'Debt cash'!N13</f>
        <v>2.3666666666666667</v>
      </c>
      <c r="O34" s="5">
        <f>'Debt cash'!O13</f>
        <v>2.3666666666666667</v>
      </c>
      <c r="P34" s="5">
        <f>'Debt cash'!P13</f>
        <v>2.3666666666666667</v>
      </c>
      <c r="Q34" s="5">
        <f>'Debt cash'!Q13</f>
        <v>2.3666666666666667</v>
      </c>
      <c r="R34" s="5">
        <f>'Debt cash'!R13</f>
        <v>2.3666666666666667</v>
      </c>
      <c r="S34" s="5">
        <f>'Debt cash'!S13</f>
        <v>2.3666666666666667</v>
      </c>
      <c r="T34" s="5">
        <f>'Debt cash'!T13</f>
        <v>2.3666666666666667</v>
      </c>
      <c r="U34" s="5">
        <f>'Debt cash'!U13</f>
        <v>2.3666666666666667</v>
      </c>
      <c r="V34" s="5">
        <f>'Debt cash'!V13</f>
        <v>2.3666666666666667</v>
      </c>
      <c r="W34" s="5">
        <f>'Debt cash'!W13</f>
        <v>2.3666666666666667</v>
      </c>
      <c r="X34" s="5">
        <f>'Debt cash'!X13</f>
        <v>2.3666666666666667</v>
      </c>
      <c r="Y34" s="5">
        <f>'Debt cash'!Y13</f>
        <v>2.3666666666666667</v>
      </c>
      <c r="Z34" s="5">
        <f>'Debt cash'!Z13</f>
        <v>2.3666666666666667</v>
      </c>
      <c r="AA34" s="5">
        <f>'Debt cash'!AA13</f>
        <v>2.3666666666666667</v>
      </c>
      <c r="AB34" s="5">
        <f>'Debt cash'!AB13</f>
        <v>2.3666666666666667</v>
      </c>
      <c r="AC34" s="5">
        <f>'Debt cash'!AC13</f>
        <v>2.3666666666666667</v>
      </c>
      <c r="AD34" s="5">
        <f>'Debt cash'!AD13</f>
        <v>2.3666666666666667</v>
      </c>
      <c r="AE34" s="5">
        <f>'Debt cash'!AE13</f>
        <v>2.3666666666666667</v>
      </c>
      <c r="AF34" s="5">
        <f>'Debt cash'!AF13</f>
        <v>2.3666666666666667</v>
      </c>
      <c r="AG34" s="5">
        <f>'Debt cash'!AG13</f>
        <v>2.3666666666666667</v>
      </c>
      <c r="AH34" s="5">
        <f>'Debt cash'!AH13</f>
        <v>2.3666666666666667</v>
      </c>
      <c r="AI34" s="5">
        <f>'Debt cash'!AI13</f>
        <v>2.3666666666666667</v>
      </c>
      <c r="AJ34" s="5">
        <f>'Debt cash'!AJ13</f>
        <v>2.3666666666666667</v>
      </c>
      <c r="AK34" s="5">
        <f>'Debt cash'!AK13</f>
        <v>2.3666666666666667</v>
      </c>
      <c r="AL34" s="5">
        <f>'Debt cash'!AL13</f>
        <v>2.3666666666666667</v>
      </c>
      <c r="AM34" s="5">
        <f>'Debt cash'!AM13</f>
        <v>2.3666666666666667</v>
      </c>
      <c r="AN34" s="5">
        <f>'Debt cash'!AN13</f>
        <v>2.3666666666666667</v>
      </c>
      <c r="AO34" s="5">
        <f>'Debt cash'!AO13</f>
        <v>2.3666666666666667</v>
      </c>
      <c r="AP34" s="5">
        <f>'Debt cash'!AP13</f>
        <v>2.3666666666666667</v>
      </c>
      <c r="AQ34" s="5">
        <f>'Debt cash'!AQ13</f>
        <v>2.3666666666666667</v>
      </c>
      <c r="AR34" s="5">
        <f>'Debt cash'!AR13</f>
        <v>2.3666666666666667</v>
      </c>
      <c r="AS34" s="5">
        <f>'Debt cash'!AS13</f>
        <v>2.3666666666666667</v>
      </c>
      <c r="AT34" s="5">
        <f>'Debt cash'!AT13</f>
        <v>2.3666666666666667</v>
      </c>
      <c r="AU34" s="5">
        <f>'Debt cash'!AU13</f>
        <v>2.3666666666666667</v>
      </c>
      <c r="AV34" s="5">
        <f>'Debt cash'!AV13</f>
        <v>2.3666666666666667</v>
      </c>
      <c r="AW34" s="5">
        <f>'Debt cash'!AW13</f>
        <v>2.3666666666666667</v>
      </c>
      <c r="AX34" s="5">
        <f>'Debt cash'!AX13</f>
        <v>2.3666666666666667</v>
      </c>
      <c r="AY34" s="5">
        <f>'Debt cash'!AY13</f>
        <v>2.3666666666666667</v>
      </c>
      <c r="AZ34" s="5">
        <f>'Debt cash'!AZ13</f>
        <v>2.3666666666666667</v>
      </c>
      <c r="BA34" s="5">
        <f>'Debt cash'!BA13</f>
        <v>2.3666666666666667</v>
      </c>
      <c r="BB34" s="5">
        <f>'Debt cash'!BB13</f>
        <v>2.3666666666666667</v>
      </c>
      <c r="BC34" s="5">
        <f>'Debt cash'!BC13</f>
        <v>2.3666666666666667</v>
      </c>
      <c r="BD34" s="5">
        <f>'Debt cash'!BD13</f>
        <v>2.3666666666666667</v>
      </c>
      <c r="BE34" s="5">
        <f>'Debt cash'!BE13</f>
        <v>2.3666666666666667</v>
      </c>
      <c r="BF34" s="5">
        <f>'Debt cash'!BF13</f>
        <v>2.3666666666666667</v>
      </c>
      <c r="BG34" s="5">
        <f>'Debt cash'!BG13</f>
        <v>2.3666666666666667</v>
      </c>
      <c r="BH34" s="5">
        <f>'Debt cash'!BH13</f>
        <v>2.3666666666666667</v>
      </c>
      <c r="BI34" s="5">
        <f>'Debt cash'!BI13</f>
        <v>2.3666666666666667</v>
      </c>
      <c r="BJ34" s="5">
        <f>'Debt cash'!BJ13</f>
        <v>2.3666666666666667</v>
      </c>
      <c r="BK34" s="5">
        <f>'Debt cash'!BK13</f>
        <v>2.3666666666666667</v>
      </c>
      <c r="BL34" s="5">
        <f>'Debt cash'!BL13</f>
        <v>2.3666666666666667</v>
      </c>
    </row>
    <row r="35" spans="3:64" ht="21" customHeight="1">
      <c r="C35" s="1" t="s">
        <v>873</v>
      </c>
      <c r="D35" s="1"/>
      <c r="E35" s="5">
        <f>Transfers!E16</f>
        <v>0</v>
      </c>
      <c r="F35" s="5">
        <f>Transfers!F16</f>
        <v>0</v>
      </c>
      <c r="G35" s="5">
        <f>Transfers!G16</f>
        <v>77.852400000000003</v>
      </c>
      <c r="H35" s="5">
        <f>Transfers!H16</f>
        <v>0</v>
      </c>
      <c r="I35" s="5">
        <f>Transfers!I16</f>
        <v>0</v>
      </c>
      <c r="J35" s="5">
        <f>Transfers!J16</f>
        <v>223.76163918118317</v>
      </c>
      <c r="K35" s="5">
        <f>Transfers!K16</f>
        <v>5</v>
      </c>
      <c r="L35" s="5">
        <f>Transfers!L16</f>
        <v>0</v>
      </c>
      <c r="M35" s="5">
        <f>Transfers!M16</f>
        <v>0</v>
      </c>
      <c r="N35" s="5">
        <f>Transfers!N16</f>
        <v>0</v>
      </c>
      <c r="O35" s="5">
        <f>Transfers!O16</f>
        <v>0</v>
      </c>
      <c r="P35" s="5">
        <f>Transfers!P16</f>
        <v>0</v>
      </c>
      <c r="Q35" s="5">
        <f>Transfers!Q16</f>
        <v>29</v>
      </c>
      <c r="R35" s="5">
        <f>Transfers!R16</f>
        <v>0</v>
      </c>
      <c r="S35" s="5">
        <f>Transfers!S16</f>
        <v>38.346200000000003</v>
      </c>
      <c r="T35" s="5">
        <f>Transfers!T16</f>
        <v>0</v>
      </c>
      <c r="U35" s="5">
        <f>Transfers!U16</f>
        <v>0</v>
      </c>
      <c r="V35" s="5">
        <f>Transfers!V16</f>
        <v>112.74023135133261</v>
      </c>
      <c r="W35" s="5">
        <f>Transfers!W16</f>
        <v>0</v>
      </c>
      <c r="X35" s="5">
        <f>Transfers!X16</f>
        <v>0</v>
      </c>
      <c r="Y35" s="5">
        <f>Transfers!Y16</f>
        <v>0</v>
      </c>
      <c r="Z35" s="5">
        <f>Transfers!Z16</f>
        <v>0</v>
      </c>
      <c r="AA35" s="5">
        <f>Transfers!AA16</f>
        <v>0</v>
      </c>
      <c r="AB35" s="5">
        <f>Transfers!AB16</f>
        <v>0</v>
      </c>
      <c r="AC35" s="5">
        <f>Transfers!AC16</f>
        <v>47</v>
      </c>
      <c r="AD35" s="5">
        <f>Transfers!AD16</f>
        <v>0</v>
      </c>
      <c r="AE35" s="5">
        <f>Transfers!AE16</f>
        <v>28.759649999999997</v>
      </c>
      <c r="AF35" s="5">
        <f>Transfers!AF16</f>
        <v>0</v>
      </c>
      <c r="AG35" s="5">
        <f>Transfers!AG16</f>
        <v>0</v>
      </c>
      <c r="AH35" s="5">
        <f>Transfers!AH16</f>
        <v>19.536733860870878</v>
      </c>
      <c r="AI35" s="5">
        <f>Transfers!AI16</f>
        <v>0</v>
      </c>
      <c r="AJ35" s="5">
        <f>Transfers!AJ16</f>
        <v>0</v>
      </c>
      <c r="AK35" s="5">
        <f>Transfers!AK16</f>
        <v>0</v>
      </c>
      <c r="AL35" s="5">
        <f>Transfers!AL16</f>
        <v>0</v>
      </c>
      <c r="AM35" s="5">
        <f>Transfers!AM16</f>
        <v>0</v>
      </c>
      <c r="AN35" s="5">
        <f>Transfers!AN16</f>
        <v>0</v>
      </c>
      <c r="AO35" s="5">
        <f>Transfers!AO16</f>
        <v>59</v>
      </c>
      <c r="AP35" s="5">
        <f>Transfers!AP16</f>
        <v>0</v>
      </c>
      <c r="AQ35" s="5">
        <f>Transfers!AQ16</f>
        <v>28.759649999999997</v>
      </c>
      <c r="AR35" s="5">
        <f>Transfers!AR16</f>
        <v>0</v>
      </c>
      <c r="AS35" s="5">
        <f>Transfers!AS16</f>
        <v>0</v>
      </c>
      <c r="AT35" s="5">
        <f>Transfers!AT16</f>
        <v>20.513570553914423</v>
      </c>
      <c r="AU35" s="5">
        <f>Transfers!AU16</f>
        <v>0</v>
      </c>
      <c r="AV35" s="5">
        <f>Transfers!AV16</f>
        <v>0</v>
      </c>
      <c r="AW35" s="5">
        <f>Transfers!AW16</f>
        <v>0</v>
      </c>
      <c r="AX35" s="5">
        <f>Transfers!AX16</f>
        <v>0</v>
      </c>
      <c r="AY35" s="5">
        <f>Transfers!AY16</f>
        <v>0</v>
      </c>
      <c r="AZ35" s="5">
        <f>Transfers!AZ16</f>
        <v>0</v>
      </c>
      <c r="BA35" s="5">
        <f>Transfers!BA16</f>
        <v>65</v>
      </c>
      <c r="BB35" s="5">
        <f>Transfers!BB16</f>
        <v>0</v>
      </c>
      <c r="BC35" s="5">
        <f>Transfers!BC16</f>
        <v>19.173100000000002</v>
      </c>
      <c r="BD35" s="5">
        <f>Transfers!BD16</f>
        <v>0</v>
      </c>
      <c r="BE35" s="5">
        <f>Transfers!BE16</f>
        <v>0</v>
      </c>
      <c r="BF35" s="5">
        <f>Transfers!BF16</f>
        <v>21.539249081610141</v>
      </c>
      <c r="BG35" s="5">
        <f>Transfers!BG16</f>
        <v>0</v>
      </c>
      <c r="BH35" s="5">
        <f>Transfers!BH16</f>
        <v>0</v>
      </c>
      <c r="BI35" s="5">
        <f>Transfers!BI16</f>
        <v>0</v>
      </c>
      <c r="BJ35" s="5">
        <f>Transfers!BJ16</f>
        <v>0</v>
      </c>
      <c r="BK35" s="5">
        <f>Transfers!BK16</f>
        <v>0</v>
      </c>
      <c r="BL35" s="5">
        <f>Transfers!BL16</f>
        <v>0</v>
      </c>
    </row>
    <row r="36" spans="3:64" ht="21" customHeight="1">
      <c r="C36" s="1" t="s">
        <v>874</v>
      </c>
      <c r="D36" s="1"/>
      <c r="E36" s="5">
        <f>Transfers!E28</f>
        <v>0</v>
      </c>
      <c r="F36" s="5">
        <f>Transfers!F28</f>
        <v>15</v>
      </c>
      <c r="G36" s="5">
        <f>Transfers!G28</f>
        <v>21.015000000000001</v>
      </c>
      <c r="H36" s="5">
        <f>Transfers!H28</f>
        <v>0</v>
      </c>
      <c r="I36" s="5">
        <f>Transfers!I28</f>
        <v>0</v>
      </c>
      <c r="J36" s="5">
        <f>Transfers!J28</f>
        <v>25.639920206584108</v>
      </c>
      <c r="K36" s="5">
        <f>Transfers!K28</f>
        <v>0</v>
      </c>
      <c r="L36" s="5">
        <f>Transfers!L28</f>
        <v>0</v>
      </c>
      <c r="M36" s="5">
        <f>Transfers!M28</f>
        <v>0</v>
      </c>
      <c r="N36" s="5">
        <f>Transfers!N28</f>
        <v>0</v>
      </c>
      <c r="O36" s="5">
        <f>Transfers!O28</f>
        <v>0</v>
      </c>
      <c r="P36" s="5">
        <f>Transfers!P28</f>
        <v>0</v>
      </c>
      <c r="Q36" s="5">
        <f>Transfers!Q28</f>
        <v>0</v>
      </c>
      <c r="R36" s="5">
        <f>Transfers!R28</f>
        <v>34</v>
      </c>
      <c r="S36" s="5">
        <f>Transfers!S28</f>
        <v>0</v>
      </c>
      <c r="T36" s="5">
        <f>Transfers!T28</f>
        <v>0</v>
      </c>
      <c r="U36" s="5">
        <f>Transfers!U28</f>
        <v>0</v>
      </c>
      <c r="V36" s="5">
        <f>Transfers!V28</f>
        <v>23.08568840653027</v>
      </c>
      <c r="W36" s="5">
        <f>Transfers!W28</f>
        <v>0</v>
      </c>
      <c r="X36" s="5">
        <f>Transfers!X28</f>
        <v>0</v>
      </c>
      <c r="Y36" s="5">
        <f>Transfers!Y28</f>
        <v>0</v>
      </c>
      <c r="Z36" s="5">
        <f>Transfers!Z28</f>
        <v>0</v>
      </c>
      <c r="AA36" s="5">
        <f>Transfers!AA28</f>
        <v>0</v>
      </c>
      <c r="AB36" s="5">
        <f>Transfers!AB28</f>
        <v>0</v>
      </c>
      <c r="AC36" s="5">
        <f>Transfers!AC28</f>
        <v>0</v>
      </c>
      <c r="AD36" s="5">
        <f>Transfers!AD28</f>
        <v>46</v>
      </c>
      <c r="AE36" s="5">
        <f>Transfers!AE28</f>
        <v>0</v>
      </c>
      <c r="AF36" s="5">
        <f>Transfers!AF28</f>
        <v>0</v>
      </c>
      <c r="AG36" s="5">
        <f>Transfers!AG28</f>
        <v>0</v>
      </c>
      <c r="AH36" s="5">
        <f>Transfers!AH28</f>
        <v>24.239972826856789</v>
      </c>
      <c r="AI36" s="5">
        <f>Transfers!AI28</f>
        <v>0</v>
      </c>
      <c r="AJ36" s="5">
        <f>Transfers!AJ28</f>
        <v>0</v>
      </c>
      <c r="AK36" s="5">
        <f>Transfers!AK28</f>
        <v>0</v>
      </c>
      <c r="AL36" s="5">
        <f>Transfers!AL28</f>
        <v>0</v>
      </c>
      <c r="AM36" s="5">
        <f>Transfers!AM28</f>
        <v>0</v>
      </c>
      <c r="AN36" s="5">
        <f>Transfers!AN28</f>
        <v>0</v>
      </c>
      <c r="AO36" s="5">
        <f>Transfers!AO28</f>
        <v>0</v>
      </c>
      <c r="AP36" s="5">
        <f>Transfers!AP28</f>
        <v>50</v>
      </c>
      <c r="AQ36" s="5">
        <f>Transfers!AQ28</f>
        <v>0</v>
      </c>
      <c r="AR36" s="5">
        <f>Transfers!AR28</f>
        <v>0</v>
      </c>
      <c r="AS36" s="5">
        <f>Transfers!AS28</f>
        <v>0</v>
      </c>
      <c r="AT36" s="5">
        <f>Transfers!AT28</f>
        <v>0</v>
      </c>
      <c r="AU36" s="5">
        <f>Transfers!AU28</f>
        <v>0</v>
      </c>
      <c r="AV36" s="5">
        <f>Transfers!AV28</f>
        <v>0</v>
      </c>
      <c r="AW36" s="5">
        <f>Transfers!AW28</f>
        <v>0</v>
      </c>
      <c r="AX36" s="5">
        <f>Transfers!AX28</f>
        <v>0</v>
      </c>
      <c r="AY36" s="5">
        <f>Transfers!AY28</f>
        <v>0</v>
      </c>
      <c r="AZ36" s="5">
        <f>Transfers!AZ28</f>
        <v>0</v>
      </c>
      <c r="BA36" s="5">
        <f>Transfers!BA28</f>
        <v>0</v>
      </c>
      <c r="BB36" s="5">
        <f>Transfers!BB28</f>
        <v>50</v>
      </c>
      <c r="BC36" s="5">
        <f>Transfers!BC28</f>
        <v>0</v>
      </c>
      <c r="BD36" s="5">
        <f>Transfers!BD28</f>
        <v>0</v>
      </c>
      <c r="BE36" s="5">
        <f>Transfers!BE28</f>
        <v>0</v>
      </c>
      <c r="BF36" s="5">
        <f>Transfers!BF28</f>
        <v>0</v>
      </c>
      <c r="BG36" s="5">
        <f>Transfers!BG28</f>
        <v>0</v>
      </c>
      <c r="BH36" s="5">
        <f>Transfers!BH28</f>
        <v>0</v>
      </c>
      <c r="BI36" s="5">
        <f>Transfers!BI28</f>
        <v>0</v>
      </c>
      <c r="BJ36" s="5">
        <f>Transfers!BJ28</f>
        <v>0</v>
      </c>
      <c r="BK36" s="5">
        <f>Transfers!BK28</f>
        <v>0</v>
      </c>
      <c r="BL36" s="5">
        <f>Transfers!BL28</f>
        <v>0</v>
      </c>
    </row>
    <row r="37" spans="3:64" ht="21" customHeight="1">
      <c r="C37" s="1" t="s">
        <v>875</v>
      </c>
      <c r="D37" s="1"/>
      <c r="E37" s="5">
        <f>'Revenue costs'!E29</f>
        <v>0</v>
      </c>
      <c r="F37" s="5">
        <f>'Revenue costs'!F29</f>
        <v>0</v>
      </c>
      <c r="G37" s="5">
        <f>'Revenue costs'!G29</f>
        <v>0</v>
      </c>
      <c r="H37" s="5">
        <f>'Revenue costs'!H29</f>
        <v>0</v>
      </c>
      <c r="I37" s="5">
        <f>'Revenue costs'!I29</f>
        <v>0</v>
      </c>
      <c r="J37" s="5">
        <f>'Revenue costs'!J29</f>
        <v>0</v>
      </c>
      <c r="K37" s="5">
        <f>'Revenue costs'!K29</f>
        <v>0</v>
      </c>
      <c r="L37" s="5">
        <f>'Revenue costs'!L29</f>
        <v>0</v>
      </c>
      <c r="M37" s="5">
        <f>'Revenue costs'!M29</f>
        <v>0</v>
      </c>
      <c r="N37" s="5">
        <f>'Revenue costs'!N29</f>
        <v>0</v>
      </c>
      <c r="O37" s="5">
        <f>'Revenue costs'!O29</f>
        <v>0</v>
      </c>
      <c r="P37" s="5">
        <f>'Revenue costs'!P29</f>
        <v>0</v>
      </c>
      <c r="Q37" s="5">
        <f>'Revenue costs'!Q29</f>
        <v>0</v>
      </c>
      <c r="R37" s="5">
        <f>'Revenue costs'!R29</f>
        <v>0</v>
      </c>
      <c r="S37" s="5">
        <f>'Revenue costs'!S29</f>
        <v>0</v>
      </c>
      <c r="T37" s="5">
        <f>'Revenue costs'!T29</f>
        <v>0</v>
      </c>
      <c r="U37" s="5">
        <f>'Revenue costs'!U29</f>
        <v>0</v>
      </c>
      <c r="V37" s="5">
        <f>'Revenue costs'!V29</f>
        <v>0</v>
      </c>
      <c r="W37" s="5">
        <f>'Revenue costs'!W29</f>
        <v>0</v>
      </c>
      <c r="X37" s="5">
        <f>'Revenue costs'!X29</f>
        <v>0</v>
      </c>
      <c r="Y37" s="5">
        <f>'Revenue costs'!Y29</f>
        <v>0</v>
      </c>
      <c r="Z37" s="5">
        <f>'Revenue costs'!Z29</f>
        <v>0</v>
      </c>
      <c r="AA37" s="5">
        <f>'Revenue costs'!AA29</f>
        <v>0</v>
      </c>
      <c r="AB37" s="5">
        <f>'Revenue costs'!AB29</f>
        <v>0</v>
      </c>
      <c r="AC37" s="5">
        <f>'Revenue costs'!AC29</f>
        <v>0</v>
      </c>
      <c r="AD37" s="5">
        <f>'Revenue costs'!AD29</f>
        <v>0</v>
      </c>
      <c r="AE37" s="5">
        <f>'Revenue costs'!AE29</f>
        <v>0</v>
      </c>
      <c r="AF37" s="5">
        <f>'Revenue costs'!AF29</f>
        <v>0</v>
      </c>
      <c r="AG37" s="5">
        <f>'Revenue costs'!AG29</f>
        <v>0</v>
      </c>
      <c r="AH37" s="5">
        <f>'Revenue costs'!AH29</f>
        <v>0</v>
      </c>
      <c r="AI37" s="5">
        <f>'Revenue costs'!AI29</f>
        <v>0</v>
      </c>
      <c r="AJ37" s="5">
        <f>'Revenue costs'!AJ29</f>
        <v>0</v>
      </c>
      <c r="AK37" s="5">
        <f>'Revenue costs'!AK29</f>
        <v>0</v>
      </c>
      <c r="AL37" s="5">
        <f>'Revenue costs'!AL29</f>
        <v>0</v>
      </c>
      <c r="AM37" s="5">
        <f>'Revenue costs'!AM29</f>
        <v>0</v>
      </c>
      <c r="AN37" s="5">
        <f>'Revenue costs'!AN29</f>
        <v>0</v>
      </c>
      <c r="AO37" s="5">
        <f>'Revenue costs'!AO29</f>
        <v>0</v>
      </c>
      <c r="AP37" s="5">
        <f>'Revenue costs'!AP29</f>
        <v>0</v>
      </c>
      <c r="AQ37" s="5">
        <f>'Revenue costs'!AQ29</f>
        <v>0</v>
      </c>
      <c r="AR37" s="5">
        <f>'Revenue costs'!AR29</f>
        <v>0</v>
      </c>
      <c r="AS37" s="5">
        <f>'Revenue costs'!AS29</f>
        <v>0</v>
      </c>
      <c r="AT37" s="5">
        <f>'Revenue costs'!AT29</f>
        <v>0</v>
      </c>
      <c r="AU37" s="5">
        <f>'Revenue costs'!AU29</f>
        <v>0</v>
      </c>
      <c r="AV37" s="5">
        <f>'Revenue costs'!AV29</f>
        <v>0</v>
      </c>
      <c r="AW37" s="5">
        <f>'Revenue costs'!AW29</f>
        <v>0</v>
      </c>
      <c r="AX37" s="5">
        <f>'Revenue costs'!AX29</f>
        <v>0</v>
      </c>
      <c r="AY37" s="5">
        <f>'Revenue costs'!AY29</f>
        <v>0</v>
      </c>
      <c r="AZ37" s="5">
        <f>'Revenue costs'!AZ29</f>
        <v>0</v>
      </c>
      <c r="BA37" s="5">
        <f>'Revenue costs'!BA29</f>
        <v>0</v>
      </c>
      <c r="BB37" s="5">
        <f>'Revenue costs'!BB29</f>
        <v>0</v>
      </c>
      <c r="BC37" s="5">
        <f>'Revenue costs'!BC29</f>
        <v>0</v>
      </c>
      <c r="BD37" s="5">
        <f>'Revenue costs'!BD29</f>
        <v>0</v>
      </c>
      <c r="BE37" s="5">
        <f>'Revenue costs'!BE29</f>
        <v>0</v>
      </c>
      <c r="BF37" s="5">
        <f>'Revenue costs'!BF29</f>
        <v>0</v>
      </c>
      <c r="BG37" s="5">
        <f>'Revenue costs'!BG29</f>
        <v>0</v>
      </c>
      <c r="BH37" s="5">
        <f>'Revenue costs'!BH29</f>
        <v>0</v>
      </c>
      <c r="BI37" s="5">
        <f>'Revenue costs'!BI29</f>
        <v>0</v>
      </c>
      <c r="BJ37" s="5">
        <f>'Revenue costs'!BJ29</f>
        <v>0</v>
      </c>
      <c r="BK37" s="5">
        <f>'Revenue costs'!BK29</f>
        <v>0</v>
      </c>
      <c r="BL37" s="5">
        <f>'Revenue costs'!BL29</f>
        <v>0</v>
      </c>
    </row>
    <row r="38" spans="3:64" ht="21" customHeight="1">
      <c r="C38" s="1" t="s">
        <v>876</v>
      </c>
      <c r="D38" s="1"/>
      <c r="E38" s="5">
        <f>'Revenue costs'!E30</f>
        <v>0</v>
      </c>
      <c r="F38" s="5">
        <f>'Revenue costs'!F30</f>
        <v>0</v>
      </c>
      <c r="G38" s="5">
        <f>'Revenue costs'!G30</f>
        <v>0</v>
      </c>
      <c r="H38" s="5">
        <f>'Revenue costs'!H30</f>
        <v>0</v>
      </c>
      <c r="I38" s="5">
        <f>'Revenue costs'!I30</f>
        <v>0</v>
      </c>
      <c r="J38" s="5">
        <f>'Revenue costs'!J30</f>
        <v>0</v>
      </c>
      <c r="K38" s="5">
        <f>'Revenue costs'!K30</f>
        <v>0</v>
      </c>
      <c r="L38" s="5">
        <f>'Revenue costs'!L30</f>
        <v>0</v>
      </c>
      <c r="M38" s="5">
        <f>'Revenue costs'!M30</f>
        <v>0</v>
      </c>
      <c r="N38" s="5">
        <f>'Revenue costs'!N30</f>
        <v>0</v>
      </c>
      <c r="O38" s="5">
        <f>'Revenue costs'!O30</f>
        <v>0</v>
      </c>
      <c r="P38" s="5">
        <f>'Revenue costs'!P30</f>
        <v>0</v>
      </c>
      <c r="Q38" s="5">
        <f>'Revenue costs'!Q30</f>
        <v>0.76666666666666672</v>
      </c>
      <c r="R38" s="5">
        <f>'Revenue costs'!R30</f>
        <v>0.76666666666666672</v>
      </c>
      <c r="S38" s="5">
        <f>'Revenue costs'!S30</f>
        <v>0.76666666666666672</v>
      </c>
      <c r="T38" s="5">
        <f>'Revenue costs'!T30</f>
        <v>0.76666666666666672</v>
      </c>
      <c r="U38" s="5">
        <f>'Revenue costs'!U30</f>
        <v>0.76666666666666672</v>
      </c>
      <c r="V38" s="5">
        <f>'Revenue costs'!V30</f>
        <v>0.76666666666666672</v>
      </c>
      <c r="W38" s="5">
        <f>'Revenue costs'!W30</f>
        <v>0.76666666666666672</v>
      </c>
      <c r="X38" s="5">
        <f>'Revenue costs'!X30</f>
        <v>0.76666666666666672</v>
      </c>
      <c r="Y38" s="5">
        <f>'Revenue costs'!Y30</f>
        <v>0.76666666666666672</v>
      </c>
      <c r="Z38" s="5">
        <f>'Revenue costs'!Z30</f>
        <v>0.76666666666666672</v>
      </c>
      <c r="AA38" s="5">
        <f>'Revenue costs'!AA30</f>
        <v>0.76666666666666672</v>
      </c>
      <c r="AB38" s="5">
        <f>'Revenue costs'!AB30</f>
        <v>0.76666666666666672</v>
      </c>
      <c r="AC38" s="5">
        <f>'Revenue costs'!AC30</f>
        <v>-6.6666666666666666E-2</v>
      </c>
      <c r="AD38" s="5">
        <f>'Revenue costs'!AD30</f>
        <v>-6.6666666666666666E-2</v>
      </c>
      <c r="AE38" s="5">
        <f>'Revenue costs'!AE30</f>
        <v>-6.6666666666666666E-2</v>
      </c>
      <c r="AF38" s="5">
        <f>'Revenue costs'!AF30</f>
        <v>-6.6666666666666666E-2</v>
      </c>
      <c r="AG38" s="5">
        <f>'Revenue costs'!AG30</f>
        <v>-6.6666666666666666E-2</v>
      </c>
      <c r="AH38" s="5">
        <f>'Revenue costs'!AH30</f>
        <v>-6.6666666666666666E-2</v>
      </c>
      <c r="AI38" s="5">
        <f>'Revenue costs'!AI30</f>
        <v>-6.6666666666666666E-2</v>
      </c>
      <c r="AJ38" s="5">
        <f>'Revenue costs'!AJ30</f>
        <v>-6.6666666666666666E-2</v>
      </c>
      <c r="AK38" s="5">
        <f>'Revenue costs'!AK30</f>
        <v>-6.6666666666666666E-2</v>
      </c>
      <c r="AL38" s="5">
        <f>'Revenue costs'!AL30</f>
        <v>-6.6666666666666666E-2</v>
      </c>
      <c r="AM38" s="5">
        <f>'Revenue costs'!AM30</f>
        <v>-6.6666666666666666E-2</v>
      </c>
      <c r="AN38" s="5">
        <f>'Revenue costs'!AN30</f>
        <v>-6.6666666666666666E-2</v>
      </c>
      <c r="AO38" s="5">
        <f>'Revenue costs'!AO30</f>
        <v>-6.6666666666666666E-2</v>
      </c>
      <c r="AP38" s="5">
        <f>'Revenue costs'!AP30</f>
        <v>-6.6666666666666666E-2</v>
      </c>
      <c r="AQ38" s="5">
        <f>'Revenue costs'!AQ30</f>
        <v>-6.6666666666666666E-2</v>
      </c>
      <c r="AR38" s="5">
        <f>'Revenue costs'!AR30</f>
        <v>-6.6666666666666666E-2</v>
      </c>
      <c r="AS38" s="5">
        <f>'Revenue costs'!AS30</f>
        <v>-6.6666666666666666E-2</v>
      </c>
      <c r="AT38" s="5">
        <f>'Revenue costs'!AT30</f>
        <v>-6.6666666666666666E-2</v>
      </c>
      <c r="AU38" s="5">
        <f>'Revenue costs'!AU30</f>
        <v>-6.6666666666666666E-2</v>
      </c>
      <c r="AV38" s="5">
        <f>'Revenue costs'!AV30</f>
        <v>-6.6666666666666666E-2</v>
      </c>
      <c r="AW38" s="5">
        <f>'Revenue costs'!AW30</f>
        <v>-6.6666666666666666E-2</v>
      </c>
      <c r="AX38" s="5">
        <f>'Revenue costs'!AX30</f>
        <v>-6.6666666666666666E-2</v>
      </c>
      <c r="AY38" s="5">
        <f>'Revenue costs'!AY30</f>
        <v>-6.6666666666666666E-2</v>
      </c>
      <c r="AZ38" s="5">
        <f>'Revenue costs'!AZ30</f>
        <v>-6.6666666666666666E-2</v>
      </c>
      <c r="BA38" s="5">
        <f>'Revenue costs'!BA30</f>
        <v>-6.6666666666666666E-2</v>
      </c>
      <c r="BB38" s="5">
        <f>'Revenue costs'!BB30</f>
        <v>-6.6666666666666666E-2</v>
      </c>
      <c r="BC38" s="5">
        <f>'Revenue costs'!BC30</f>
        <v>-6.6666666666666666E-2</v>
      </c>
      <c r="BD38" s="5">
        <f>'Revenue costs'!BD30</f>
        <v>-6.6666666666666666E-2</v>
      </c>
      <c r="BE38" s="5">
        <f>'Revenue costs'!BE30</f>
        <v>-6.6666666666666666E-2</v>
      </c>
      <c r="BF38" s="5">
        <f>'Revenue costs'!BF30</f>
        <v>-6.6666666666666666E-2</v>
      </c>
      <c r="BG38" s="5">
        <f>'Revenue costs'!BG30</f>
        <v>-6.6666666666666666E-2</v>
      </c>
      <c r="BH38" s="5">
        <f>'Revenue costs'!BH30</f>
        <v>-6.6666666666666666E-2</v>
      </c>
      <c r="BI38" s="5">
        <f>'Revenue costs'!BI30</f>
        <v>-6.6666666666666666E-2</v>
      </c>
      <c r="BJ38" s="5">
        <f>'Revenue costs'!BJ30</f>
        <v>-6.6666666666666666E-2</v>
      </c>
      <c r="BK38" s="5">
        <f>'Revenue costs'!BK30</f>
        <v>-6.6666666666666666E-2</v>
      </c>
      <c r="BL38" s="5">
        <f>'Revenue costs'!BL30</f>
        <v>-6.6666666666666666E-2</v>
      </c>
    </row>
    <row r="39" spans="3:64" ht="21" customHeight="1">
      <c r="C39" s="1" t="s">
        <v>877</v>
      </c>
      <c r="D39" s="1"/>
      <c r="E39" s="5">
        <f>'Debt cash'!E56</f>
        <v>0</v>
      </c>
      <c r="F39" s="5">
        <f>'Debt cash'!F56</f>
        <v>0</v>
      </c>
      <c r="G39" s="5">
        <f>'Debt cash'!G56</f>
        <v>0</v>
      </c>
      <c r="H39" s="5">
        <f>'Debt cash'!H56</f>
        <v>0</v>
      </c>
      <c r="I39" s="5">
        <f>'Debt cash'!I56</f>
        <v>0</v>
      </c>
      <c r="J39" s="5">
        <f>'Debt cash'!J56</f>
        <v>0</v>
      </c>
      <c r="K39" s="5">
        <f>'Debt cash'!K56</f>
        <v>0</v>
      </c>
      <c r="L39" s="5">
        <f>'Debt cash'!L56</f>
        <v>0</v>
      </c>
      <c r="M39" s="5">
        <f>'Debt cash'!M56</f>
        <v>0</v>
      </c>
      <c r="N39" s="5">
        <f>'Debt cash'!N56</f>
        <v>0</v>
      </c>
      <c r="O39" s="5">
        <f>'Debt cash'!O56</f>
        <v>0</v>
      </c>
      <c r="P39" s="5">
        <f>'Debt cash'!P56</f>
        <v>7.5620000000000003</v>
      </c>
      <c r="Q39" s="5">
        <f>'Debt cash'!Q56</f>
        <v>0</v>
      </c>
      <c r="R39" s="5">
        <f>'Debt cash'!R56</f>
        <v>0</v>
      </c>
      <c r="S39" s="5">
        <f>'Debt cash'!S56</f>
        <v>0</v>
      </c>
      <c r="T39" s="5">
        <f>'Debt cash'!T56</f>
        <v>0</v>
      </c>
      <c r="U39" s="5">
        <f>'Debt cash'!U56</f>
        <v>0</v>
      </c>
      <c r="V39" s="5">
        <f>'Debt cash'!V56</f>
        <v>0</v>
      </c>
      <c r="W39" s="5">
        <f>'Debt cash'!W56</f>
        <v>0</v>
      </c>
      <c r="X39" s="5">
        <f>'Debt cash'!X56</f>
        <v>0</v>
      </c>
      <c r="Y39" s="5">
        <f>'Debt cash'!Y56</f>
        <v>0</v>
      </c>
      <c r="Z39" s="5">
        <f>'Debt cash'!Z56</f>
        <v>0</v>
      </c>
      <c r="AA39" s="5">
        <f>'Debt cash'!AA56</f>
        <v>0</v>
      </c>
      <c r="AB39" s="5">
        <f>'Debt cash'!AB56</f>
        <v>0</v>
      </c>
      <c r="AC39" s="5">
        <f>'Debt cash'!AC56</f>
        <v>0</v>
      </c>
      <c r="AD39" s="5">
        <f>'Debt cash'!AD56</f>
        <v>0</v>
      </c>
      <c r="AE39" s="5">
        <f>'Debt cash'!AE56</f>
        <v>0</v>
      </c>
      <c r="AF39" s="5">
        <f>'Debt cash'!AF56</f>
        <v>0</v>
      </c>
      <c r="AG39" s="5">
        <f>'Debt cash'!AG56</f>
        <v>0</v>
      </c>
      <c r="AH39" s="5">
        <f>'Debt cash'!AH56</f>
        <v>0</v>
      </c>
      <c r="AI39" s="5">
        <f>'Debt cash'!AI56</f>
        <v>0</v>
      </c>
      <c r="AJ39" s="5">
        <f>'Debt cash'!AJ56</f>
        <v>0</v>
      </c>
      <c r="AK39" s="5">
        <f>'Debt cash'!AK56</f>
        <v>0</v>
      </c>
      <c r="AL39" s="5">
        <f>'Debt cash'!AL56</f>
        <v>0</v>
      </c>
      <c r="AM39" s="5">
        <f>'Debt cash'!AM56</f>
        <v>0</v>
      </c>
      <c r="AN39" s="5">
        <f>'Debt cash'!AN56</f>
        <v>0</v>
      </c>
      <c r="AO39" s="5">
        <f>'Debt cash'!AO56</f>
        <v>0</v>
      </c>
      <c r="AP39" s="5">
        <f>'Debt cash'!AP56</f>
        <v>0</v>
      </c>
      <c r="AQ39" s="5">
        <f>'Debt cash'!AQ56</f>
        <v>0</v>
      </c>
      <c r="AR39" s="5">
        <f>'Debt cash'!AR56</f>
        <v>0</v>
      </c>
      <c r="AS39" s="5">
        <f>'Debt cash'!AS56</f>
        <v>0</v>
      </c>
      <c r="AT39" s="5">
        <f>'Debt cash'!AT56</f>
        <v>0</v>
      </c>
      <c r="AU39" s="5">
        <f>'Debt cash'!AU56</f>
        <v>0</v>
      </c>
      <c r="AV39" s="5">
        <f>'Debt cash'!AV56</f>
        <v>0</v>
      </c>
      <c r="AW39" s="5">
        <f>'Debt cash'!AW56</f>
        <v>0</v>
      </c>
      <c r="AX39" s="5">
        <f>'Debt cash'!AX56</f>
        <v>0</v>
      </c>
      <c r="AY39" s="5">
        <f>'Debt cash'!AY56</f>
        <v>0</v>
      </c>
      <c r="AZ39" s="5">
        <f>'Debt cash'!AZ56</f>
        <v>0</v>
      </c>
      <c r="BA39" s="5">
        <f>'Debt cash'!BA56</f>
        <v>0</v>
      </c>
      <c r="BB39" s="5">
        <f>'Debt cash'!BB56</f>
        <v>0</v>
      </c>
      <c r="BC39" s="5">
        <f>'Debt cash'!BC56</f>
        <v>0</v>
      </c>
      <c r="BD39" s="5">
        <f>'Debt cash'!BD56</f>
        <v>0</v>
      </c>
      <c r="BE39" s="5">
        <f>'Debt cash'!BE56</f>
        <v>0</v>
      </c>
      <c r="BF39" s="5">
        <f>'Debt cash'!BF56</f>
        <v>0</v>
      </c>
      <c r="BG39" s="5">
        <f>'Debt cash'!BG56</f>
        <v>0</v>
      </c>
      <c r="BH39" s="5">
        <f>'Debt cash'!BH56</f>
        <v>0</v>
      </c>
      <c r="BI39" s="5">
        <f>'Debt cash'!BI56</f>
        <v>0</v>
      </c>
      <c r="BJ39" s="5">
        <f>'Debt cash'!BJ56</f>
        <v>0</v>
      </c>
      <c r="BK39" s="5">
        <f>'Debt cash'!BK56</f>
        <v>0</v>
      </c>
      <c r="BL39" s="5">
        <f>'Debt cash'!BL56</f>
        <v>0</v>
      </c>
    </row>
    <row r="40" spans="3:64" ht="21" customHeight="1">
      <c r="C40" s="1" t="s">
        <v>878</v>
      </c>
      <c r="D40" s="1"/>
      <c r="E40" s="5">
        <f>'Debt cash'!E9-E27-E34-E35+E36</f>
        <v>14.852083333333329</v>
      </c>
      <c r="F40" s="5">
        <f>'Debt cash'!F9-F27-F34-F35+F36</f>
        <v>24.774702380952377</v>
      </c>
      <c r="G40" s="5">
        <f>'Debt cash'!G9-G27-G34-G35+G36</f>
        <v>-46.377987924543632</v>
      </c>
      <c r="H40" s="5">
        <f>'Debt cash'!H9-H27-H34-H35+H36</f>
        <v>15.466666666666665</v>
      </c>
      <c r="I40" s="5">
        <f>'Debt cash'!I9-I27-I34-I35+I36</f>
        <v>15.466666666666665</v>
      </c>
      <c r="J40" s="5">
        <f>'Debt cash'!J9-J27-J34-J35+J36</f>
        <v>-182.65505230793241</v>
      </c>
      <c r="K40" s="5">
        <f>'Debt cash'!K9-K27-K34-K35+K36</f>
        <v>10.466666666666665</v>
      </c>
      <c r="L40" s="5">
        <f>'Debt cash'!L9-L27-L34-L35+L36</f>
        <v>15.466666666666665</v>
      </c>
      <c r="M40" s="5">
        <f>'Debt cash'!M9-M27-M34-M35+M36</f>
        <v>15.466666666666665</v>
      </c>
      <c r="N40" s="5">
        <f>'Debt cash'!N9-N27-N34-N35+N36</f>
        <v>15.466666666666665</v>
      </c>
      <c r="O40" s="5">
        <f>'Debt cash'!O9-O27-O34-O35+O36</f>
        <v>15.466666666666665</v>
      </c>
      <c r="P40" s="5">
        <f>'Debt cash'!P9-P27-P34-P35+P36</f>
        <v>7.9046666666666621</v>
      </c>
      <c r="Q40" s="5">
        <f>'Debt cash'!Q9-Q27-Q34-Q35+Q36</f>
        <v>-17.466666666666661</v>
      </c>
      <c r="R40" s="5">
        <f>'Debt cash'!R9-R27-R34-R35+R36</f>
        <v>38.038791566602313</v>
      </c>
      <c r="S40" s="5">
        <f>'Debt cash'!S9-S27-S34-S35+S36</f>
        <v>-26.812866666666665</v>
      </c>
      <c r="T40" s="5">
        <f>'Debt cash'!T9-T27-T34-T35+T36</f>
        <v>11.533333333333337</v>
      </c>
      <c r="U40" s="5">
        <f>'Debt cash'!U9-U27-U34-U35+U36</f>
        <v>11.533333333333337</v>
      </c>
      <c r="V40" s="5">
        <f>'Debt cash'!V9-V27-V34-V35+V36</f>
        <v>-78.121209611469013</v>
      </c>
      <c r="W40" s="5">
        <f>'Debt cash'!W9-W27-W34-W35+W36</f>
        <v>11.533333333333337</v>
      </c>
      <c r="X40" s="5">
        <f>'Debt cash'!X9-X27-X34-X35+X36</f>
        <v>11.533333333333337</v>
      </c>
      <c r="Y40" s="5">
        <f>'Debt cash'!Y9-Y27-Y34-Y35+Y36</f>
        <v>11.533333333333337</v>
      </c>
      <c r="Z40" s="5">
        <f>'Debt cash'!Z9-Z27-Z34-Z35+Z36</f>
        <v>11.533333333333337</v>
      </c>
      <c r="AA40" s="5">
        <f>'Debt cash'!AA9-AA27-AA34-AA35+AA36</f>
        <v>11.533333333333337</v>
      </c>
      <c r="AB40" s="5">
        <f>'Debt cash'!AB9-AB27-AB34-AB35+AB36</f>
        <v>11.533333333333337</v>
      </c>
      <c r="AC40" s="5">
        <f>'Debt cash'!AC9-AC27-AC34-AC35+AC36</f>
        <v>-34.091583333333332</v>
      </c>
      <c r="AD40" s="5">
        <f>'Debt cash'!AD9-AD27-AD34-AD35+AD36</f>
        <v>53.169701109780746</v>
      </c>
      <c r="AE40" s="5">
        <f>'Debt cash'!AE9-AE27-AE34-AE35+AE36</f>
        <v>-16.14273464859864</v>
      </c>
      <c r="AF40" s="5">
        <f>'Debt cash'!AF9-AF27-AF34-AF35+AF36</f>
        <v>12.616915351401358</v>
      </c>
      <c r="AG40" s="5">
        <f>'Debt cash'!AG9-AG27-AG34-AG35+AG36</f>
        <v>12.616915351401358</v>
      </c>
      <c r="AH40" s="5">
        <f>'Debt cash'!AH9-AH27-AH34-AH35+AH36</f>
        <v>17.320154317387271</v>
      </c>
      <c r="AI40" s="5">
        <f>'Debt cash'!AI9-AI27-AI34-AI35+AI36</f>
        <v>12.616915351401358</v>
      </c>
      <c r="AJ40" s="5">
        <f>'Debt cash'!AJ9-AJ27-AJ34-AJ35+AJ36</f>
        <v>12.61691535140136</v>
      </c>
      <c r="AK40" s="5">
        <f>'Debt cash'!AK9-AK27-AK34-AK35+AK36</f>
        <v>12.61691535140136</v>
      </c>
      <c r="AL40" s="5">
        <f>'Debt cash'!AL9-AL27-AL34-AL35+AL36</f>
        <v>12.61691535140136</v>
      </c>
      <c r="AM40" s="5">
        <f>'Debt cash'!AM9-AM27-AM34-AM35+AM36</f>
        <v>12.61691535140136</v>
      </c>
      <c r="AN40" s="5">
        <f>'Debt cash'!AN9-AN27-AN34-AN35+AN36</f>
        <v>12.61691535140136</v>
      </c>
      <c r="AO40" s="5">
        <f>'Debt cash'!AO9-AO27-AO34-AO35+AO36</f>
        <v>-46.66433676422848</v>
      </c>
      <c r="AP40" s="5">
        <f>'Debt cash'!AP9-AP27-AP34-AP35+AP36</f>
        <v>53.873361648469931</v>
      </c>
      <c r="AQ40" s="5">
        <f>'Debt cash'!AQ9-AQ27-AQ34-AQ35+AQ36</f>
        <v>-16.557152958054775</v>
      </c>
      <c r="AR40" s="5">
        <f>'Debt cash'!AR9-AR27-AR34-AR35+AR36</f>
        <v>12.202497041945222</v>
      </c>
      <c r="AS40" s="5">
        <f>'Debt cash'!AS9-AS27-AS34-AS35+AS36</f>
        <v>12.202497041945222</v>
      </c>
      <c r="AT40" s="5">
        <f>'Debt cash'!AT9-AT27-AT34-AT35+AT36</f>
        <v>-8.3110735119692016</v>
      </c>
      <c r="AU40" s="5">
        <f>'Debt cash'!AU9-AU27-AU34-AU35+AU36</f>
        <v>12.202497041945222</v>
      </c>
      <c r="AV40" s="5">
        <f>'Debt cash'!AV9-AV27-AV34-AV35+AV36</f>
        <v>12.20249704194522</v>
      </c>
      <c r="AW40" s="5">
        <f>'Debt cash'!AW9-AW27-AW34-AW35+AW36</f>
        <v>12.20249704194522</v>
      </c>
      <c r="AX40" s="5">
        <f>'Debt cash'!AX9-AX27-AX34-AX35+AX36</f>
        <v>12.20249704194522</v>
      </c>
      <c r="AY40" s="5">
        <f>'Debt cash'!AY9-AY27-AY34-AY35+AY36</f>
        <v>12.20249704194522</v>
      </c>
      <c r="AZ40" s="5">
        <f>'Debt cash'!AZ9-AZ27-AZ34-AZ35+AZ36</f>
        <v>12.20249704194522</v>
      </c>
      <c r="BA40" s="5">
        <f>'Debt cash'!BA9-BA27-BA34-BA35+BA36</f>
        <v>-53.220362969787814</v>
      </c>
      <c r="BB40" s="5">
        <f>'Debt cash'!BB9-BB27-BB34-BB35+BB36</f>
        <v>53.317335442910604</v>
      </c>
      <c r="BC40" s="5">
        <f>'Debt cash'!BC9-BC27-BC34-BC35+BC36</f>
        <v>-7.5405217146096408</v>
      </c>
      <c r="BD40" s="5">
        <f>'Debt cash'!BD9-BD27-BD34-BD35+BD36</f>
        <v>11.632578285390361</v>
      </c>
      <c r="BE40" s="5">
        <f>'Debt cash'!BE9-BE27-BE34-BE35+BE36</f>
        <v>11.632578285390361</v>
      </c>
      <c r="BF40" s="5">
        <f>'Debt cash'!BF9-BF27-BF34-BF35+BF36</f>
        <v>-9.90667079621978</v>
      </c>
      <c r="BG40" s="5">
        <f>'Debt cash'!BG9-BG27-BG34-BG35+BG36</f>
        <v>11.632578285390361</v>
      </c>
      <c r="BH40" s="5">
        <f>'Debt cash'!BH9-BH27-BH34-BH35+BH36</f>
        <v>11.632578285390361</v>
      </c>
      <c r="BI40" s="5">
        <f>'Debt cash'!BI9-BI27-BI34-BI35+BI36</f>
        <v>11.632578285390361</v>
      </c>
      <c r="BJ40" s="5">
        <f>'Debt cash'!BJ9-BJ27-BJ34-BJ35+BJ36</f>
        <v>11.632578285390361</v>
      </c>
      <c r="BK40" s="5">
        <f>'Debt cash'!BK9-BK27-BK34-BK35+BK36</f>
        <v>11.632578285390361</v>
      </c>
      <c r="BL40" s="5">
        <f>'Debt cash'!BL9-BL27-BL34-BL35+BL36</f>
        <v>11.632578285390359</v>
      </c>
    </row>
    <row r="41" spans="3:64" ht="21" customHeight="1">
      <c r="C41" s="81" t="s">
        <v>879</v>
      </c>
      <c r="D41" s="81"/>
      <c r="E41" s="84">
        <f t="shared" ref="E41:AJ41" si="10">E28-E40</f>
        <v>0</v>
      </c>
      <c r="F41" s="84">
        <f t="shared" si="10"/>
        <v>0</v>
      </c>
      <c r="G41" s="84">
        <f t="shared" si="10"/>
        <v>0</v>
      </c>
      <c r="H41" s="84">
        <f t="shared" si="10"/>
        <v>0</v>
      </c>
      <c r="I41" s="84">
        <f t="shared" si="10"/>
        <v>0</v>
      </c>
      <c r="J41" s="16">
        <f t="shared" si="10"/>
        <v>0</v>
      </c>
      <c r="K41" s="16">
        <f t="shared" si="10"/>
        <v>0</v>
      </c>
      <c r="L41" s="16">
        <f t="shared" si="10"/>
        <v>0</v>
      </c>
      <c r="M41" s="16">
        <f t="shared" si="10"/>
        <v>0</v>
      </c>
      <c r="N41" s="16">
        <f t="shared" si="10"/>
        <v>0</v>
      </c>
      <c r="O41" s="16">
        <f t="shared" si="10"/>
        <v>0</v>
      </c>
      <c r="P41" s="16">
        <f t="shared" si="10"/>
        <v>0</v>
      </c>
      <c r="Q41" s="16">
        <f t="shared" si="10"/>
        <v>0</v>
      </c>
      <c r="R41" s="16">
        <f t="shared" si="10"/>
        <v>0</v>
      </c>
      <c r="S41" s="16">
        <f t="shared" si="10"/>
        <v>0</v>
      </c>
      <c r="T41" s="16">
        <f t="shared" si="10"/>
        <v>0</v>
      </c>
      <c r="U41" s="16">
        <f t="shared" si="10"/>
        <v>0</v>
      </c>
      <c r="V41" s="16">
        <f t="shared" si="10"/>
        <v>0</v>
      </c>
      <c r="W41" s="16">
        <f t="shared" si="10"/>
        <v>0</v>
      </c>
      <c r="X41" s="16">
        <f t="shared" si="10"/>
        <v>0</v>
      </c>
      <c r="Y41" s="16">
        <f t="shared" si="10"/>
        <v>0</v>
      </c>
      <c r="Z41" s="16">
        <f t="shared" si="10"/>
        <v>0</v>
      </c>
      <c r="AA41" s="16">
        <f t="shared" si="10"/>
        <v>0</v>
      </c>
      <c r="AB41" s="16">
        <f t="shared" si="10"/>
        <v>0</v>
      </c>
      <c r="AC41" s="16">
        <f t="shared" si="10"/>
        <v>0</v>
      </c>
      <c r="AD41" s="16">
        <f t="shared" si="10"/>
        <v>0</v>
      </c>
      <c r="AE41" s="16">
        <f t="shared" si="10"/>
        <v>0</v>
      </c>
      <c r="AF41" s="16">
        <f t="shared" si="10"/>
        <v>0</v>
      </c>
      <c r="AG41" s="16">
        <f t="shared" si="10"/>
        <v>0</v>
      </c>
      <c r="AH41" s="16">
        <f t="shared" si="10"/>
        <v>0</v>
      </c>
      <c r="AI41" s="16">
        <f t="shared" si="10"/>
        <v>0</v>
      </c>
      <c r="AJ41" s="16">
        <f t="shared" si="10"/>
        <v>0</v>
      </c>
      <c r="AK41" s="16">
        <f t="shared" ref="AK41:BP41" si="11">AK28-AK40</f>
        <v>0</v>
      </c>
      <c r="AL41" s="16">
        <f t="shared" si="11"/>
        <v>0</v>
      </c>
      <c r="AM41" s="16">
        <f t="shared" si="11"/>
        <v>0</v>
      </c>
      <c r="AN41" s="16">
        <f t="shared" si="11"/>
        <v>0</v>
      </c>
      <c r="AO41" s="16">
        <f t="shared" si="11"/>
        <v>0</v>
      </c>
      <c r="AP41" s="16">
        <f t="shared" si="11"/>
        <v>0</v>
      </c>
      <c r="AQ41" s="16">
        <f t="shared" si="11"/>
        <v>0</v>
      </c>
      <c r="AR41" s="16">
        <f t="shared" si="11"/>
        <v>0</v>
      </c>
      <c r="AS41" s="16">
        <f t="shared" si="11"/>
        <v>0</v>
      </c>
      <c r="AT41" s="16">
        <f t="shared" si="11"/>
        <v>0</v>
      </c>
      <c r="AU41" s="16">
        <f t="shared" si="11"/>
        <v>0</v>
      </c>
      <c r="AV41" s="16">
        <f t="shared" si="11"/>
        <v>0</v>
      </c>
      <c r="AW41" s="16">
        <f t="shared" si="11"/>
        <v>0</v>
      </c>
      <c r="AX41" s="16">
        <f t="shared" si="11"/>
        <v>0</v>
      </c>
      <c r="AY41" s="16">
        <f t="shared" si="11"/>
        <v>0</v>
      </c>
      <c r="AZ41" s="16">
        <f t="shared" si="11"/>
        <v>0</v>
      </c>
      <c r="BA41" s="16">
        <f t="shared" si="11"/>
        <v>0</v>
      </c>
      <c r="BB41" s="16">
        <f t="shared" si="11"/>
        <v>0</v>
      </c>
      <c r="BC41" s="16">
        <f t="shared" si="11"/>
        <v>0</v>
      </c>
      <c r="BD41" s="16">
        <f t="shared" si="11"/>
        <v>0</v>
      </c>
      <c r="BE41" s="16">
        <f t="shared" si="11"/>
        <v>0</v>
      </c>
      <c r="BF41" s="16">
        <f t="shared" si="11"/>
        <v>0</v>
      </c>
      <c r="BG41" s="16">
        <f t="shared" si="11"/>
        <v>0</v>
      </c>
      <c r="BH41" s="16">
        <f t="shared" si="11"/>
        <v>0</v>
      </c>
      <c r="BI41" s="16">
        <f t="shared" si="11"/>
        <v>0</v>
      </c>
      <c r="BJ41" s="16">
        <f t="shared" si="11"/>
        <v>0</v>
      </c>
      <c r="BK41" s="16">
        <f t="shared" si="11"/>
        <v>0</v>
      </c>
      <c r="BL41" s="16">
        <f t="shared" si="11"/>
        <v>0</v>
      </c>
    </row>
    <row r="42" spans="3:64" ht="21" customHeight="1">
      <c r="C42" s="1" t="s">
        <v>880</v>
      </c>
      <c r="D42" s="1"/>
      <c r="E42" s="16">
        <f>0</f>
        <v>0</v>
      </c>
      <c r="F42" s="16">
        <f>0</f>
        <v>0</v>
      </c>
      <c r="G42" s="16">
        <f>0</f>
        <v>0</v>
      </c>
      <c r="H42" s="16">
        <f t="shared" ref="H42:AM42" si="12">H28</f>
        <v>15.466666666666665</v>
      </c>
      <c r="I42" s="16">
        <f t="shared" si="12"/>
        <v>15.466666666666665</v>
      </c>
      <c r="J42" s="16">
        <f t="shared" si="12"/>
        <v>-182.65505230793241</v>
      </c>
      <c r="K42" s="16">
        <f t="shared" si="12"/>
        <v>10.466666666666665</v>
      </c>
      <c r="L42" s="16">
        <f t="shared" si="12"/>
        <v>15.466666666666665</v>
      </c>
      <c r="M42" s="16">
        <f t="shared" si="12"/>
        <v>15.466666666666665</v>
      </c>
      <c r="N42" s="16">
        <f t="shared" si="12"/>
        <v>15.466666666666665</v>
      </c>
      <c r="O42" s="16">
        <f t="shared" si="12"/>
        <v>15.466666666666665</v>
      </c>
      <c r="P42" s="16">
        <f t="shared" si="12"/>
        <v>7.9046666666666647</v>
      </c>
      <c r="Q42" s="16">
        <f t="shared" si="12"/>
        <v>-17.466666666666661</v>
      </c>
      <c r="R42" s="16">
        <f t="shared" si="12"/>
        <v>38.038791566602313</v>
      </c>
      <c r="S42" s="16">
        <f t="shared" si="12"/>
        <v>-26.812866666666665</v>
      </c>
      <c r="T42" s="16">
        <f t="shared" si="12"/>
        <v>11.533333333333339</v>
      </c>
      <c r="U42" s="16">
        <f t="shared" si="12"/>
        <v>11.533333333333339</v>
      </c>
      <c r="V42" s="16">
        <f t="shared" si="12"/>
        <v>-78.121209611468998</v>
      </c>
      <c r="W42" s="16">
        <f t="shared" si="12"/>
        <v>11.533333333333339</v>
      </c>
      <c r="X42" s="16">
        <f t="shared" si="12"/>
        <v>11.533333333333339</v>
      </c>
      <c r="Y42" s="16">
        <f t="shared" si="12"/>
        <v>11.533333333333339</v>
      </c>
      <c r="Z42" s="16">
        <f t="shared" si="12"/>
        <v>11.533333333333339</v>
      </c>
      <c r="AA42" s="16">
        <f t="shared" si="12"/>
        <v>11.533333333333339</v>
      </c>
      <c r="AB42" s="16">
        <f t="shared" si="12"/>
        <v>11.533333333333339</v>
      </c>
      <c r="AC42" s="16">
        <f t="shared" si="12"/>
        <v>-34.091583333333325</v>
      </c>
      <c r="AD42" s="16">
        <f t="shared" si="12"/>
        <v>53.169701109780746</v>
      </c>
      <c r="AE42" s="16">
        <f t="shared" si="12"/>
        <v>-16.142734648598637</v>
      </c>
      <c r="AF42" s="16">
        <f t="shared" si="12"/>
        <v>12.61691535140136</v>
      </c>
      <c r="AG42" s="16">
        <f t="shared" si="12"/>
        <v>12.61691535140136</v>
      </c>
      <c r="AH42" s="16">
        <f t="shared" si="12"/>
        <v>17.320154317387271</v>
      </c>
      <c r="AI42" s="16">
        <f t="shared" si="12"/>
        <v>12.61691535140136</v>
      </c>
      <c r="AJ42" s="16">
        <f t="shared" si="12"/>
        <v>12.61691535140136</v>
      </c>
      <c r="AK42" s="16">
        <f t="shared" si="12"/>
        <v>12.61691535140136</v>
      </c>
      <c r="AL42" s="16">
        <f t="shared" si="12"/>
        <v>12.61691535140136</v>
      </c>
      <c r="AM42" s="16">
        <f t="shared" si="12"/>
        <v>12.61691535140136</v>
      </c>
      <c r="AN42" s="16">
        <f t="shared" ref="AN42:BL42" si="13">AN28</f>
        <v>12.61691535140136</v>
      </c>
      <c r="AO42" s="16">
        <f t="shared" si="13"/>
        <v>-46.66433676422848</v>
      </c>
      <c r="AP42" s="16">
        <f t="shared" si="13"/>
        <v>53.873361648469938</v>
      </c>
      <c r="AQ42" s="16">
        <f t="shared" si="13"/>
        <v>-16.557152958054775</v>
      </c>
      <c r="AR42" s="16">
        <f t="shared" si="13"/>
        <v>12.202497041945222</v>
      </c>
      <c r="AS42" s="16">
        <f t="shared" si="13"/>
        <v>12.202497041945222</v>
      </c>
      <c r="AT42" s="16">
        <f t="shared" si="13"/>
        <v>-8.3110735119692016</v>
      </c>
      <c r="AU42" s="16">
        <f t="shared" si="13"/>
        <v>12.202497041945222</v>
      </c>
      <c r="AV42" s="16">
        <f t="shared" si="13"/>
        <v>12.202497041945222</v>
      </c>
      <c r="AW42" s="16">
        <f t="shared" si="13"/>
        <v>12.202497041945222</v>
      </c>
      <c r="AX42" s="16">
        <f t="shared" si="13"/>
        <v>12.202497041945222</v>
      </c>
      <c r="AY42" s="16">
        <f t="shared" si="13"/>
        <v>12.202497041945222</v>
      </c>
      <c r="AZ42" s="16">
        <f t="shared" si="13"/>
        <v>12.202497041945222</v>
      </c>
      <c r="BA42" s="16">
        <f t="shared" si="13"/>
        <v>-53.220362969787807</v>
      </c>
      <c r="BB42" s="16">
        <f t="shared" si="13"/>
        <v>53.317335442910604</v>
      </c>
      <c r="BC42" s="16">
        <f t="shared" si="13"/>
        <v>-7.5405217146096408</v>
      </c>
      <c r="BD42" s="16">
        <f t="shared" si="13"/>
        <v>11.632578285390361</v>
      </c>
      <c r="BE42" s="16">
        <f t="shared" si="13"/>
        <v>11.632578285390361</v>
      </c>
      <c r="BF42" s="16">
        <f t="shared" si="13"/>
        <v>-9.90667079621978</v>
      </c>
      <c r="BG42" s="16">
        <f t="shared" si="13"/>
        <v>11.632578285390361</v>
      </c>
      <c r="BH42" s="16">
        <f t="shared" si="13"/>
        <v>11.632578285390361</v>
      </c>
      <c r="BI42" s="16">
        <f t="shared" si="13"/>
        <v>11.632578285390361</v>
      </c>
      <c r="BJ42" s="16">
        <f t="shared" si="13"/>
        <v>11.632578285390361</v>
      </c>
      <c r="BK42" s="16">
        <f t="shared" si="13"/>
        <v>11.632578285390361</v>
      </c>
      <c r="BL42" s="16">
        <f t="shared" si="13"/>
        <v>11.632578285390361</v>
      </c>
    </row>
    <row r="43" spans="3:64" ht="21" customHeight="1">
      <c r="C43" s="1" t="s">
        <v>881</v>
      </c>
      <c r="D43" s="1"/>
      <c r="E43" s="16">
        <f>0</f>
        <v>0</v>
      </c>
      <c r="F43" s="16">
        <f>0</f>
        <v>0</v>
      </c>
      <c r="G43" s="16">
        <f>0</f>
        <v>0</v>
      </c>
      <c r="H43" s="16">
        <f>1/12</f>
        <v>8.3333333333333329E-2</v>
      </c>
      <c r="I43" s="16">
        <f>2/12</f>
        <v>0.16666666666666666</v>
      </c>
      <c r="J43" s="16">
        <f>3/12</f>
        <v>0.25</v>
      </c>
      <c r="K43" s="16">
        <f>4/12</f>
        <v>0.33333333333333331</v>
      </c>
      <c r="L43" s="16">
        <f>5/12</f>
        <v>0.41666666666666669</v>
      </c>
      <c r="M43" s="16">
        <f>6/12</f>
        <v>0.5</v>
      </c>
      <c r="N43" s="16">
        <f>7/12</f>
        <v>0.58333333333333337</v>
      </c>
      <c r="O43" s="16">
        <f>8/12</f>
        <v>0.66666666666666663</v>
      </c>
      <c r="P43" s="16">
        <f>9/12</f>
        <v>0.75</v>
      </c>
      <c r="Q43" s="16">
        <f>10/12</f>
        <v>0.83333333333333337</v>
      </c>
      <c r="R43" s="16">
        <f>11/12</f>
        <v>0.91666666666666663</v>
      </c>
      <c r="S43" s="16">
        <f>12/12</f>
        <v>1</v>
      </c>
      <c r="T43" s="16">
        <f>13/12</f>
        <v>1.0833333333333333</v>
      </c>
      <c r="U43" s="16">
        <f>14/12</f>
        <v>1.1666666666666667</v>
      </c>
      <c r="V43" s="16">
        <f>15/12</f>
        <v>1.25</v>
      </c>
      <c r="W43" s="16">
        <f>16/12</f>
        <v>1.3333333333333333</v>
      </c>
      <c r="X43" s="16">
        <f>17/12</f>
        <v>1.4166666666666667</v>
      </c>
      <c r="Y43" s="16">
        <f>18/12</f>
        <v>1.5</v>
      </c>
      <c r="Z43" s="16">
        <f>19/12</f>
        <v>1.5833333333333333</v>
      </c>
      <c r="AA43" s="16">
        <f>20/12</f>
        <v>1.6666666666666667</v>
      </c>
      <c r="AB43" s="16">
        <f>21/12</f>
        <v>1.75</v>
      </c>
      <c r="AC43" s="16">
        <f>22/12</f>
        <v>1.8333333333333333</v>
      </c>
      <c r="AD43" s="16">
        <f>23/12</f>
        <v>1.9166666666666667</v>
      </c>
      <c r="AE43" s="16">
        <f>24/12</f>
        <v>2</v>
      </c>
      <c r="AF43" s="16">
        <f>25/12</f>
        <v>2.0833333333333335</v>
      </c>
      <c r="AG43" s="16">
        <f>26/12</f>
        <v>2.1666666666666665</v>
      </c>
      <c r="AH43" s="16">
        <f>27/12</f>
        <v>2.25</v>
      </c>
      <c r="AI43" s="16">
        <f>28/12</f>
        <v>2.3333333333333335</v>
      </c>
      <c r="AJ43" s="16">
        <f>29/12</f>
        <v>2.4166666666666665</v>
      </c>
      <c r="AK43" s="16">
        <f>30/12</f>
        <v>2.5</v>
      </c>
      <c r="AL43" s="16">
        <f>31/12</f>
        <v>2.5833333333333335</v>
      </c>
      <c r="AM43" s="16">
        <f>32/12</f>
        <v>2.6666666666666665</v>
      </c>
      <c r="AN43" s="16">
        <f>33/12</f>
        <v>2.75</v>
      </c>
      <c r="AO43" s="16">
        <f>34/12</f>
        <v>2.8333333333333335</v>
      </c>
      <c r="AP43" s="16">
        <f>35/12</f>
        <v>2.9166666666666665</v>
      </c>
      <c r="AQ43" s="16">
        <f>36/12</f>
        <v>3</v>
      </c>
      <c r="AR43" s="16">
        <f>37/12</f>
        <v>3.0833333333333335</v>
      </c>
      <c r="AS43" s="16">
        <f>38/12</f>
        <v>3.1666666666666665</v>
      </c>
      <c r="AT43" s="16">
        <f>39/12</f>
        <v>3.25</v>
      </c>
      <c r="AU43" s="16">
        <f>40/12</f>
        <v>3.3333333333333335</v>
      </c>
      <c r="AV43" s="16">
        <f>41/12</f>
        <v>3.4166666666666665</v>
      </c>
      <c r="AW43" s="16">
        <f>42/12</f>
        <v>3.5</v>
      </c>
      <c r="AX43" s="16">
        <f>43/12</f>
        <v>3.5833333333333335</v>
      </c>
      <c r="AY43" s="16">
        <f>44/12</f>
        <v>3.6666666666666665</v>
      </c>
      <c r="AZ43" s="16">
        <f>45/12</f>
        <v>3.75</v>
      </c>
      <c r="BA43" s="16">
        <f>46/12</f>
        <v>3.8333333333333335</v>
      </c>
      <c r="BB43" s="16">
        <f>47/12</f>
        <v>3.9166666666666665</v>
      </c>
      <c r="BC43" s="16">
        <f>48/12</f>
        <v>4</v>
      </c>
      <c r="BD43" s="16">
        <f>49/12</f>
        <v>4.083333333333333</v>
      </c>
      <c r="BE43" s="16">
        <f>50/12</f>
        <v>4.166666666666667</v>
      </c>
      <c r="BF43" s="16">
        <f>51/12</f>
        <v>4.25</v>
      </c>
      <c r="BG43" s="16">
        <f>52/12</f>
        <v>4.333333333333333</v>
      </c>
      <c r="BH43" s="16">
        <f>53/12</f>
        <v>4.416666666666667</v>
      </c>
      <c r="BI43" s="16">
        <f>54/12</f>
        <v>4.5</v>
      </c>
      <c r="BJ43" s="16">
        <f>55/12</f>
        <v>4.583333333333333</v>
      </c>
      <c r="BK43" s="16">
        <f>56/12</f>
        <v>4.666666666666667</v>
      </c>
      <c r="BL43" s="16">
        <f>57/12</f>
        <v>4.75</v>
      </c>
    </row>
    <row r="44" spans="3:64" ht="21" customHeight="1">
      <c r="C44" s="1" t="s">
        <v>882</v>
      </c>
      <c r="D44" s="1"/>
      <c r="E44" s="5">
        <f>E42/(1+Valuation!$E$20)^E43</f>
        <v>0</v>
      </c>
      <c r="F44" s="5">
        <f>F42/(1+Valuation!$E$20)^F43</f>
        <v>0</v>
      </c>
      <c r="G44" s="5">
        <f>G42/(1+Valuation!$E$20)^G43</f>
        <v>0</v>
      </c>
      <c r="H44" s="5">
        <f>H42/(1+Valuation!$E$20)^H43</f>
        <v>15.343759979413425</v>
      </c>
      <c r="I44" s="5">
        <f>I42/(1+Valuation!$E$20)^I43</f>
        <v>15.221829976671284</v>
      </c>
      <c r="J44" s="5">
        <f>J42/(1+Valuation!$E$20)^J43</f>
        <v>-178.33512920087668</v>
      </c>
      <c r="K44" s="5">
        <f>K42/(1+Valuation!$E$20)^K43</f>
        <v>10.137915687427752</v>
      </c>
      <c r="L44" s="5">
        <f>L42/(1+Valuation!$E$20)^L43</f>
        <v>14.86182277064537</v>
      </c>
      <c r="M44" s="5">
        <f>M42/(1+Valuation!$E$20)^M43</f>
        <v>14.74372250750196</v>
      </c>
      <c r="N44" s="5">
        <f>N42/(1+Valuation!$E$20)^N43</f>
        <v>14.626560734365448</v>
      </c>
      <c r="O44" s="5">
        <f>O42/(1+Valuation!$E$20)^O43</f>
        <v>14.510329993475201</v>
      </c>
      <c r="P44" s="5">
        <f>P42/(1+Valuation!$E$20)^P43</f>
        <v>7.3569735501406548</v>
      </c>
      <c r="Q44" s="5">
        <f>Q42/(1+Valuation!$E$20)^Q43</f>
        <v>-16.127265530983721</v>
      </c>
      <c r="R44" s="5">
        <f>R42/(1+Valuation!$E$20)^R43</f>
        <v>34.842754934483303</v>
      </c>
      <c r="S44" s="5">
        <f>S42/(1+Valuation!$E$20)^S43</f>
        <v>-24.364869729278688</v>
      </c>
      <c r="T44" s="5">
        <f>T42/(1+Valuation!$E$20)^T43</f>
        <v>10.397065013258931</v>
      </c>
      <c r="U44" s="5">
        <f>U42/(1+Valuation!$E$20)^U43</f>
        <v>10.314444184513057</v>
      </c>
      <c r="V44" s="5">
        <f>V42/(1+Valuation!$E$20)^V43</f>
        <v>-69.309859042717491</v>
      </c>
      <c r="W44" s="5">
        <f>W42/(1+Valuation!$E$20)^W43</f>
        <v>10.151166962102824</v>
      </c>
      <c r="X44" s="5">
        <f>X42/(1+Valuation!$E$20)^X43</f>
        <v>10.070500175266622</v>
      </c>
      <c r="Y44" s="5">
        <f>Y42/(1+Valuation!$E$20)^Y43</f>
        <v>9.9904744113318067</v>
      </c>
      <c r="Z44" s="5">
        <f>Z42/(1+Valuation!$E$20)^Z43</f>
        <v>9.9110845763758775</v>
      </c>
      <c r="AA44" s="5">
        <f>AA42/(1+Valuation!$E$20)^AA43</f>
        <v>9.8323256169554671</v>
      </c>
      <c r="AB44" s="5">
        <f>AB42/(1+Valuation!$E$20)^AB43</f>
        <v>9.7541925197846595</v>
      </c>
      <c r="AC44" s="5">
        <f>AC42/(1+Valuation!$E$20)^AC43</f>
        <v>-28.603469932947437</v>
      </c>
      <c r="AD44" s="5">
        <f>AD42/(1+Valuation!$E$20)^AD43</f>
        <v>44.255865527013448</v>
      </c>
      <c r="AE44" s="5">
        <f>AE42/(1+Valuation!$E$20)^AE43</f>
        <v>-13.32965159803085</v>
      </c>
      <c r="AF44" s="5">
        <f>AF42/(1+Valuation!$E$20)^AF43</f>
        <v>10.335463320139976</v>
      </c>
      <c r="AG44" s="5">
        <f>AG42/(1+Valuation!$E$20)^AG43</f>
        <v>10.253332012516758</v>
      </c>
      <c r="AH44" s="5">
        <f>AH42/(1+Valuation!$E$20)^AH43</f>
        <v>13.963640484277869</v>
      </c>
      <c r="AI44" s="5">
        <f>AI42/(1+Valuation!$E$20)^AI43</f>
        <v>10.091022193247257</v>
      </c>
      <c r="AJ44" s="5">
        <f>AJ42/(1+Valuation!$E$20)^AJ43</f>
        <v>10.010833350007758</v>
      </c>
      <c r="AK44" s="5">
        <f>AK42/(1+Valuation!$E$20)^AK43</f>
        <v>9.9312817316654947</v>
      </c>
      <c r="AL44" s="5">
        <f>AL42/(1+Valuation!$E$20)^AL43</f>
        <v>9.8523622744790114</v>
      </c>
      <c r="AM44" s="5">
        <f>AM42/(1+Valuation!$E$20)^AM43</f>
        <v>9.7740699549461461</v>
      </c>
      <c r="AN44" s="5">
        <f>AN42/(1+Valuation!$E$20)^AN43</f>
        <v>9.6963997894842606</v>
      </c>
      <c r="AO44" s="5">
        <f>AO42/(1+Valuation!$E$20)^AO43</f>
        <v>-35.577669154220644</v>
      </c>
      <c r="AP44" s="5">
        <f>AP42/(1+Valuation!$E$20)^AP43</f>
        <v>40.747553717912211</v>
      </c>
      <c r="AQ44" s="5">
        <f>AQ42/(1+Valuation!$E$20)^AQ43</f>
        <v>-12.423621061675792</v>
      </c>
      <c r="AR44" s="5">
        <f>AR42/(1+Valuation!$E$20)^AR43</f>
        <v>9.083355608077504</v>
      </c>
      <c r="AS44" s="5">
        <f>AS42/(1+Valuation!$E$20)^AS43</f>
        <v>9.0111742408189741</v>
      </c>
      <c r="AT44" s="5">
        <f>AT42/(1+Valuation!$E$20)^AT43</f>
        <v>-6.088704124562601</v>
      </c>
      <c r="AU44" s="5">
        <f>AU42/(1+Valuation!$E$20)^AU43</f>
        <v>8.8685277274077396</v>
      </c>
      <c r="AV44" s="5">
        <f>AV42/(1+Valuation!$E$20)^AV43</f>
        <v>8.7980535013006822</v>
      </c>
      <c r="AW44" s="5">
        <f>AW42/(1+Valuation!$E$20)^AW43</f>
        <v>8.7281393023704048</v>
      </c>
      <c r="AX44" s="5">
        <f>AX42/(1+Valuation!$E$20)^AX43</f>
        <v>8.6587806803312368</v>
      </c>
      <c r="AY44" s="5">
        <f>AY42/(1+Valuation!$E$20)^AY43</f>
        <v>8.5899732202619372</v>
      </c>
      <c r="AZ44" s="5">
        <f>AZ42/(1+Valuation!$E$20)^AZ43</f>
        <v>8.5217125423246678</v>
      </c>
      <c r="BA44" s="5">
        <f>BA42/(1+Valuation!$E$20)^BA43</f>
        <v>-36.871522584519347</v>
      </c>
      <c r="BB44" s="5">
        <f>BB42/(1+Valuation!$E$20)^BB43</f>
        <v>36.645170556601684</v>
      </c>
      <c r="BC44" s="5">
        <f>BC42/(1+Valuation!$E$20)^BC43</f>
        <v>-5.1414400412862058</v>
      </c>
      <c r="BD44" s="5">
        <f>BD42/(1+Valuation!$E$20)^BD43</f>
        <v>7.8685450372053998</v>
      </c>
      <c r="BE44" s="5">
        <f>BE42/(1+Valuation!$E$20)^BE43</f>
        <v>7.8060172266002823</v>
      </c>
      <c r="BF44" s="5">
        <f>BF42/(1+Valuation!$E$20)^BF43</f>
        <v>-6.595023133160745</v>
      </c>
      <c r="BG44" s="5">
        <f>BG42/(1+Valuation!$E$20)^BG43</f>
        <v>7.682448298595471</v>
      </c>
      <c r="BH44" s="5">
        <f>BH42/(1+Valuation!$E$20)^BH43</f>
        <v>7.6213993155971105</v>
      </c>
      <c r="BI44" s="5">
        <f>BI42/(1+Valuation!$E$20)^BI43</f>
        <v>7.5608354615811111</v>
      </c>
      <c r="BJ44" s="5">
        <f>BJ42/(1+Valuation!$E$20)^BJ43</f>
        <v>7.5007528814442743</v>
      </c>
      <c r="BK44" s="5">
        <f>BK42/(1+Valuation!$E$20)^BK43</f>
        <v>7.4411477507181862</v>
      </c>
      <c r="BL44" s="5">
        <f>BL42/(1+Valuation!$E$20)^BL43</f>
        <v>7.3820162753257748</v>
      </c>
    </row>
    <row r="45" spans="3:64" ht="21" customHeight="1">
      <c r="C45" s="1"/>
      <c r="D45" s="1"/>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row>
    <row r="46" spans="3:64" ht="21" customHeight="1">
      <c r="C46" s="1"/>
      <c r="D46" s="1"/>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row>
    <row r="47" spans="3:64" ht="21" customHeight="1">
      <c r="C47" s="1"/>
      <c r="D47" s="1"/>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row>
    <row r="48" spans="3:64" ht="21" customHeight="1">
      <c r="C48" s="1"/>
      <c r="D48" s="1"/>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row>
    <row r="49" spans="3:64" ht="21" customHeight="1">
      <c r="C49" s="1"/>
      <c r="D49" s="1"/>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row>
    <row r="50" spans="3:64" ht="21" customHeight="1">
      <c r="C50" s="1"/>
      <c r="D50" s="1"/>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row>
    <row r="51" spans="3:64" ht="21" customHeight="1">
      <c r="C51" s="1"/>
      <c r="D51" s="1"/>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row>
    <row r="52" spans="3:64" ht="21" customHeight="1">
      <c r="C52" s="1"/>
      <c r="D52" s="1"/>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row>
    <row r="53" spans="3:64" ht="21" customHeight="1">
      <c r="C53" s="1"/>
      <c r="D53" s="1"/>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row>
    <row r="54" spans="3:64" ht="21" customHeight="1">
      <c r="C54" s="1"/>
      <c r="D54" s="1"/>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row>
    <row r="55" spans="3:64" ht="21" customHeight="1">
      <c r="C55" s="1"/>
      <c r="D55" s="1"/>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row>
    <row r="56" spans="3:64" ht="21" customHeight="1">
      <c r="C56" s="1"/>
      <c r="D56" s="1"/>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row>
    <row r="57" spans="3:64" ht="21" customHeight="1">
      <c r="C57" s="1"/>
      <c r="D57" s="1"/>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row>
    <row r="58" spans="3:64" ht="21" customHeight="1">
      <c r="C58" s="1"/>
      <c r="D58" s="1"/>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row>
    <row r="59" spans="3:64" ht="21" customHeight="1">
      <c r="C59" s="1"/>
      <c r="D59" s="1"/>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row>
    <row r="60" spans="3:64" ht="21" customHeight="1">
      <c r="C60" s="1"/>
      <c r="D60" s="1"/>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row>
    <row r="61" spans="3:64" ht="21" customHeight="1">
      <c r="C61" s="1"/>
      <c r="D61" s="1"/>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row>
    <row r="62" spans="3:64" ht="21" customHeight="1">
      <c r="C62" s="1"/>
      <c r="D62" s="1"/>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row>
    <row r="63" spans="3:64" ht="21" customHeight="1">
      <c r="C63" s="1"/>
      <c r="D63" s="1"/>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row>
    <row r="64" spans="3:64" ht="21" customHeight="1">
      <c r="C64" s="1"/>
      <c r="D64" s="1"/>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row>
    <row r="65" spans="3:64" ht="21" customHeight="1">
      <c r="C65" s="1"/>
      <c r="D65" s="1"/>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row>
    <row r="66" spans="3:64" ht="21" customHeight="1">
      <c r="C66" s="1"/>
      <c r="D66" s="1"/>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row>
    <row r="67" spans="3:64" ht="21" customHeight="1">
      <c r="C67" s="1"/>
      <c r="D67" s="1"/>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row>
    <row r="68" spans="3:64" ht="21" customHeight="1">
      <c r="C68" s="1"/>
      <c r="D68" s="1"/>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row>
    <row r="69" spans="3:64" ht="21" customHeight="1">
      <c r="C69" s="1"/>
      <c r="D69" s="1"/>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row>
    <row r="70" spans="3:64" ht="21" customHeight="1">
      <c r="C70" s="1"/>
      <c r="D70" s="1"/>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row>
    <row r="71" spans="3:64" ht="21" customHeight="1">
      <c r="C71" s="1"/>
      <c r="D71" s="1"/>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row>
    <row r="72" spans="3:64" ht="21" customHeight="1">
      <c r="C72" s="1"/>
      <c r="D72" s="1"/>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row>
    <row r="73" spans="3:64" ht="21" customHeight="1">
      <c r="C73" s="1"/>
      <c r="D73" s="1"/>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row>
    <row r="74" spans="3:64" ht="21" customHeight="1">
      <c r="C74" s="1"/>
      <c r="D74" s="1"/>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row>
    <row r="75" spans="3:64" ht="21" customHeight="1">
      <c r="C75" s="1"/>
      <c r="D75" s="1"/>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row>
    <row r="76" spans="3:64" ht="21" customHeight="1">
      <c r="C76" s="1"/>
      <c r="D76" s="1"/>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row>
    <row r="77" spans="3:64" ht="21" customHeight="1">
      <c r="C77" s="1"/>
      <c r="D77" s="1"/>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row>
    <row r="78" spans="3:64" ht="21" customHeight="1">
      <c r="C78" s="1"/>
      <c r="D78" s="1"/>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row>
    <row r="79" spans="3:64" ht="21" customHeight="1">
      <c r="C79" s="1"/>
      <c r="D79" s="1"/>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row>
    <row r="80" spans="3:64" ht="21" customHeight="1">
      <c r="C80" s="1"/>
      <c r="D80" s="1"/>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row>
    <row r="81" spans="3:64" ht="21" customHeight="1">
      <c r="C81" s="1"/>
      <c r="D81" s="1"/>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row>
    <row r="82" spans="3:64" ht="21" customHeight="1">
      <c r="C82" s="1"/>
      <c r="D82" s="1"/>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row>
    <row r="83" spans="3:64" ht="21" customHeight="1">
      <c r="C83" s="1"/>
      <c r="D83" s="1"/>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row>
    <row r="84" spans="3:64" ht="21" customHeight="1">
      <c r="C84" s="1"/>
      <c r="D84" s="1"/>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row>
    <row r="85" spans="3:64" ht="21" customHeight="1">
      <c r="C85" s="1"/>
      <c r="D85" s="1"/>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row>
    <row r="86" spans="3:64" ht="21" customHeight="1">
      <c r="C86" s="1"/>
      <c r="D86" s="1"/>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row>
    <row r="87" spans="3:64" ht="21" customHeight="1">
      <c r="C87" s="1"/>
      <c r="D87" s="1"/>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row>
    <row r="88" spans="3:64" ht="21" customHeight="1">
      <c r="C88" s="1"/>
      <c r="D88" s="1"/>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row>
    <row r="89" spans="3:64" ht="21" customHeight="1">
      <c r="C89" s="1"/>
      <c r="D89" s="1"/>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row>
    <row r="90" spans="3:64" ht="21" customHeight="1">
      <c r="C90" s="1"/>
      <c r="D90" s="1"/>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row>
    <row r="91" spans="3:64" ht="21" customHeight="1">
      <c r="C91" s="1"/>
      <c r="D91" s="1"/>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row>
    <row r="92" spans="3:64" ht="21" customHeight="1">
      <c r="C92" s="1"/>
      <c r="D92" s="1"/>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row>
    <row r="93" spans="3:64" ht="21" customHeight="1">
      <c r="C93" s="1"/>
      <c r="D93" s="1"/>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row>
    <row r="94" spans="3:64" ht="21" customHeight="1">
      <c r="C94" s="1"/>
      <c r="D94" s="1"/>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row>
    <row r="95" spans="3:64" ht="21" customHeight="1">
      <c r="C95" s="1"/>
      <c r="D95" s="1"/>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row>
    <row r="96" spans="3:64" ht="21" customHeight="1">
      <c r="C96" s="1"/>
      <c r="D96" s="1"/>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row>
    <row r="97" spans="3:64" ht="21" customHeight="1">
      <c r="C97" s="1"/>
      <c r="D97" s="1"/>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row>
    <row r="98" spans="3:64" ht="21" customHeight="1">
      <c r="C98" s="1"/>
      <c r="D98" s="1"/>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row>
    <row r="99" spans="3:64" ht="21" customHeight="1">
      <c r="C99" s="1"/>
      <c r="D99" s="1"/>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row>
    <row r="100" spans="3:64" ht="21" customHeight="1">
      <c r="C100" s="1"/>
      <c r="D100" s="1"/>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row>
    <row r="101" spans="3:64" ht="21" customHeight="1">
      <c r="C101" s="1"/>
      <c r="D101" s="1"/>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row>
    <row r="102" spans="3:64" ht="21" customHeight="1">
      <c r="C102" s="1"/>
      <c r="D102" s="1"/>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row>
    <row r="103" spans="3:64" ht="21" customHeight="1">
      <c r="C103" s="1"/>
      <c r="D103" s="1"/>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row>
    <row r="104" spans="3:64" ht="21" customHeight="1">
      <c r="C104" s="1"/>
      <c r="D104" s="1"/>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row>
    <row r="105" spans="3:64" ht="21" customHeight="1">
      <c r="C105" s="1"/>
      <c r="D105" s="1"/>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row>
    <row r="106" spans="3:64" ht="21" customHeight="1">
      <c r="C106" s="1"/>
      <c r="D106" s="1"/>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row>
    <row r="107" spans="3:64" ht="21" customHeight="1">
      <c r="C107" s="1"/>
      <c r="D107" s="1"/>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row>
    <row r="108" spans="3:64" ht="21" customHeight="1">
      <c r="C108" s="1"/>
      <c r="D108" s="1"/>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row>
    <row r="109" spans="3:64" ht="21" customHeight="1">
      <c r="C109" s="1"/>
      <c r="D109" s="1"/>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row>
    <row r="110" spans="3:64" ht="21" customHeight="1">
      <c r="C110" s="1"/>
      <c r="D110" s="1"/>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row>
    <row r="111" spans="3:64" ht="21" customHeight="1">
      <c r="C111" s="1"/>
      <c r="D111" s="1"/>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row>
    <row r="112" spans="3:64" ht="21" customHeight="1">
      <c r="C112" s="1"/>
      <c r="D112" s="1"/>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row>
    <row r="113" spans="3:64" ht="21" customHeight="1">
      <c r="C113" s="1"/>
      <c r="D113" s="1"/>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row>
    <row r="114" spans="3:64" ht="21" customHeight="1">
      <c r="C114" s="1"/>
      <c r="D114" s="1"/>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row>
    <row r="115" spans="3:64" ht="21" customHeight="1">
      <c r="C115" s="1"/>
      <c r="D115" s="1"/>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row>
    <row r="116" spans="3:64" ht="21" customHeight="1">
      <c r="C116" s="1"/>
      <c r="D116" s="1"/>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row>
    <row r="117" spans="3:64" ht="21" customHeight="1">
      <c r="C117" s="1"/>
      <c r="D117" s="1"/>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row>
    <row r="118" spans="3:64" ht="21" customHeight="1">
      <c r="C118" s="1"/>
      <c r="D118" s="1"/>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row>
    <row r="119" spans="3:64" ht="21" customHeight="1">
      <c r="C119" s="1"/>
      <c r="D119" s="1"/>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row>
    <row r="120" spans="3:64" ht="21" customHeight="1">
      <c r="C120" s="1"/>
      <c r="D120" s="1"/>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row>
    <row r="121" spans="3:64" ht="21" customHeight="1">
      <c r="C121" s="1"/>
      <c r="D121" s="1"/>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row>
    <row r="122" spans="3:64" ht="21" customHeight="1">
      <c r="C122" s="1"/>
      <c r="D122" s="1"/>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row>
    <row r="123" spans="3:64" ht="21" customHeight="1">
      <c r="C123" s="1"/>
      <c r="D123" s="1"/>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row>
    <row r="124" spans="3:64" ht="21" customHeight="1">
      <c r="C124" s="1"/>
      <c r="D124" s="1"/>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row>
    <row r="125" spans="3:64" ht="21" customHeight="1">
      <c r="C125" s="1"/>
      <c r="D125" s="1"/>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row>
    <row r="126" spans="3:64" ht="21" customHeight="1">
      <c r="C126" s="1"/>
      <c r="D126" s="1"/>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row>
    <row r="127" spans="3:64" ht="21" customHeight="1">
      <c r="C127" s="1"/>
      <c r="D127" s="1"/>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row>
    <row r="128" spans="3:64" ht="21" customHeight="1">
      <c r="C128" s="1"/>
      <c r="D128" s="1"/>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row>
    <row r="129" spans="3:64" ht="21" customHeight="1">
      <c r="C129" s="1"/>
      <c r="D129" s="1"/>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row>
    <row r="130" spans="3:64" ht="21" customHeight="1">
      <c r="C130" s="1"/>
      <c r="D130" s="1"/>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row>
    <row r="131" spans="3:64" ht="21" customHeight="1">
      <c r="C131" s="1"/>
      <c r="D131" s="1"/>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row>
    <row r="132" spans="3:64" ht="21" customHeight="1">
      <c r="C132" s="1"/>
      <c r="D132" s="1"/>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row>
    <row r="133" spans="3:64" ht="21" customHeight="1">
      <c r="C133" s="1"/>
      <c r="D133" s="1"/>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row>
    <row r="134" spans="3:64" ht="21" customHeight="1">
      <c r="C134" s="1"/>
      <c r="D134" s="1"/>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row>
    <row r="135" spans="3:64" ht="21" customHeight="1">
      <c r="C135" s="1"/>
      <c r="D135" s="1"/>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row>
    <row r="136" spans="3:64" ht="21" customHeight="1">
      <c r="C136" s="1"/>
      <c r="D136" s="1"/>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row>
    <row r="137" spans="3:64" ht="21" customHeight="1">
      <c r="C137" s="1"/>
      <c r="D137" s="1"/>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row>
    <row r="138" spans="3:64" ht="21" customHeight="1">
      <c r="C138" s="1"/>
      <c r="D138" s="1"/>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row>
    <row r="139" spans="3:64" ht="21" customHeight="1">
      <c r="C139" s="1"/>
      <c r="D139" s="1"/>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row>
    <row r="140" spans="3:64" ht="21" customHeight="1">
      <c r="C140" s="1"/>
      <c r="D140" s="1"/>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row>
    <row r="141" spans="3:64" ht="21" customHeight="1">
      <c r="C141" s="1"/>
      <c r="D141" s="1"/>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row>
    <row r="142" spans="3:64" ht="21" customHeight="1">
      <c r="C142" s="1"/>
      <c r="D142" s="1"/>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row>
    <row r="143" spans="3:64" ht="21" customHeight="1">
      <c r="C143" s="1"/>
      <c r="D143" s="1"/>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row>
    <row r="144" spans="3:64" ht="21" customHeight="1">
      <c r="C144" s="1"/>
      <c r="D144" s="1"/>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row>
    <row r="145" spans="3:64" ht="21" customHeight="1">
      <c r="C145" s="1"/>
      <c r="D145" s="1"/>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row>
    <row r="146" spans="3:64" ht="21" customHeight="1">
      <c r="C146" s="1"/>
      <c r="D146" s="1"/>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row>
    <row r="147" spans="3:64" ht="21" customHeight="1">
      <c r="C147" s="1"/>
      <c r="D147" s="1"/>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row>
    <row r="148" spans="3:64" ht="21" customHeight="1">
      <c r="C148" s="1"/>
      <c r="D148" s="1"/>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row>
    <row r="149" spans="3:64" ht="21" customHeight="1">
      <c r="C149" s="1"/>
      <c r="D149" s="1"/>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row>
    <row r="150" spans="3:64" ht="21" customHeight="1">
      <c r="C150" s="1"/>
      <c r="D150" s="1"/>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row>
    <row r="151" spans="3:64" ht="21" customHeight="1">
      <c r="C151" s="1"/>
      <c r="D151" s="1"/>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row>
    <row r="152" spans="3:64" ht="21" customHeight="1">
      <c r="C152" s="1"/>
      <c r="D152" s="1"/>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row>
    <row r="153" spans="3:64" ht="21" customHeight="1">
      <c r="C153" s="1"/>
      <c r="D153" s="1"/>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row>
    <row r="154" spans="3:64" ht="21" customHeight="1">
      <c r="C154" s="1"/>
      <c r="D154" s="1"/>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row>
    <row r="155" spans="3:64" ht="21" customHeight="1">
      <c r="C155" s="1"/>
      <c r="D155" s="1"/>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row>
    <row r="156" spans="3:64" ht="21" customHeight="1">
      <c r="C156" s="1"/>
      <c r="D156" s="1"/>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row>
    <row r="157" spans="3:64" ht="21" customHeight="1">
      <c r="C157" s="1"/>
      <c r="D157" s="1"/>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row>
    <row r="158" spans="3:64" ht="21" customHeight="1">
      <c r="C158" s="1"/>
      <c r="D158" s="1"/>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row>
    <row r="159" spans="3:64" ht="21" customHeight="1">
      <c r="C159" s="1"/>
      <c r="D159" s="1"/>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row>
    <row r="160" spans="3:64" ht="21" customHeight="1">
      <c r="C160" s="1"/>
      <c r="D160" s="1"/>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row>
  </sheetData>
  <mergeCells count="2">
    <mergeCell ref="C3:I3"/>
    <mergeCell ref="C17:I1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51D2D"/>
  </sheetPr>
  <dimension ref="C1:BL160"/>
  <sheetViews>
    <sheetView showGridLines="0" workbookViewId="0">
      <pane xSplit="4" ySplit="7" topLeftCell="E8" activePane="bottomRight" state="frozen"/>
      <selection pane="topRight"/>
      <selection pane="bottomLeft"/>
      <selection pane="bottomRight" activeCell="E8" sqref="E8"/>
    </sheetView>
  </sheetViews>
  <sheetFormatPr baseColWidth="10" defaultColWidth="8.83203125" defaultRowHeight="14"/>
  <cols>
    <col min="1" max="2" width="2" customWidth="1"/>
    <col min="3" max="3" width="52" customWidth="1"/>
    <col min="4" max="4" width="3" customWidth="1"/>
    <col min="5" max="64" width="15" customWidth="1"/>
  </cols>
  <sheetData>
    <row r="1" spans="3:64" ht="21" customHeight="1">
      <c r="C1" s="1"/>
      <c r="D1" s="1"/>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row>
    <row r="2" spans="3:64" ht="21" customHeight="1">
      <c r="C2" s="57" t="s">
        <v>883</v>
      </c>
      <c r="D2" s="1"/>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row>
    <row r="3" spans="3:64" ht="36" customHeight="1">
      <c r="C3" s="117" t="s">
        <v>828</v>
      </c>
      <c r="D3" s="117"/>
      <c r="E3" s="118"/>
      <c r="F3" s="118"/>
      <c r="G3" s="118"/>
      <c r="H3" s="118"/>
      <c r="I3" s="118"/>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row>
    <row r="4" spans="3:64" ht="21" customHeight="1">
      <c r="C4" s="1"/>
      <c r="D4" s="1"/>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row>
    <row r="5" spans="3:64" ht="21" customHeight="1">
      <c r="C5" s="1"/>
      <c r="D5" s="1"/>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row>
    <row r="6" spans="3:64" ht="21" customHeight="1">
      <c r="C6" s="1"/>
      <c r="D6" s="1"/>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row>
    <row r="7" spans="3:64" ht="26" customHeight="1">
      <c r="C7" s="60" t="s">
        <v>884</v>
      </c>
      <c r="D7" s="60"/>
      <c r="E7" s="61"/>
      <c r="F7" s="61"/>
      <c r="G7" s="61"/>
      <c r="H7" s="61"/>
      <c r="I7" s="61"/>
      <c r="J7" s="61"/>
      <c r="K7" s="61"/>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row>
    <row r="8" spans="3:64" ht="28" customHeight="1">
      <c r="C8" s="1" t="s">
        <v>885</v>
      </c>
      <c r="D8" s="1"/>
      <c r="E8" s="63">
        <v>46295</v>
      </c>
      <c r="F8" s="2"/>
      <c r="G8" s="116" t="s">
        <v>886</v>
      </c>
      <c r="H8" s="116"/>
      <c r="I8" s="116"/>
      <c r="J8" s="116"/>
      <c r="K8" s="116"/>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row>
    <row r="9" spans="3:64" ht="28" customHeight="1">
      <c r="C9" s="1" t="s">
        <v>887</v>
      </c>
      <c r="D9" s="1"/>
      <c r="E9" s="65">
        <v>1.3285</v>
      </c>
      <c r="F9" s="2"/>
      <c r="G9" s="116" t="s">
        <v>888</v>
      </c>
      <c r="H9" s="116"/>
      <c r="I9" s="116"/>
      <c r="J9" s="116"/>
      <c r="K9" s="116"/>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row>
    <row r="10" spans="3:64" ht="28" customHeight="1">
      <c r="C10" s="1" t="s">
        <v>889</v>
      </c>
      <c r="D10" s="1"/>
      <c r="E10" s="62">
        <v>20.95</v>
      </c>
      <c r="F10" s="2"/>
      <c r="G10" s="116" t="s">
        <v>890</v>
      </c>
      <c r="H10" s="116"/>
      <c r="I10" s="116"/>
      <c r="J10" s="116"/>
      <c r="K10" s="116"/>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row>
    <row r="11" spans="3:64" ht="28" customHeight="1">
      <c r="C11" s="1" t="s">
        <v>891</v>
      </c>
      <c r="D11" s="1"/>
      <c r="E11" s="64">
        <v>5.4028E-2</v>
      </c>
      <c r="F11" s="2"/>
      <c r="G11" s="116" t="s">
        <v>892</v>
      </c>
      <c r="H11" s="116"/>
      <c r="I11" s="116"/>
      <c r="J11" s="116"/>
      <c r="K11" s="116"/>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row>
    <row r="12" spans="3:64" ht="28" customHeight="1">
      <c r="C12" s="1" t="s">
        <v>893</v>
      </c>
      <c r="D12" s="1"/>
      <c r="E12" s="64">
        <v>0.05</v>
      </c>
      <c r="F12" s="2"/>
      <c r="G12" s="116" t="s">
        <v>894</v>
      </c>
      <c r="H12" s="116"/>
      <c r="I12" s="116"/>
      <c r="J12" s="116"/>
      <c r="K12" s="116"/>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row>
    <row r="13" spans="3:64" ht="28" customHeight="1">
      <c r="C13" s="1" t="s">
        <v>895</v>
      </c>
      <c r="D13" s="1"/>
      <c r="E13" s="5">
        <f>CHOOSE(Assumptions!E5,1.15,1.35,1)</f>
        <v>1.1499999999999999</v>
      </c>
      <c r="F13" s="2"/>
      <c r="G13" s="116" t="s">
        <v>896</v>
      </c>
      <c r="H13" s="116"/>
      <c r="I13" s="116"/>
      <c r="J13" s="116"/>
      <c r="K13" s="116"/>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row>
    <row r="14" spans="3:64" ht="28" customHeight="1">
      <c r="C14" s="1" t="s">
        <v>897</v>
      </c>
      <c r="D14" s="1"/>
      <c r="E14" s="77">
        <f>CHOOSE(Assumptions!E5,0.075,0.09,0.065)</f>
        <v>7.4999999999999997E-2</v>
      </c>
      <c r="F14" s="2"/>
      <c r="G14" s="116" t="s">
        <v>898</v>
      </c>
      <c r="H14" s="116"/>
      <c r="I14" s="116"/>
      <c r="J14" s="116"/>
      <c r="K14" s="116"/>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row>
    <row r="15" spans="3:64" ht="28" customHeight="1">
      <c r="C15" s="1" t="s">
        <v>899</v>
      </c>
      <c r="D15" s="1"/>
      <c r="E15" s="64">
        <v>0.2</v>
      </c>
      <c r="F15" s="2"/>
      <c r="G15" s="116" t="s">
        <v>900</v>
      </c>
      <c r="H15" s="116"/>
      <c r="I15" s="116"/>
      <c r="J15" s="116"/>
      <c r="K15" s="116"/>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row>
    <row r="16" spans="3:64" ht="28" customHeight="1">
      <c r="C16" s="1" t="s">
        <v>901</v>
      </c>
      <c r="D16" s="1"/>
      <c r="E16" s="64">
        <v>0.25</v>
      </c>
      <c r="F16" s="2"/>
      <c r="G16" s="116" t="s">
        <v>902</v>
      </c>
      <c r="H16" s="116"/>
      <c r="I16" s="116"/>
      <c r="J16" s="116"/>
      <c r="K16" s="116"/>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row>
    <row r="17" spans="3:64" ht="28" customHeight="1">
      <c r="C17" s="1" t="s">
        <v>903</v>
      </c>
      <c r="D17" s="1"/>
      <c r="E17" s="76">
        <f>E11+E12*E13</f>
        <v>0.11152799999999999</v>
      </c>
      <c r="F17" s="2"/>
      <c r="G17" s="116" t="s">
        <v>904</v>
      </c>
      <c r="H17" s="116"/>
      <c r="I17" s="116"/>
      <c r="J17" s="116"/>
      <c r="K17" s="116"/>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row>
    <row r="18" spans="3:64" ht="28" customHeight="1">
      <c r="C18" s="1" t="s">
        <v>905</v>
      </c>
      <c r="D18" s="1"/>
      <c r="E18" s="76">
        <f>E17*(1-E15)+E14*(1-E16)*E15</f>
        <v>0.10047239999999999</v>
      </c>
      <c r="F18" s="2"/>
      <c r="G18" s="116" t="s">
        <v>906</v>
      </c>
      <c r="H18" s="116"/>
      <c r="I18" s="116"/>
      <c r="J18" s="116"/>
      <c r="K18" s="116"/>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row>
    <row r="19" spans="3:64" ht="28" customHeight="1">
      <c r="C19" s="1" t="s">
        <v>907</v>
      </c>
      <c r="D19" s="1"/>
      <c r="E19" s="64">
        <v>-1</v>
      </c>
      <c r="F19" s="2"/>
      <c r="G19" s="116" t="s">
        <v>908</v>
      </c>
      <c r="H19" s="116"/>
      <c r="I19" s="116"/>
      <c r="J19" s="116"/>
      <c r="K19" s="116"/>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row>
    <row r="20" spans="3:64" ht="28" customHeight="1">
      <c r="C20" s="81" t="s">
        <v>41</v>
      </c>
      <c r="D20" s="81"/>
      <c r="E20" s="85">
        <f>IF(E19&lt;0,E18,E19)</f>
        <v>0.10047239999999999</v>
      </c>
      <c r="F20" s="83"/>
      <c r="G20" s="116" t="s">
        <v>909</v>
      </c>
      <c r="H20" s="116"/>
      <c r="I20" s="116"/>
      <c r="J20" s="116"/>
      <c r="K20" s="116"/>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row>
    <row r="21" spans="3:64" ht="28" customHeight="1">
      <c r="C21" s="1" t="s">
        <v>910</v>
      </c>
      <c r="D21" s="1"/>
      <c r="E21" s="64">
        <v>0.02</v>
      </c>
      <c r="F21" s="2"/>
      <c r="G21" s="116" t="s">
        <v>911</v>
      </c>
      <c r="H21" s="116"/>
      <c r="I21" s="116"/>
      <c r="J21" s="116"/>
      <c r="K21" s="116"/>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row>
    <row r="22" spans="3:64" ht="28" customHeight="1">
      <c r="C22" s="1" t="s">
        <v>912</v>
      </c>
      <c r="D22" s="1"/>
      <c r="E22" s="64">
        <v>0</v>
      </c>
      <c r="F22" s="2"/>
      <c r="G22" s="116" t="s">
        <v>913</v>
      </c>
      <c r="H22" s="116"/>
      <c r="I22" s="116"/>
      <c r="J22" s="116"/>
      <c r="K22" s="116"/>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row>
    <row r="23" spans="3:64" ht="28" customHeight="1">
      <c r="C23" s="1" t="s">
        <v>914</v>
      </c>
      <c r="D23" s="1"/>
      <c r="E23" s="62">
        <v>-1</v>
      </c>
      <c r="F23" s="2"/>
      <c r="G23" s="116" t="s">
        <v>915</v>
      </c>
      <c r="H23" s="116"/>
      <c r="I23" s="116"/>
      <c r="J23" s="116"/>
      <c r="K23" s="116"/>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row>
    <row r="24" spans="3:64" ht="28" customHeight="1">
      <c r="C24" s="1" t="s">
        <v>916</v>
      </c>
      <c r="D24" s="1"/>
      <c r="E24" s="5">
        <f>IF(E23&lt;0,CHOOSE(Assumptions!E5,150,175,150),E23)</f>
        <v>150</v>
      </c>
      <c r="F24" s="2"/>
      <c r="G24" s="116" t="s">
        <v>917</v>
      </c>
      <c r="H24" s="116"/>
      <c r="I24" s="116"/>
      <c r="J24" s="116"/>
      <c r="K24" s="116"/>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row>
    <row r="25" spans="3:64" ht="28" customHeight="1">
      <c r="C25" s="1" t="s">
        <v>918</v>
      </c>
      <c r="D25" s="1"/>
      <c r="E25" s="5">
        <f>Assumptions!I73</f>
        <v>50</v>
      </c>
      <c r="F25" s="2"/>
      <c r="G25" s="116" t="s">
        <v>919</v>
      </c>
      <c r="H25" s="116"/>
      <c r="I25" s="116"/>
      <c r="J25" s="116"/>
      <c r="K25" s="116"/>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row>
    <row r="26" spans="3:64" ht="28" customHeight="1">
      <c r="C26" s="1" t="s">
        <v>920</v>
      </c>
      <c r="D26" s="1"/>
      <c r="E26" s="77">
        <f>Assumptions!I78</f>
        <v>0.3</v>
      </c>
      <c r="F26" s="2"/>
      <c r="G26" s="116" t="s">
        <v>921</v>
      </c>
      <c r="H26" s="116"/>
      <c r="I26" s="116"/>
      <c r="J26" s="116"/>
      <c r="K26" s="116"/>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row>
    <row r="27" spans="3:64" ht="28" customHeight="1">
      <c r="C27" s="1" t="s">
        <v>922</v>
      </c>
      <c r="D27" s="1"/>
      <c r="E27" s="64">
        <v>3.5000000000000003E-2</v>
      </c>
      <c r="F27" s="2"/>
      <c r="G27" s="116" t="s">
        <v>923</v>
      </c>
      <c r="H27" s="116"/>
      <c r="I27" s="116"/>
      <c r="J27" s="116"/>
      <c r="K27" s="116"/>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row>
    <row r="28" spans="3:64" ht="28" customHeight="1">
      <c r="C28" s="1" t="s">
        <v>924</v>
      </c>
      <c r="D28" s="1"/>
      <c r="E28" s="64">
        <v>0.05</v>
      </c>
      <c r="F28" s="2"/>
      <c r="G28" s="116" t="s">
        <v>925</v>
      </c>
      <c r="H28" s="116"/>
      <c r="I28" s="116"/>
      <c r="J28" s="116"/>
      <c r="K28" s="116"/>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row>
    <row r="29" spans="3:64" ht="28" customHeight="1">
      <c r="C29" s="1" t="s">
        <v>926</v>
      </c>
      <c r="D29" s="1"/>
      <c r="E29" s="5">
        <f>Statements!I39</f>
        <v>115.84210871959392</v>
      </c>
      <c r="F29" s="2"/>
      <c r="G29" s="116" t="s">
        <v>927</v>
      </c>
      <c r="H29" s="116"/>
      <c r="I29" s="116"/>
      <c r="J29" s="116"/>
      <c r="K29" s="116"/>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row>
    <row r="30" spans="3:64" ht="28" customHeight="1">
      <c r="C30" s="1" t="s">
        <v>928</v>
      </c>
      <c r="D30" s="1"/>
      <c r="E30" s="62">
        <v>1.2</v>
      </c>
      <c r="F30" s="2"/>
      <c r="G30" s="116" t="s">
        <v>929</v>
      </c>
      <c r="H30" s="116"/>
      <c r="I30" s="116"/>
      <c r="J30" s="116"/>
      <c r="K30" s="116"/>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row>
    <row r="31" spans="3:64" ht="28" customHeight="1">
      <c r="C31" s="1" t="s">
        <v>930</v>
      </c>
      <c r="D31" s="1"/>
      <c r="E31" s="62">
        <v>0</v>
      </c>
      <c r="F31" s="2"/>
      <c r="G31" s="116" t="s">
        <v>931</v>
      </c>
      <c r="H31" s="116"/>
      <c r="I31" s="116"/>
      <c r="J31" s="116"/>
      <c r="K31" s="116"/>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row>
    <row r="32" spans="3:64" ht="28" customHeight="1">
      <c r="C32" s="1" t="s">
        <v>932</v>
      </c>
      <c r="D32" s="1"/>
      <c r="E32" s="66">
        <v>56.143219999999999</v>
      </c>
      <c r="F32" s="2"/>
      <c r="G32" s="116" t="s">
        <v>933</v>
      </c>
      <c r="H32" s="116"/>
      <c r="I32" s="116"/>
      <c r="J32" s="116"/>
      <c r="K32" s="116"/>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row>
    <row r="33" spans="3:64" ht="28" customHeight="1">
      <c r="C33" s="1" t="s">
        <v>934</v>
      </c>
      <c r="D33" s="1"/>
      <c r="E33" s="66">
        <v>116.348173</v>
      </c>
      <c r="F33" s="2"/>
      <c r="G33" s="116" t="s">
        <v>933</v>
      </c>
      <c r="H33" s="116"/>
      <c r="I33" s="116"/>
      <c r="J33" s="116"/>
      <c r="K33" s="116"/>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row>
    <row r="34" spans="3:64" ht="28" customHeight="1">
      <c r="C34" s="1" t="s">
        <v>935</v>
      </c>
      <c r="D34" s="1"/>
      <c r="E34" s="66">
        <v>0.21135399999999999</v>
      </c>
      <c r="F34" s="2"/>
      <c r="G34" s="116" t="s">
        <v>936</v>
      </c>
      <c r="H34" s="116"/>
      <c r="I34" s="116"/>
      <c r="J34" s="116"/>
      <c r="K34" s="116"/>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row>
    <row r="35" spans="3:64" ht="28" customHeight="1">
      <c r="C35" s="81" t="s">
        <v>937</v>
      </c>
      <c r="D35" s="81"/>
      <c r="E35" s="86">
        <f>SUM(E32:E34)</f>
        <v>172.70274700000002</v>
      </c>
      <c r="F35" s="83"/>
      <c r="G35" s="116" t="s">
        <v>938</v>
      </c>
      <c r="H35" s="116"/>
      <c r="I35" s="116"/>
      <c r="J35" s="116"/>
      <c r="K35" s="116"/>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row>
    <row r="36" spans="3:64" ht="21" customHeight="1">
      <c r="C36" s="1"/>
      <c r="D36" s="1"/>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row>
    <row r="37" spans="3:64" ht="21" customHeight="1">
      <c r="C37" s="1"/>
      <c r="D37" s="1"/>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row>
    <row r="38" spans="3:64" ht="25" customHeight="1">
      <c r="C38" s="60" t="s">
        <v>939</v>
      </c>
      <c r="D38" s="60"/>
      <c r="E38" s="61"/>
      <c r="F38" s="61"/>
      <c r="G38" s="61"/>
      <c r="H38" s="61"/>
      <c r="I38" s="61"/>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row>
    <row r="39" spans="3:64" ht="21" customHeight="1">
      <c r="C39" s="1" t="s">
        <v>940</v>
      </c>
      <c r="D39" s="1"/>
      <c r="E39" s="5">
        <f>SUM(FCFF!E44:BL44)</f>
        <v>135.97857244170601</v>
      </c>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row>
    <row r="40" spans="3:64" ht="21" customHeight="1">
      <c r="C40" s="1" t="s">
        <v>941</v>
      </c>
      <c r="D40" s="1"/>
      <c r="E40" s="5">
        <f>Statements!I8*(1+E21)</f>
        <v>773.07979077000005</v>
      </c>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row>
    <row r="41" spans="3:64" ht="21" customHeight="1">
      <c r="C41" s="1" t="s">
        <v>942</v>
      </c>
      <c r="D41" s="1"/>
      <c r="E41" s="77">
        <f>Statements!I11/Statements!I8+E22</f>
        <v>0.24125236034463599</v>
      </c>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row>
    <row r="42" spans="3:64" ht="21" customHeight="1">
      <c r="C42" s="1" t="s">
        <v>943</v>
      </c>
      <c r="D42" s="1"/>
      <c r="E42" s="16">
        <f>E40*E41</f>
        <v>186.50732425799984</v>
      </c>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row>
    <row r="43" spans="3:64" ht="21" customHeight="1">
      <c r="C43" s="1" t="s">
        <v>944</v>
      </c>
      <c r="D43" s="1"/>
      <c r="E43" s="16">
        <f>E24*(1+E21)</f>
        <v>153</v>
      </c>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row>
    <row r="44" spans="3:64" ht="21" customHeight="1">
      <c r="C44" s="1" t="s">
        <v>945</v>
      </c>
      <c r="D44" s="1"/>
      <c r="E44" s="5">
        <f>E29</f>
        <v>115.84210871959392</v>
      </c>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row>
    <row r="45" spans="3:64" ht="21" customHeight="1">
      <c r="C45" s="1" t="s">
        <v>946</v>
      </c>
      <c r="D45" s="1"/>
      <c r="E45" s="16">
        <f>MAX(0,E21)*E44</f>
        <v>2.3168421743918786</v>
      </c>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row>
    <row r="46" spans="3:64" ht="21" customHeight="1">
      <c r="C46" s="1" t="s">
        <v>947</v>
      </c>
      <c r="D46" s="1"/>
      <c r="E46" s="16">
        <f>E43+E45</f>
        <v>155.31684217439187</v>
      </c>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row>
    <row r="47" spans="3:64" ht="21" customHeight="1">
      <c r="C47" s="1" t="s">
        <v>948</v>
      </c>
      <c r="D47" s="1"/>
      <c r="E47" s="16">
        <f>E25*(1+E21)</f>
        <v>51</v>
      </c>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row>
    <row r="48" spans="3:64" ht="21" customHeight="1">
      <c r="C48" s="1" t="s">
        <v>949</v>
      </c>
      <c r="D48" s="1"/>
      <c r="E48" s="16">
        <f>E47*E26</f>
        <v>15.299999999999999</v>
      </c>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row>
    <row r="49" spans="3:64" ht="21" customHeight="1">
      <c r="C49" s="1" t="s">
        <v>950</v>
      </c>
      <c r="D49" s="1"/>
      <c r="E49" s="16">
        <f>MAX(0,E43-E48)</f>
        <v>137.69999999999999</v>
      </c>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row>
    <row r="50" spans="3:64" ht="21" customHeight="1">
      <c r="C50" s="1" t="s">
        <v>951</v>
      </c>
      <c r="D50" s="1"/>
      <c r="E50" s="5">
        <f>SUM(Statements!I13:I14)*(1+E21)</f>
        <v>25.907999999999994</v>
      </c>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row>
    <row r="51" spans="3:64" ht="21" customHeight="1">
      <c r="C51" s="1" t="s">
        <v>952</v>
      </c>
      <c r="D51" s="1"/>
      <c r="E51" s="16">
        <f>E47-E48</f>
        <v>35.700000000000003</v>
      </c>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row>
    <row r="52" spans="3:64" ht="21" customHeight="1">
      <c r="C52" s="1" t="s">
        <v>953</v>
      </c>
      <c r="D52" s="1"/>
      <c r="E52" s="16">
        <f>E42-E49-E50+E51</f>
        <v>58.599324257999861</v>
      </c>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row>
    <row r="53" spans="3:64" ht="21" customHeight="1">
      <c r="C53" s="1" t="s">
        <v>954</v>
      </c>
      <c r="D53" s="1"/>
      <c r="E53" s="16">
        <f>MAX(0,E52)*E16</f>
        <v>14.649831064499965</v>
      </c>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row>
    <row r="54" spans="3:64" ht="21" customHeight="1">
      <c r="C54" s="1" t="s">
        <v>955</v>
      </c>
      <c r="D54" s="1"/>
      <c r="E54" s="16">
        <f>MAX(E50,E40*E27)</f>
        <v>27.057792676950005</v>
      </c>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row>
    <row r="55" spans="3:64" ht="21" customHeight="1">
      <c r="C55" s="1" t="s">
        <v>956</v>
      </c>
      <c r="D55" s="1"/>
      <c r="E55" s="5">
        <f>MAX(0,E40-Statements!I8)*E28</f>
        <v>0.75792136350000305</v>
      </c>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row>
    <row r="56" spans="3:64" ht="21" customHeight="1">
      <c r="C56" s="1" t="s">
        <v>957</v>
      </c>
      <c r="D56" s="1"/>
      <c r="E56" s="16">
        <f>E30*(1+E21)</f>
        <v>1.224</v>
      </c>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row>
    <row r="57" spans="3:64" ht="21" customHeight="1">
      <c r="C57" s="81" t="s">
        <v>42</v>
      </c>
      <c r="D57" s="81"/>
      <c r="E57" s="84">
        <f>E42-E53-E54-E46+E47-E55-E56</f>
        <v>38.500936978657982</v>
      </c>
      <c r="F57" s="83"/>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row>
    <row r="58" spans="3:64" ht="21" customHeight="1">
      <c r="C58" s="1" t="s">
        <v>958</v>
      </c>
      <c r="D58" s="1"/>
      <c r="E58" s="16">
        <f>IF(E20&gt;E21,E57/(E20-E21),0)</f>
        <v>478.43654443831662</v>
      </c>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row>
    <row r="59" spans="3:64" ht="21" customHeight="1">
      <c r="C59" s="1" t="s">
        <v>959</v>
      </c>
      <c r="D59" s="1"/>
      <c r="E59" s="5">
        <f>Transfers!BL32-Transfers!BL36</f>
        <v>24.103108995913722</v>
      </c>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row>
    <row r="60" spans="3:64" ht="21" customHeight="1">
      <c r="C60" s="1" t="s">
        <v>960</v>
      </c>
      <c r="D60" s="1"/>
      <c r="E60" s="16">
        <f>E58-E59</f>
        <v>454.3334354424029</v>
      </c>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row>
    <row r="61" spans="3:64" ht="21" customHeight="1">
      <c r="C61" s="1" t="s">
        <v>961</v>
      </c>
      <c r="D61" s="1"/>
      <c r="E61" s="16">
        <f>1/(1+E20)^(57/12)</f>
        <v>0.63459846082420346</v>
      </c>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row>
    <row r="62" spans="3:64" ht="21" customHeight="1">
      <c r="C62" s="1" t="s">
        <v>962</v>
      </c>
      <c r="D62" s="1"/>
      <c r="E62" s="16">
        <f>E60*E61</f>
        <v>288.31929883272147</v>
      </c>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row>
    <row r="63" spans="3:64" ht="21" customHeight="1">
      <c r="C63" s="81" t="s">
        <v>37</v>
      </c>
      <c r="D63" s="81"/>
      <c r="E63" s="84">
        <f>E39+E62</f>
        <v>424.29787127442751</v>
      </c>
      <c r="F63" s="83"/>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row>
    <row r="64" spans="3:64" ht="21" customHeight="1">
      <c r="C64" s="1"/>
      <c r="D64" s="1"/>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row>
    <row r="65" spans="3:64" ht="21" customHeight="1">
      <c r="C65" s="1" t="s">
        <v>963</v>
      </c>
      <c r="D65" s="1"/>
      <c r="E65" s="5">
        <f>775/E9+'Debt cash'!G32</f>
        <v>783.36469702672184</v>
      </c>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row>
    <row r="66" spans="3:64" ht="21" customHeight="1">
      <c r="C66" s="1" t="s">
        <v>964</v>
      </c>
      <c r="D66" s="1"/>
      <c r="E66" s="5">
        <f>'Debt cash'!G41</f>
        <v>2.9699999999999998</v>
      </c>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row>
    <row r="67" spans="3:64" ht="21" customHeight="1">
      <c r="C67" s="1" t="s">
        <v>965</v>
      </c>
      <c r="D67" s="1"/>
      <c r="E67" s="5">
        <f>E31+'Debt cash'!G50*Assumptions!E208/E9</f>
        <v>5.5476100865637941</v>
      </c>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row>
    <row r="68" spans="3:64" ht="21" customHeight="1">
      <c r="C68" s="1" t="s">
        <v>966</v>
      </c>
      <c r="D68" s="1"/>
      <c r="E68" s="5">
        <f>'Debt cash'!G33</f>
        <v>146.74129522627058</v>
      </c>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row>
    <row r="69" spans="3:64" ht="21" customHeight="1">
      <c r="C69" s="1" t="s">
        <v>967</v>
      </c>
      <c r="D69" s="1"/>
      <c r="E69" s="16">
        <f>0</f>
        <v>0</v>
      </c>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row>
    <row r="70" spans="3:64" ht="21" customHeight="1">
      <c r="C70" s="81" t="s">
        <v>968</v>
      </c>
      <c r="D70" s="81"/>
      <c r="E70" s="84">
        <f>E63-E65-E66-E67+E68-E69</f>
        <v>-220.84314061258758</v>
      </c>
      <c r="F70" s="83"/>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row>
    <row r="71" spans="3:64" ht="21" customHeight="1">
      <c r="C71" s="81" t="s">
        <v>969</v>
      </c>
      <c r="D71" s="81"/>
      <c r="E71" s="84">
        <f>MAX(0,E70)</f>
        <v>0</v>
      </c>
      <c r="F71" s="83"/>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row>
    <row r="72" spans="3:64" ht="21" customHeight="1">
      <c r="C72" s="81" t="s">
        <v>970</v>
      </c>
      <c r="D72" s="81"/>
      <c r="E72" s="87">
        <f>E71/E35*E9</f>
        <v>0</v>
      </c>
      <c r="F72" s="83"/>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row>
    <row r="73" spans="3:64" ht="21" customHeight="1">
      <c r="C73" s="1" t="s">
        <v>971</v>
      </c>
      <c r="D73" s="1"/>
      <c r="E73" s="16">
        <f>E10*(E32+E33)/E9</f>
        <v>2720.1314891607076</v>
      </c>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row>
    <row r="74" spans="3:64" ht="21" customHeight="1">
      <c r="C74" s="1" t="s">
        <v>972</v>
      </c>
      <c r="D74" s="1"/>
      <c r="E74" s="5">
        <f>E73+E65+E66+E67-E68</f>
        <v>3365.2725010477225</v>
      </c>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row>
    <row r="75" spans="3:64" ht="21" customHeight="1">
      <c r="C75" s="1" t="s">
        <v>973</v>
      </c>
      <c r="D75" s="1"/>
      <c r="E75" s="76">
        <f>E72/E10-1</f>
        <v>-1</v>
      </c>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row>
    <row r="76" spans="3:64" ht="21" customHeight="1">
      <c r="C76" s="1" t="s">
        <v>974</v>
      </c>
      <c r="D76" s="1"/>
      <c r="E76" s="76">
        <f>IF(E63&gt;0,E62/E63,0)</f>
        <v>0.67952096475695545</v>
      </c>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row>
    <row r="77" spans="3:64" ht="46" customHeight="1">
      <c r="C77" s="1" t="s">
        <v>975</v>
      </c>
      <c r="D77" s="1"/>
      <c r="E77" s="119" t="str">
        <f>IF(E20&lt;=E21,"INVALID: WACC must exceed growth",IF(E57&lt;=0,"Unsustainable terminal cash flow",IF(E70&lt;=0,"No positive DCF residual equity","Positive DCF residual equity")))</f>
        <v>No positive DCF residual equity</v>
      </c>
      <c r="F77" s="116"/>
      <c r="G77" s="116"/>
      <c r="H77" s="116"/>
      <c r="I77" s="116"/>
      <c r="J77" s="116"/>
      <c r="K77" s="116"/>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row>
    <row r="78" spans="3:64" ht="46" customHeight="1">
      <c r="C78" s="1" t="s">
        <v>976</v>
      </c>
      <c r="D78" s="1"/>
      <c r="E78" s="120" t="str">
        <f>IF(Overview!E22&lt;0,IF(Capacity!E8=0,"Unmet funding with contractual repayments","Rollover assumed; funding still fails"),IF(Capacity!E8=0,"Contractual repayments covered in this scenario","Conditional on uncommitted refinancing"))</f>
        <v>Conditional on uncommitted refinancing</v>
      </c>
      <c r="F78" s="116"/>
      <c r="G78" s="116"/>
      <c r="H78" s="116"/>
      <c r="I78" s="116"/>
      <c r="J78" s="116"/>
      <c r="K78" s="116"/>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row>
    <row r="79" spans="3:64" ht="21" customHeight="1">
      <c r="C79" s="1" t="s">
        <v>977</v>
      </c>
      <c r="D79" s="1"/>
      <c r="E79" s="78">
        <f>E73/Historical!G16</f>
        <v>4.0140714280707384</v>
      </c>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row>
    <row r="80" spans="3:64" ht="21" customHeight="1">
      <c r="C80" s="1" t="s">
        <v>978</v>
      </c>
      <c r="D80" s="1"/>
      <c r="E80" s="78">
        <f>E74/Historical!G16</f>
        <v>4.9660997080313294</v>
      </c>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row>
    <row r="81" spans="3:64" ht="21" customHeight="1">
      <c r="C81" s="1" t="s">
        <v>979</v>
      </c>
      <c r="D81" s="1"/>
      <c r="E81" s="78">
        <f>E74/Historical!G25</f>
        <v>15.55066380037486</v>
      </c>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row>
    <row r="82" spans="3:64" ht="21" customHeight="1">
      <c r="C82" s="1"/>
      <c r="D82" s="1"/>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row>
    <row r="83" spans="3:64" ht="36" customHeight="1">
      <c r="C83" s="117" t="s">
        <v>980</v>
      </c>
      <c r="D83" s="117"/>
      <c r="E83" s="118"/>
      <c r="F83" s="118"/>
      <c r="G83" s="118"/>
      <c r="H83" s="118"/>
      <c r="I83" s="118"/>
      <c r="J83" s="118"/>
      <c r="K83" s="118"/>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row>
    <row r="84" spans="3:64" ht="36" customHeight="1">
      <c r="C84" s="117" t="s">
        <v>981</v>
      </c>
      <c r="D84" s="117"/>
      <c r="E84" s="118"/>
      <c r="F84" s="118"/>
      <c r="G84" s="118"/>
      <c r="H84" s="118"/>
      <c r="I84" s="118"/>
      <c r="J84" s="118"/>
      <c r="K84" s="118"/>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row>
    <row r="85" spans="3:64" ht="36" customHeight="1">
      <c r="C85" s="117" t="s">
        <v>982</v>
      </c>
      <c r="D85" s="117"/>
      <c r="E85" s="118"/>
      <c r="F85" s="118"/>
      <c r="G85" s="118"/>
      <c r="H85" s="118"/>
      <c r="I85" s="118"/>
      <c r="J85" s="118"/>
      <c r="K85" s="118"/>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row>
    <row r="86" spans="3:64" ht="36" customHeight="1">
      <c r="C86" s="117" t="s">
        <v>983</v>
      </c>
      <c r="D86" s="117"/>
      <c r="E86" s="118"/>
      <c r="F86" s="118"/>
      <c r="G86" s="118"/>
      <c r="H86" s="118"/>
      <c r="I86" s="118"/>
      <c r="J86" s="118"/>
      <c r="K86" s="118"/>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row>
    <row r="87" spans="3:64" ht="21" customHeight="1">
      <c r="C87" s="1"/>
      <c r="D87" s="1"/>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row>
    <row r="88" spans="3:64" ht="21" customHeight="1">
      <c r="C88" s="1"/>
      <c r="D88" s="1"/>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row>
    <row r="89" spans="3:64" ht="25" customHeight="1">
      <c r="C89" s="60" t="s">
        <v>984</v>
      </c>
      <c r="D89" s="60"/>
      <c r="E89" s="61"/>
      <c r="F89" s="61"/>
      <c r="G89" s="61"/>
      <c r="H89" s="61"/>
      <c r="I89" s="61"/>
      <c r="J89" s="61"/>
      <c r="K89" s="61"/>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row>
    <row r="90" spans="3:64" ht="21" customHeight="1">
      <c r="C90" s="1"/>
      <c r="D90" s="1"/>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row>
    <row r="91" spans="3:64" ht="21" customHeight="1">
      <c r="C91" s="1"/>
      <c r="D91" s="1"/>
      <c r="E91" s="16">
        <f>E72</f>
        <v>0</v>
      </c>
      <c r="F91" s="59">
        <v>7.4999999999999997E-2</v>
      </c>
      <c r="G91" s="59">
        <v>8.5000000000000006E-2</v>
      </c>
      <c r="H91" s="59">
        <v>9.5000000000000001E-2</v>
      </c>
      <c r="I91" s="59">
        <v>0.105</v>
      </c>
      <c r="J91" s="59">
        <v>0.115</v>
      </c>
      <c r="K91" s="59">
        <v>0.125</v>
      </c>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row>
    <row r="92" spans="3:64" ht="21" customHeight="1">
      <c r="C92" s="1"/>
      <c r="D92" s="1"/>
      <c r="E92" s="88">
        <v>0</v>
      </c>
      <c r="F92" s="67">
        <f t="dataTable" ref="F92:K96" dt2D="1" dtr="0" r1="E19" r2="E21" ca="1"/>
        <v>0</v>
      </c>
      <c r="G92" s="67">
        <v>0</v>
      </c>
      <c r="H92" s="67">
        <v>0</v>
      </c>
      <c r="I92" s="67">
        <v>0</v>
      </c>
      <c r="J92" s="67">
        <v>0</v>
      </c>
      <c r="K92" s="67">
        <v>0</v>
      </c>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row>
    <row r="93" spans="3:64" ht="21" customHeight="1">
      <c r="C93" s="1"/>
      <c r="D93" s="1"/>
      <c r="E93" s="88">
        <v>0.01</v>
      </c>
      <c r="F93" s="67">
        <v>0</v>
      </c>
      <c r="G93" s="67">
        <v>0</v>
      </c>
      <c r="H93" s="67">
        <v>0</v>
      </c>
      <c r="I93" s="67">
        <v>0</v>
      </c>
      <c r="J93" s="67">
        <v>0</v>
      </c>
      <c r="K93" s="67">
        <v>0</v>
      </c>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row>
    <row r="94" spans="3:64" ht="21" customHeight="1">
      <c r="C94" s="1"/>
      <c r="D94" s="1"/>
      <c r="E94" s="88">
        <v>0.02</v>
      </c>
      <c r="F94" s="67">
        <v>0</v>
      </c>
      <c r="G94" s="67">
        <v>0</v>
      </c>
      <c r="H94" s="67">
        <v>0</v>
      </c>
      <c r="I94" s="67">
        <v>0</v>
      </c>
      <c r="J94" s="67">
        <v>0</v>
      </c>
      <c r="K94" s="67">
        <v>0</v>
      </c>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row>
    <row r="95" spans="3:64" ht="21" customHeight="1">
      <c r="C95" s="1"/>
      <c r="D95" s="1"/>
      <c r="E95" s="88">
        <v>2.5000000000000001E-2</v>
      </c>
      <c r="F95" s="67">
        <v>0.21896781102766846</v>
      </c>
      <c r="G95" s="67">
        <v>0</v>
      </c>
      <c r="H95" s="67">
        <v>0</v>
      </c>
      <c r="I95" s="67">
        <v>0</v>
      </c>
      <c r="J95" s="67">
        <v>0</v>
      </c>
      <c r="K95" s="67">
        <v>0</v>
      </c>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row>
    <row r="96" spans="3:64" ht="21" customHeight="1">
      <c r="C96" s="1"/>
      <c r="D96" s="1"/>
      <c r="E96" s="88">
        <v>0.03</v>
      </c>
      <c r="F96" s="67">
        <v>0.61042970877404124</v>
      </c>
      <c r="G96" s="67">
        <v>0</v>
      </c>
      <c r="H96" s="67">
        <v>0</v>
      </c>
      <c r="I96" s="67">
        <v>0</v>
      </c>
      <c r="J96" s="67">
        <v>0</v>
      </c>
      <c r="K96" s="67">
        <v>0</v>
      </c>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row>
    <row r="97" spans="3:64" ht="21" customHeight="1">
      <c r="C97" s="1"/>
      <c r="D97" s="1"/>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row>
    <row r="98" spans="3:64" ht="21" customHeight="1">
      <c r="C98" s="1"/>
      <c r="D98" s="1"/>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row>
    <row r="99" spans="3:64" ht="25" customHeight="1">
      <c r="C99" s="60" t="s">
        <v>985</v>
      </c>
      <c r="D99" s="60"/>
      <c r="E99" s="61"/>
      <c r="F99" s="61"/>
      <c r="G99" s="61"/>
      <c r="H99" s="61"/>
      <c r="I99" s="61"/>
      <c r="J99" s="61"/>
      <c r="K99" s="61"/>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row>
    <row r="100" spans="3:64" ht="21" customHeight="1">
      <c r="C100" s="1"/>
      <c r="D100" s="1"/>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row>
    <row r="101" spans="3:64" ht="21" customHeight="1">
      <c r="C101" s="1"/>
      <c r="D101" s="1"/>
      <c r="E101" s="16">
        <f>E72</f>
        <v>0</v>
      </c>
      <c r="F101" s="2">
        <v>75</v>
      </c>
      <c r="G101" s="2">
        <v>100</v>
      </c>
      <c r="H101" s="2">
        <v>125</v>
      </c>
      <c r="I101" s="2">
        <v>150</v>
      </c>
      <c r="J101" s="2">
        <v>175</v>
      </c>
      <c r="K101" s="2">
        <v>225</v>
      </c>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row>
    <row r="102" spans="3:64" ht="21" customHeight="1">
      <c r="C102" s="1"/>
      <c r="D102" s="1"/>
      <c r="E102" s="89">
        <v>-0.1</v>
      </c>
      <c r="F102" s="67">
        <f t="dataTable" ref="F102:K106" dt2D="1" dtr="0" r1="E23" r2="E22"/>
        <v>0</v>
      </c>
      <c r="G102" s="67">
        <v>0</v>
      </c>
      <c r="H102" s="67">
        <v>0</v>
      </c>
      <c r="I102" s="67">
        <v>0</v>
      </c>
      <c r="J102" s="67">
        <v>0</v>
      </c>
      <c r="K102" s="67">
        <v>0</v>
      </c>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row>
    <row r="103" spans="3:64" ht="21" customHeight="1">
      <c r="C103" s="1"/>
      <c r="D103" s="1"/>
      <c r="E103" s="89">
        <v>-0.05</v>
      </c>
      <c r="F103" s="67">
        <v>2.3036143264556455E-2</v>
      </c>
      <c r="G103" s="67">
        <v>0</v>
      </c>
      <c r="H103" s="67">
        <v>0</v>
      </c>
      <c r="I103" s="67">
        <v>0</v>
      </c>
      <c r="J103" s="67">
        <v>0</v>
      </c>
      <c r="K103" s="67">
        <v>0</v>
      </c>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row>
    <row r="104" spans="3:64" ht="21" customHeight="1">
      <c r="C104" s="1"/>
      <c r="D104" s="1"/>
      <c r="E104" s="89">
        <v>0</v>
      </c>
      <c r="F104" s="67">
        <v>1.7816478586159874</v>
      </c>
      <c r="G104" s="67">
        <v>0.62149338874437088</v>
      </c>
      <c r="H104" s="67">
        <v>0</v>
      </c>
      <c r="I104" s="67">
        <v>0</v>
      </c>
      <c r="J104" s="67">
        <v>0</v>
      </c>
      <c r="K104" s="67">
        <v>0</v>
      </c>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row>
    <row r="105" spans="3:64" ht="21" customHeight="1">
      <c r="C105" s="1"/>
      <c r="D105" s="1"/>
      <c r="E105" s="89">
        <v>0.05</v>
      </c>
      <c r="F105" s="67">
        <v>3.5402595739674179</v>
      </c>
      <c r="G105" s="67">
        <v>2.3801051040958003</v>
      </c>
      <c r="H105" s="67">
        <v>1.2199506342241846</v>
      </c>
      <c r="I105" s="67">
        <v>5.9796164352567155E-2</v>
      </c>
      <c r="J105" s="67">
        <v>0</v>
      </c>
      <c r="K105" s="67">
        <v>0</v>
      </c>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row>
    <row r="106" spans="3:64" ht="21" customHeight="1">
      <c r="C106" s="1"/>
      <c r="D106" s="1"/>
      <c r="E106" s="89">
        <v>0.1</v>
      </c>
      <c r="F106" s="67">
        <v>5.298871289318857</v>
      </c>
      <c r="G106" s="67">
        <v>4.1387168194472386</v>
      </c>
      <c r="H106" s="67">
        <v>2.978562349575621</v>
      </c>
      <c r="I106" s="67">
        <v>1.8184078797040015</v>
      </c>
      <c r="J106" s="67">
        <v>0.65825340983238434</v>
      </c>
      <c r="K106" s="67">
        <v>0</v>
      </c>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row>
    <row r="107" spans="3:64" ht="21" customHeight="1">
      <c r="C107" s="1"/>
      <c r="D107" s="1"/>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row>
    <row r="108" spans="3:64" ht="36" customHeight="1">
      <c r="C108" s="117" t="s">
        <v>986</v>
      </c>
      <c r="D108" s="117"/>
      <c r="E108" s="118"/>
      <c r="F108" s="118"/>
      <c r="G108" s="118"/>
      <c r="H108" s="118"/>
      <c r="I108" s="118"/>
      <c r="J108" s="118"/>
      <c r="K108" s="118"/>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row>
    <row r="109" spans="3:64" ht="21" customHeight="1">
      <c r="C109" s="1"/>
      <c r="D109" s="1"/>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row>
    <row r="110" spans="3:64" ht="54" customHeight="1">
      <c r="C110" s="113" t="s">
        <v>987</v>
      </c>
      <c r="D110" s="113"/>
      <c r="E110" s="114"/>
      <c r="F110" s="114"/>
      <c r="G110" s="114"/>
      <c r="H110" s="114"/>
      <c r="I110" s="114"/>
      <c r="J110" s="114"/>
      <c r="K110" s="114"/>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row>
    <row r="111" spans="3:64" ht="54" customHeight="1">
      <c r="C111" s="113" t="s">
        <v>988</v>
      </c>
      <c r="D111" s="113"/>
      <c r="E111" s="114"/>
      <c r="F111" s="114"/>
      <c r="G111" s="114"/>
      <c r="H111" s="114"/>
      <c r="I111" s="114"/>
      <c r="J111" s="114"/>
      <c r="K111" s="114"/>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row>
    <row r="112" spans="3:64" ht="21" customHeight="1">
      <c r="C112" s="1" t="s">
        <v>989</v>
      </c>
      <c r="D112" s="1"/>
      <c r="E112" s="104">
        <f>E49/Statements!I12</f>
        <v>1.4345352800692812</v>
      </c>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row>
    <row r="113" spans="3:64" ht="21" customHeight="1">
      <c r="C113" s="1" t="s">
        <v>990</v>
      </c>
      <c r="D113" s="1"/>
      <c r="E113" s="104">
        <f>E46/Assumptions!I63</f>
        <v>2.5886140362398646</v>
      </c>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row>
    <row r="114" spans="3:64" ht="21" customHeight="1">
      <c r="C114" s="1"/>
      <c r="D114" s="1"/>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row>
    <row r="115" spans="3:64" ht="21" customHeight="1">
      <c r="C115" s="1"/>
      <c r="D115" s="1"/>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row>
    <row r="116" spans="3:64" ht="21" customHeight="1">
      <c r="C116" s="1"/>
      <c r="D116" s="1"/>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row>
    <row r="117" spans="3:64" ht="21" customHeight="1">
      <c r="C117" s="1"/>
      <c r="D117" s="1"/>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row>
    <row r="118" spans="3:64" ht="21" customHeight="1">
      <c r="C118" s="1"/>
      <c r="D118" s="1"/>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row>
    <row r="119" spans="3:64" ht="21" customHeight="1">
      <c r="C119" s="1"/>
      <c r="D119" s="1"/>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row>
    <row r="120" spans="3:64" ht="21" customHeight="1">
      <c r="C120" s="1"/>
      <c r="D120" s="1"/>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row>
    <row r="121" spans="3:64" ht="21" customHeight="1">
      <c r="C121" s="1"/>
      <c r="D121" s="1"/>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row>
    <row r="122" spans="3:64" ht="21" customHeight="1">
      <c r="C122" s="1"/>
      <c r="D122" s="1"/>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row>
    <row r="123" spans="3:64" ht="21" customHeight="1">
      <c r="C123" s="1"/>
      <c r="D123" s="1"/>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row>
    <row r="124" spans="3:64" ht="21" customHeight="1">
      <c r="C124" s="1"/>
      <c r="D124" s="1"/>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row>
    <row r="125" spans="3:64" ht="21" customHeight="1">
      <c r="C125" s="1"/>
      <c r="D125" s="1"/>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row>
    <row r="126" spans="3:64" ht="21" customHeight="1">
      <c r="C126" s="1"/>
      <c r="D126" s="1"/>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row>
    <row r="127" spans="3:64" ht="21" customHeight="1">
      <c r="C127" s="1"/>
      <c r="D127" s="1"/>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row>
    <row r="128" spans="3:64" ht="21" customHeight="1">
      <c r="C128" s="1"/>
      <c r="D128" s="1"/>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row>
    <row r="129" spans="3:64" ht="21" customHeight="1">
      <c r="C129" s="1"/>
      <c r="D129" s="1"/>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row>
    <row r="130" spans="3:64" ht="21" customHeight="1">
      <c r="C130" s="1"/>
      <c r="D130" s="1"/>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row>
    <row r="131" spans="3:64" ht="21" customHeight="1">
      <c r="C131" s="1"/>
      <c r="D131" s="1"/>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row>
    <row r="132" spans="3:64" ht="21" customHeight="1">
      <c r="C132" s="1"/>
      <c r="D132" s="1"/>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row>
    <row r="133" spans="3:64" ht="21" customHeight="1">
      <c r="C133" s="1"/>
      <c r="D133" s="1"/>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row>
    <row r="134" spans="3:64" ht="21" customHeight="1">
      <c r="C134" s="1"/>
      <c r="D134" s="1"/>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row>
    <row r="135" spans="3:64" ht="21" customHeight="1">
      <c r="C135" s="1"/>
      <c r="D135" s="1"/>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row>
    <row r="136" spans="3:64" ht="21" customHeight="1">
      <c r="C136" s="1"/>
      <c r="D136" s="1"/>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row>
    <row r="137" spans="3:64" ht="21" customHeight="1">
      <c r="C137" s="1"/>
      <c r="D137" s="1"/>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row>
    <row r="138" spans="3:64" ht="21" customHeight="1">
      <c r="C138" s="1"/>
      <c r="D138" s="1"/>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row>
    <row r="139" spans="3:64" ht="21" customHeight="1">
      <c r="C139" s="1"/>
      <c r="D139" s="1"/>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row>
    <row r="140" spans="3:64" ht="21" customHeight="1">
      <c r="C140" s="1"/>
      <c r="D140" s="1"/>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row>
    <row r="141" spans="3:64" ht="21" customHeight="1">
      <c r="C141" s="1"/>
      <c r="D141" s="1"/>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row>
    <row r="142" spans="3:64" ht="21" customHeight="1">
      <c r="C142" s="1"/>
      <c r="D142" s="1"/>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row>
    <row r="143" spans="3:64" ht="21" customHeight="1">
      <c r="C143" s="1"/>
      <c r="D143" s="1"/>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row>
    <row r="144" spans="3:64" ht="21" customHeight="1">
      <c r="C144" s="1"/>
      <c r="D144" s="1"/>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row>
    <row r="145" spans="3:64" ht="21" customHeight="1">
      <c r="C145" s="1"/>
      <c r="D145" s="1"/>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row>
    <row r="146" spans="3:64" ht="21" customHeight="1">
      <c r="C146" s="1"/>
      <c r="D146" s="1"/>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row>
    <row r="147" spans="3:64" ht="21" customHeight="1">
      <c r="C147" s="1"/>
      <c r="D147" s="1"/>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row>
    <row r="148" spans="3:64" ht="21" customHeight="1">
      <c r="C148" s="1"/>
      <c r="D148" s="1"/>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row>
    <row r="149" spans="3:64" ht="21" customHeight="1">
      <c r="C149" s="1"/>
      <c r="D149" s="1"/>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row>
    <row r="150" spans="3:64" ht="21" customHeight="1">
      <c r="C150" s="1"/>
      <c r="D150" s="1"/>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row>
    <row r="151" spans="3:64" ht="21" customHeight="1">
      <c r="C151" s="1"/>
      <c r="D151" s="1"/>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row>
    <row r="152" spans="3:64" ht="21" customHeight="1">
      <c r="C152" s="1"/>
      <c r="D152" s="1"/>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row>
    <row r="153" spans="3:64" ht="21" customHeight="1">
      <c r="C153" s="1"/>
      <c r="D153" s="1"/>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row>
    <row r="154" spans="3:64" ht="21" customHeight="1">
      <c r="C154" s="1"/>
      <c r="D154" s="1"/>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row>
    <row r="155" spans="3:64" ht="21" customHeight="1">
      <c r="C155" s="1"/>
      <c r="D155" s="1"/>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row>
    <row r="156" spans="3:64" ht="21" customHeight="1">
      <c r="C156" s="1"/>
      <c r="D156" s="1"/>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row>
    <row r="157" spans="3:64" ht="21" customHeight="1">
      <c r="C157" s="1"/>
      <c r="D157" s="1"/>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row>
    <row r="158" spans="3:64" ht="21" customHeight="1">
      <c r="C158" s="1"/>
      <c r="D158" s="1"/>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row>
    <row r="159" spans="3:64" ht="21" customHeight="1">
      <c r="C159" s="1"/>
      <c r="D159" s="1"/>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row>
    <row r="160" spans="3:64" ht="21" customHeight="1">
      <c r="C160" s="1"/>
      <c r="D160" s="1"/>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row>
  </sheetData>
  <mergeCells count="38">
    <mergeCell ref="C108:K108"/>
    <mergeCell ref="C110:K110"/>
    <mergeCell ref="C111:K111"/>
    <mergeCell ref="E78:K78"/>
    <mergeCell ref="C83:K83"/>
    <mergeCell ref="C84:K84"/>
    <mergeCell ref="C85:K85"/>
    <mergeCell ref="C86:K86"/>
    <mergeCell ref="G32:K32"/>
    <mergeCell ref="G33:K33"/>
    <mergeCell ref="G34:K34"/>
    <mergeCell ref="G35:K35"/>
    <mergeCell ref="E77:K77"/>
    <mergeCell ref="G27:K27"/>
    <mergeCell ref="G28:K28"/>
    <mergeCell ref="G29:K29"/>
    <mergeCell ref="G30:K30"/>
    <mergeCell ref="G31:K31"/>
    <mergeCell ref="G22:K22"/>
    <mergeCell ref="G23:K23"/>
    <mergeCell ref="G24:K24"/>
    <mergeCell ref="G25:K25"/>
    <mergeCell ref="G26:K26"/>
    <mergeCell ref="G17:K17"/>
    <mergeCell ref="G18:K18"/>
    <mergeCell ref="G19:K19"/>
    <mergeCell ref="G20:K20"/>
    <mergeCell ref="G21:K21"/>
    <mergeCell ref="G12:K12"/>
    <mergeCell ref="G13:K13"/>
    <mergeCell ref="G14:K14"/>
    <mergeCell ref="G15:K15"/>
    <mergeCell ref="G16:K16"/>
    <mergeCell ref="C3:I3"/>
    <mergeCell ref="G8:K8"/>
    <mergeCell ref="G9:K9"/>
    <mergeCell ref="G10:K10"/>
    <mergeCell ref="G11:K1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607483"/>
  </sheetPr>
  <dimension ref="C1:BL160"/>
  <sheetViews>
    <sheetView showGridLines="0" workbookViewId="0">
      <pane xSplit="4" ySplit="7" topLeftCell="E8" activePane="bottomRight" state="frozen"/>
      <selection pane="topRight"/>
      <selection pane="bottomLeft"/>
      <selection pane="bottomRight" activeCell="E8" sqref="E8"/>
    </sheetView>
  </sheetViews>
  <sheetFormatPr baseColWidth="10" defaultColWidth="8.83203125" defaultRowHeight="14"/>
  <cols>
    <col min="1" max="2" width="2" customWidth="1"/>
    <col min="3" max="3" width="52" customWidth="1"/>
    <col min="4" max="4" width="3" customWidth="1"/>
    <col min="5" max="64" width="15" customWidth="1"/>
  </cols>
  <sheetData>
    <row r="1" spans="3:64" ht="21" customHeight="1">
      <c r="C1" s="1"/>
      <c r="D1" s="1"/>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row>
    <row r="2" spans="3:64" ht="21" customHeight="1">
      <c r="C2" s="57" t="s">
        <v>991</v>
      </c>
      <c r="D2" s="1"/>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row>
    <row r="3" spans="3:64" ht="36" customHeight="1">
      <c r="C3" s="117" t="s">
        <v>828</v>
      </c>
      <c r="D3" s="117"/>
      <c r="E3" s="118"/>
      <c r="F3" s="118"/>
      <c r="G3" s="118"/>
      <c r="H3" s="118"/>
      <c r="I3" s="118"/>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row>
    <row r="4" spans="3:64" ht="21" customHeight="1">
      <c r="C4" s="1"/>
      <c r="D4" s="1"/>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row>
    <row r="5" spans="3:64" ht="21" customHeight="1">
      <c r="C5" s="1"/>
      <c r="D5" s="1"/>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row>
    <row r="6" spans="3:64" ht="21" customHeight="1">
      <c r="C6" s="1"/>
      <c r="D6" s="1"/>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row>
    <row r="7" spans="3:64" ht="26" customHeight="1">
      <c r="C7" s="60" t="s">
        <v>992</v>
      </c>
      <c r="D7" s="60"/>
      <c r="E7" s="61" t="s">
        <v>993</v>
      </c>
      <c r="F7" s="61" t="s">
        <v>994</v>
      </c>
      <c r="G7" s="61" t="s">
        <v>995</v>
      </c>
      <c r="H7" s="61"/>
      <c r="I7" s="61"/>
      <c r="J7" s="61"/>
      <c r="K7" s="61"/>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row>
    <row r="8" spans="3:64" ht="21" customHeight="1">
      <c r="C8" s="1" t="s">
        <v>996</v>
      </c>
      <c r="D8" s="1"/>
      <c r="E8" s="90">
        <f>Valuation!E10/Valuation!E9</f>
        <v>15.76966503575461</v>
      </c>
      <c r="F8" s="91">
        <v>3.145</v>
      </c>
      <c r="G8" s="91">
        <v>8.14</v>
      </c>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row>
    <row r="9" spans="3:64" ht="21" customHeight="1">
      <c r="C9" s="1" t="s">
        <v>997</v>
      </c>
      <c r="D9" s="1"/>
      <c r="E9" s="92">
        <f>SUM(Valuation!E32:E33)</f>
        <v>172.49139300000002</v>
      </c>
      <c r="F9" s="93">
        <v>110.37732</v>
      </c>
      <c r="G9" s="93">
        <v>18.333331999999999</v>
      </c>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row>
    <row r="10" spans="3:64" ht="21" customHeight="1">
      <c r="C10" s="1" t="s">
        <v>998</v>
      </c>
      <c r="D10" s="1"/>
      <c r="E10" s="94">
        <f>E8*E9</f>
        <v>2720.1314891607076</v>
      </c>
      <c r="F10" s="94">
        <f>F8*F9</f>
        <v>347.13667140000001</v>
      </c>
      <c r="G10" s="94">
        <f>G8*G9</f>
        <v>149.23332248</v>
      </c>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row>
    <row r="11" spans="3:64" ht="21" customHeight="1">
      <c r="C11" s="1" t="s">
        <v>999</v>
      </c>
      <c r="D11" s="1"/>
      <c r="E11" s="95">
        <f>Valuation!E65+Valuation!E67</f>
        <v>788.91230711328569</v>
      </c>
      <c r="F11" s="96">
        <v>28.489000000000001</v>
      </c>
      <c r="G11" s="96" t="s">
        <v>831</v>
      </c>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row>
    <row r="12" spans="3:64" ht="21" customHeight="1">
      <c r="C12" s="1" t="s">
        <v>207</v>
      </c>
      <c r="D12" s="1"/>
      <c r="E12" s="95">
        <f>Valuation!E66</f>
        <v>2.9699999999999998</v>
      </c>
      <c r="F12" s="96">
        <v>11.231</v>
      </c>
      <c r="G12" s="96" t="s">
        <v>831</v>
      </c>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row>
    <row r="13" spans="3:64" ht="21" customHeight="1">
      <c r="C13" s="1" t="s">
        <v>517</v>
      </c>
      <c r="D13" s="1"/>
      <c r="E13" s="95">
        <f>Valuation!E68</f>
        <v>146.74129522627058</v>
      </c>
      <c r="F13" s="96">
        <v>3.6680000000000001</v>
      </c>
      <c r="G13" s="96" t="s">
        <v>831</v>
      </c>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row>
    <row r="14" spans="3:64" ht="21" customHeight="1">
      <c r="C14" s="81" t="s">
        <v>1000</v>
      </c>
      <c r="D14" s="81"/>
      <c r="E14" s="97">
        <f>E10+E11+E12-E13</f>
        <v>3365.2725010477225</v>
      </c>
      <c r="F14" s="97">
        <f>F10+F11+F12-F13</f>
        <v>383.18867139999998</v>
      </c>
      <c r="G14" s="98" t="s">
        <v>831</v>
      </c>
      <c r="H14" s="83"/>
      <c r="I14" s="83"/>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row>
    <row r="15" spans="3:64" ht="21" customHeight="1">
      <c r="C15" s="1"/>
      <c r="D15" s="1"/>
      <c r="E15" s="96"/>
      <c r="F15" s="96"/>
      <c r="G15" s="96"/>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row>
    <row r="16" spans="3:64" ht="21" customHeight="1">
      <c r="C16" s="1" t="s">
        <v>1001</v>
      </c>
      <c r="D16" s="1"/>
      <c r="E16" s="95">
        <f>Historical!G16</f>
        <v>677.649</v>
      </c>
      <c r="F16" s="96">
        <v>460.46699999999998</v>
      </c>
      <c r="G16" s="96">
        <v>188.3</v>
      </c>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row>
    <row r="17" spans="3:64" ht="21" customHeight="1">
      <c r="C17" s="1" t="s">
        <v>1002</v>
      </c>
      <c r="D17" s="1"/>
      <c r="E17" s="95">
        <f>Historical!G25</f>
        <v>216.40700000000001</v>
      </c>
      <c r="F17" s="96">
        <v>92.165999999999997</v>
      </c>
      <c r="G17" s="96" t="s">
        <v>831</v>
      </c>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row>
    <row r="18" spans="3:64" ht="21" customHeight="1">
      <c r="C18" s="1" t="s">
        <v>1003</v>
      </c>
      <c r="D18" s="1"/>
      <c r="E18" s="94">
        <f>0</f>
        <v>0</v>
      </c>
      <c r="F18" s="96">
        <v>59.289000000000001</v>
      </c>
      <c r="G18" s="96">
        <v>65.5</v>
      </c>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row>
    <row r="19" spans="3:64" ht="21" customHeight="1">
      <c r="C19" s="81" t="s">
        <v>1004</v>
      </c>
      <c r="D19" s="81"/>
      <c r="E19" s="97">
        <f>E17-E18</f>
        <v>216.40700000000001</v>
      </c>
      <c r="F19" s="97">
        <f>F17-F18</f>
        <v>32.876999999999995</v>
      </c>
      <c r="G19" s="98" t="s">
        <v>831</v>
      </c>
      <c r="H19" s="83"/>
      <c r="I19" s="83"/>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row>
    <row r="20" spans="3:64" ht="21" customHeight="1">
      <c r="C20" s="1" t="s">
        <v>1005</v>
      </c>
      <c r="D20" s="1"/>
      <c r="E20" s="95">
        <f>Historical!G83</f>
        <v>150.363</v>
      </c>
      <c r="F20" s="96">
        <v>298.74900000000002</v>
      </c>
      <c r="G20" s="96">
        <v>191</v>
      </c>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row>
    <row r="21" spans="3:64" ht="21" customHeight="1">
      <c r="C21" s="1"/>
      <c r="D21" s="1"/>
      <c r="E21" s="96"/>
      <c r="F21" s="96"/>
      <c r="G21" s="96"/>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row>
    <row r="22" spans="3:64" ht="21" customHeight="1">
      <c r="C22" s="81" t="s">
        <v>1006</v>
      </c>
      <c r="D22" s="81"/>
      <c r="E22" s="99">
        <f>E10/E16</f>
        <v>4.0140714280707384</v>
      </c>
      <c r="F22" s="99">
        <f>F10/F16</f>
        <v>0.75387958615926876</v>
      </c>
      <c r="G22" s="99">
        <f>G10/G16</f>
        <v>0.79252959362719055</v>
      </c>
      <c r="H22" s="83"/>
      <c r="I22" s="83"/>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row>
    <row r="23" spans="3:64" ht="21" customHeight="1">
      <c r="C23" s="81" t="s">
        <v>1007</v>
      </c>
      <c r="D23" s="81"/>
      <c r="E23" s="99">
        <f>E14/E16</f>
        <v>4.9660997080313294</v>
      </c>
      <c r="F23" s="99">
        <f>F14/F16</f>
        <v>0.83217401333863228</v>
      </c>
      <c r="G23" s="100" t="s">
        <v>831</v>
      </c>
      <c r="H23" s="83"/>
      <c r="I23" s="83"/>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row>
    <row r="24" spans="3:64" ht="21" customHeight="1">
      <c r="C24" s="81" t="s">
        <v>1008</v>
      </c>
      <c r="D24" s="81"/>
      <c r="E24" s="99">
        <f>E14/E19</f>
        <v>15.55066380037486</v>
      </c>
      <c r="F24" s="99">
        <f>F14/F19</f>
        <v>11.655220105240748</v>
      </c>
      <c r="G24" s="100" t="s">
        <v>831</v>
      </c>
      <c r="H24" s="83"/>
      <c r="I24" s="83"/>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row>
    <row r="25" spans="3:64" ht="21" customHeight="1">
      <c r="C25" s="1" t="s">
        <v>1009</v>
      </c>
      <c r="D25" s="1"/>
      <c r="E25" s="101">
        <f>E10/E20</f>
        <v>18.090431084513529</v>
      </c>
      <c r="F25" s="101">
        <f>F10/F20</f>
        <v>1.1619676430716086</v>
      </c>
      <c r="G25" s="101">
        <f>G10/G20</f>
        <v>0.78132629570680623</v>
      </c>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row>
    <row r="26" spans="3:64" ht="21" customHeight="1">
      <c r="C26" s="1"/>
      <c r="D26" s="1"/>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row>
    <row r="27" spans="3:64" ht="21" customHeight="1">
      <c r="C27" s="1"/>
      <c r="D27" s="1"/>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row>
    <row r="28" spans="3:64" ht="25" customHeight="1">
      <c r="C28" s="60" t="s">
        <v>1010</v>
      </c>
      <c r="D28" s="60"/>
      <c r="E28" s="61"/>
      <c r="F28" s="61"/>
      <c r="G28" s="61"/>
      <c r="H28" s="61"/>
      <c r="I28" s="61"/>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row>
    <row r="29" spans="3:64" ht="21" customHeight="1">
      <c r="C29" s="1" t="s">
        <v>1011</v>
      </c>
      <c r="D29" s="1"/>
      <c r="E29" s="2" t="s">
        <v>1012</v>
      </c>
      <c r="F29" s="2" t="s">
        <v>1013</v>
      </c>
      <c r="G29" s="2" t="s">
        <v>1014</v>
      </c>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row>
    <row r="30" spans="3:64" ht="21" customHeight="1">
      <c r="C30" s="1" t="s">
        <v>1015</v>
      </c>
      <c r="D30" s="1"/>
      <c r="E30" s="5">
        <f>F23*E16</f>
        <v>563.92188796491087</v>
      </c>
      <c r="F30" s="5">
        <f>MAX(0,E30-Valuation!E65-Valuation!E66-Valuation!E67+Valuation!E68)</f>
        <v>0</v>
      </c>
      <c r="G30" s="79">
        <f>F30/Valuation!E35*Valuation!E9</f>
        <v>0</v>
      </c>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row>
    <row r="31" spans="3:64" ht="21" customHeight="1">
      <c r="C31" s="1" t="s">
        <v>1016</v>
      </c>
      <c r="D31" s="1"/>
      <c r="E31" s="5">
        <f>F24*E19</f>
        <v>2522.2712173148348</v>
      </c>
      <c r="F31" s="5">
        <f>MAX(0,E31-Valuation!E65-Valuation!E66-Valuation!E67+Valuation!E68)</f>
        <v>1877.1302054278196</v>
      </c>
      <c r="G31" s="79">
        <f>F31/Valuation!E35*Valuation!E9</f>
        <v>14.439651489219555</v>
      </c>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row>
    <row r="32" spans="3:64" ht="21" customHeight="1">
      <c r="C32" s="1" t="s">
        <v>1017</v>
      </c>
      <c r="D32" s="1"/>
      <c r="E32" s="2" t="s">
        <v>831</v>
      </c>
      <c r="F32" s="5">
        <f>F22*E16</f>
        <v>510.86574768124234</v>
      </c>
      <c r="G32" s="79">
        <f>F32/Valuation!E35*Valuation!E9</f>
        <v>3.9297877861463912</v>
      </c>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row>
    <row r="33" spans="3:64" ht="21" customHeight="1">
      <c r="C33" s="1" t="s">
        <v>1018</v>
      </c>
      <c r="D33" s="1"/>
      <c r="E33" s="2" t="s">
        <v>831</v>
      </c>
      <c r="F33" s="5">
        <f>G22*E16</f>
        <v>537.05688659187206</v>
      </c>
      <c r="G33" s="79">
        <f>F33/Valuation!E35*Valuation!E9</f>
        <v>4.1312607137470838</v>
      </c>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row>
    <row r="34" spans="3:64" ht="21" customHeight="1">
      <c r="C34" s="1"/>
      <c r="D34" s="1"/>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row>
    <row r="35" spans="3:64" ht="21" customHeight="1">
      <c r="C35" s="1"/>
      <c r="D35" s="1"/>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row>
    <row r="36" spans="3:64" ht="36" customHeight="1">
      <c r="C36" s="117" t="s">
        <v>1019</v>
      </c>
      <c r="D36" s="117"/>
      <c r="E36" s="118"/>
      <c r="F36" s="118"/>
      <c r="G36" s="118"/>
      <c r="H36" s="118"/>
      <c r="I36" s="118"/>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row>
    <row r="37" spans="3:64" ht="36" customHeight="1">
      <c r="C37" s="117" t="s">
        <v>1020</v>
      </c>
      <c r="D37" s="117"/>
      <c r="E37" s="118"/>
      <c r="F37" s="118"/>
      <c r="G37" s="118"/>
      <c r="H37" s="118"/>
      <c r="I37" s="118"/>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row>
    <row r="38" spans="3:64" ht="36" customHeight="1">
      <c r="C38" s="117" t="s">
        <v>1021</v>
      </c>
      <c r="D38" s="117"/>
      <c r="E38" s="118"/>
      <c r="F38" s="118"/>
      <c r="G38" s="118"/>
      <c r="H38" s="118"/>
      <c r="I38" s="118"/>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row>
    <row r="39" spans="3:64" ht="36" customHeight="1">
      <c r="C39" s="117" t="s">
        <v>1022</v>
      </c>
      <c r="D39" s="117"/>
      <c r="E39" s="118"/>
      <c r="F39" s="118"/>
      <c r="G39" s="118"/>
      <c r="H39" s="118"/>
      <c r="I39" s="118"/>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row>
    <row r="40" spans="3:64" ht="21" customHeight="1">
      <c r="C40" s="1"/>
      <c r="D40" s="1"/>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row>
    <row r="41" spans="3:64" ht="21" customHeight="1">
      <c r="C41" s="1"/>
      <c r="D41" s="1"/>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row>
    <row r="42" spans="3:64" ht="21" customHeight="1">
      <c r="C42" s="1"/>
      <c r="D42" s="1"/>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row>
    <row r="43" spans="3:64" ht="21" customHeight="1">
      <c r="C43" s="1"/>
      <c r="D43" s="1"/>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row>
    <row r="44" spans="3:64" ht="21" customHeight="1">
      <c r="C44" s="1"/>
      <c r="D44" s="1"/>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row>
    <row r="45" spans="3:64" ht="21" customHeight="1">
      <c r="C45" s="1"/>
      <c r="D45" s="1"/>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row>
    <row r="46" spans="3:64" ht="21" customHeight="1">
      <c r="C46" s="1"/>
      <c r="D46" s="1"/>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row>
    <row r="47" spans="3:64" ht="21" customHeight="1">
      <c r="C47" s="1"/>
      <c r="D47" s="1"/>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row>
    <row r="48" spans="3:64" ht="21" customHeight="1">
      <c r="C48" s="1"/>
      <c r="D48" s="1"/>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row>
    <row r="49" spans="3:64" ht="21" customHeight="1">
      <c r="C49" s="1"/>
      <c r="D49" s="1"/>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row>
    <row r="50" spans="3:64" ht="21" customHeight="1">
      <c r="C50" s="1"/>
      <c r="D50" s="1"/>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row>
    <row r="51" spans="3:64" ht="21" customHeight="1">
      <c r="C51" s="1"/>
      <c r="D51" s="1"/>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row>
    <row r="52" spans="3:64" ht="21" customHeight="1">
      <c r="C52" s="1"/>
      <c r="D52" s="1"/>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row>
    <row r="53" spans="3:64" ht="21" customHeight="1">
      <c r="C53" s="1"/>
      <c r="D53" s="1"/>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row>
    <row r="54" spans="3:64" ht="21" customHeight="1">
      <c r="C54" s="1"/>
      <c r="D54" s="1"/>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row>
    <row r="55" spans="3:64" ht="21" customHeight="1">
      <c r="C55" s="1"/>
      <c r="D55" s="1"/>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row>
    <row r="56" spans="3:64" ht="21" customHeight="1">
      <c r="C56" s="1"/>
      <c r="D56" s="1"/>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row>
    <row r="57" spans="3:64" ht="21" customHeight="1">
      <c r="C57" s="1"/>
      <c r="D57" s="1"/>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row>
    <row r="58" spans="3:64" ht="21" customHeight="1">
      <c r="C58" s="1"/>
      <c r="D58" s="1"/>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row>
    <row r="59" spans="3:64" ht="21" customHeight="1">
      <c r="C59" s="1"/>
      <c r="D59" s="1"/>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row>
    <row r="60" spans="3:64" ht="21" customHeight="1">
      <c r="C60" s="1"/>
      <c r="D60" s="1"/>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row>
    <row r="61" spans="3:64" ht="21" customHeight="1">
      <c r="C61" s="1"/>
      <c r="D61" s="1"/>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row>
    <row r="62" spans="3:64" ht="21" customHeight="1">
      <c r="C62" s="1"/>
      <c r="D62" s="1"/>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row>
    <row r="63" spans="3:64" ht="21" customHeight="1">
      <c r="C63" s="1"/>
      <c r="D63" s="1"/>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row>
    <row r="64" spans="3:64" ht="21" customHeight="1">
      <c r="C64" s="1"/>
      <c r="D64" s="1"/>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row>
    <row r="65" spans="3:64" ht="21" customHeight="1">
      <c r="C65" s="1"/>
      <c r="D65" s="1"/>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row>
    <row r="66" spans="3:64" ht="21" customHeight="1">
      <c r="C66" s="1"/>
      <c r="D66" s="1"/>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row>
    <row r="67" spans="3:64" ht="21" customHeight="1">
      <c r="C67" s="1"/>
      <c r="D67" s="1"/>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row>
    <row r="68" spans="3:64" ht="21" customHeight="1">
      <c r="C68" s="1"/>
      <c r="D68" s="1"/>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row>
    <row r="69" spans="3:64" ht="21" customHeight="1">
      <c r="C69" s="1"/>
      <c r="D69" s="1"/>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row>
    <row r="70" spans="3:64" ht="21" customHeight="1">
      <c r="C70" s="1"/>
      <c r="D70" s="1"/>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row>
    <row r="71" spans="3:64" ht="21" customHeight="1">
      <c r="C71" s="1"/>
      <c r="D71" s="1"/>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row>
    <row r="72" spans="3:64" ht="21" customHeight="1">
      <c r="C72" s="1"/>
      <c r="D72" s="1"/>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row>
    <row r="73" spans="3:64" ht="21" customHeight="1">
      <c r="C73" s="1"/>
      <c r="D73" s="1"/>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row>
    <row r="74" spans="3:64" ht="21" customHeight="1">
      <c r="C74" s="1"/>
      <c r="D74" s="1"/>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row>
    <row r="75" spans="3:64" ht="21" customHeight="1">
      <c r="C75" s="1"/>
      <c r="D75" s="1"/>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row>
    <row r="76" spans="3:64" ht="21" customHeight="1">
      <c r="C76" s="1"/>
      <c r="D76" s="1"/>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row>
    <row r="77" spans="3:64" ht="21" customHeight="1">
      <c r="C77" s="1"/>
      <c r="D77" s="1"/>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row>
    <row r="78" spans="3:64" ht="21" customHeight="1">
      <c r="C78" s="1"/>
      <c r="D78" s="1"/>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row>
    <row r="79" spans="3:64" ht="21" customHeight="1">
      <c r="C79" s="1"/>
      <c r="D79" s="1"/>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row>
    <row r="80" spans="3:64" ht="21" customHeight="1">
      <c r="C80" s="1"/>
      <c r="D80" s="1"/>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row>
    <row r="81" spans="3:64" ht="21" customHeight="1">
      <c r="C81" s="1"/>
      <c r="D81" s="1"/>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row>
    <row r="82" spans="3:64" ht="21" customHeight="1">
      <c r="C82" s="1"/>
      <c r="D82" s="1"/>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row>
    <row r="83" spans="3:64" ht="21" customHeight="1">
      <c r="C83" s="1"/>
      <c r="D83" s="1"/>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row>
    <row r="84" spans="3:64" ht="21" customHeight="1">
      <c r="C84" s="1"/>
      <c r="D84" s="1"/>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row>
    <row r="85" spans="3:64" ht="21" customHeight="1">
      <c r="C85" s="1"/>
      <c r="D85" s="1"/>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row>
    <row r="86" spans="3:64" ht="21" customHeight="1">
      <c r="C86" s="1"/>
      <c r="D86" s="1"/>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row>
    <row r="87" spans="3:64" ht="21" customHeight="1">
      <c r="C87" s="1"/>
      <c r="D87" s="1"/>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row>
    <row r="88" spans="3:64" ht="21" customHeight="1">
      <c r="C88" s="1"/>
      <c r="D88" s="1"/>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row>
    <row r="89" spans="3:64" ht="21" customHeight="1">
      <c r="C89" s="1"/>
      <c r="D89" s="1"/>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row>
    <row r="90" spans="3:64" ht="21" customHeight="1">
      <c r="C90" s="1"/>
      <c r="D90" s="1"/>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row>
    <row r="91" spans="3:64" ht="21" customHeight="1">
      <c r="C91" s="1"/>
      <c r="D91" s="1"/>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row>
    <row r="92" spans="3:64" ht="21" customHeight="1">
      <c r="C92" s="1"/>
      <c r="D92" s="1"/>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row>
    <row r="93" spans="3:64" ht="21" customHeight="1">
      <c r="C93" s="1"/>
      <c r="D93" s="1"/>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row>
    <row r="94" spans="3:64" ht="21" customHeight="1">
      <c r="C94" s="1"/>
      <c r="D94" s="1"/>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row>
    <row r="95" spans="3:64" ht="21" customHeight="1">
      <c r="C95" s="1"/>
      <c r="D95" s="1"/>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row>
    <row r="96" spans="3:64" ht="21" customHeight="1">
      <c r="C96" s="1"/>
      <c r="D96" s="1"/>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row>
    <row r="97" spans="3:64" ht="21" customHeight="1">
      <c r="C97" s="1"/>
      <c r="D97" s="1"/>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row>
    <row r="98" spans="3:64" ht="21" customHeight="1">
      <c r="C98" s="1"/>
      <c r="D98" s="1"/>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row>
    <row r="99" spans="3:64" ht="21" customHeight="1">
      <c r="C99" s="1"/>
      <c r="D99" s="1"/>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row>
    <row r="100" spans="3:64" ht="21" customHeight="1">
      <c r="C100" s="1"/>
      <c r="D100" s="1"/>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row>
    <row r="101" spans="3:64" ht="21" customHeight="1">
      <c r="C101" s="1"/>
      <c r="D101" s="1"/>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row>
    <row r="102" spans="3:64" ht="21" customHeight="1">
      <c r="C102" s="1"/>
      <c r="D102" s="1"/>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row>
    <row r="103" spans="3:64" ht="21" customHeight="1">
      <c r="C103" s="1"/>
      <c r="D103" s="1"/>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row>
    <row r="104" spans="3:64" ht="21" customHeight="1">
      <c r="C104" s="1"/>
      <c r="D104" s="1"/>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row>
    <row r="105" spans="3:64" ht="21" customHeight="1">
      <c r="C105" s="1"/>
      <c r="D105" s="1"/>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row>
    <row r="106" spans="3:64" ht="21" customHeight="1">
      <c r="C106" s="1"/>
      <c r="D106" s="1"/>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row>
    <row r="107" spans="3:64" ht="21" customHeight="1">
      <c r="C107" s="1"/>
      <c r="D107" s="1"/>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row>
    <row r="108" spans="3:64" ht="21" customHeight="1">
      <c r="C108" s="1"/>
      <c r="D108" s="1"/>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row>
    <row r="109" spans="3:64" ht="21" customHeight="1">
      <c r="C109" s="1"/>
      <c r="D109" s="1"/>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row>
    <row r="110" spans="3:64" ht="21" customHeight="1">
      <c r="C110" s="1"/>
      <c r="D110" s="1"/>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row>
    <row r="111" spans="3:64" ht="21" customHeight="1">
      <c r="C111" s="1"/>
      <c r="D111" s="1"/>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row>
    <row r="112" spans="3:64" ht="21" customHeight="1">
      <c r="C112" s="1"/>
      <c r="D112" s="1"/>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row>
    <row r="113" spans="3:64" ht="21" customHeight="1">
      <c r="C113" s="1"/>
      <c r="D113" s="1"/>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row>
    <row r="114" spans="3:64" ht="21" customHeight="1">
      <c r="C114" s="1"/>
      <c r="D114" s="1"/>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row>
    <row r="115" spans="3:64" ht="21" customHeight="1">
      <c r="C115" s="1"/>
      <c r="D115" s="1"/>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row>
    <row r="116" spans="3:64" ht="21" customHeight="1">
      <c r="C116" s="1"/>
      <c r="D116" s="1"/>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row>
    <row r="117" spans="3:64" ht="21" customHeight="1">
      <c r="C117" s="1"/>
      <c r="D117" s="1"/>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row>
    <row r="118" spans="3:64" ht="21" customHeight="1">
      <c r="C118" s="1"/>
      <c r="D118" s="1"/>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row>
    <row r="119" spans="3:64" ht="21" customHeight="1">
      <c r="C119" s="1"/>
      <c r="D119" s="1"/>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row>
    <row r="120" spans="3:64" ht="21" customHeight="1">
      <c r="C120" s="1"/>
      <c r="D120" s="1"/>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row>
    <row r="121" spans="3:64" ht="21" customHeight="1">
      <c r="C121" s="1"/>
      <c r="D121" s="1"/>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row>
    <row r="122" spans="3:64" ht="21" customHeight="1">
      <c r="C122" s="1"/>
      <c r="D122" s="1"/>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row>
    <row r="123" spans="3:64" ht="21" customHeight="1">
      <c r="C123" s="1"/>
      <c r="D123" s="1"/>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row>
    <row r="124" spans="3:64" ht="21" customHeight="1">
      <c r="C124" s="1"/>
      <c r="D124" s="1"/>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row>
    <row r="125" spans="3:64" ht="21" customHeight="1">
      <c r="C125" s="1"/>
      <c r="D125" s="1"/>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row>
    <row r="126" spans="3:64" ht="21" customHeight="1">
      <c r="C126" s="1"/>
      <c r="D126" s="1"/>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row>
    <row r="127" spans="3:64" ht="21" customHeight="1">
      <c r="C127" s="1"/>
      <c r="D127" s="1"/>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row>
    <row r="128" spans="3:64" ht="21" customHeight="1">
      <c r="C128" s="1"/>
      <c r="D128" s="1"/>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row>
    <row r="129" spans="3:64" ht="21" customHeight="1">
      <c r="C129" s="1"/>
      <c r="D129" s="1"/>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row>
    <row r="130" spans="3:64" ht="21" customHeight="1">
      <c r="C130" s="1"/>
      <c r="D130" s="1"/>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row>
    <row r="131" spans="3:64" ht="21" customHeight="1">
      <c r="C131" s="1"/>
      <c r="D131" s="1"/>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row>
    <row r="132" spans="3:64" ht="21" customHeight="1">
      <c r="C132" s="1"/>
      <c r="D132" s="1"/>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row>
    <row r="133" spans="3:64" ht="21" customHeight="1">
      <c r="C133" s="1"/>
      <c r="D133" s="1"/>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row>
    <row r="134" spans="3:64" ht="21" customHeight="1">
      <c r="C134" s="1"/>
      <c r="D134" s="1"/>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row>
    <row r="135" spans="3:64" ht="21" customHeight="1">
      <c r="C135" s="1"/>
      <c r="D135" s="1"/>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row>
    <row r="136" spans="3:64" ht="21" customHeight="1">
      <c r="C136" s="1"/>
      <c r="D136" s="1"/>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row>
    <row r="137" spans="3:64" ht="21" customHeight="1">
      <c r="C137" s="1"/>
      <c r="D137" s="1"/>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row>
    <row r="138" spans="3:64" ht="21" customHeight="1">
      <c r="C138" s="1"/>
      <c r="D138" s="1"/>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row>
    <row r="139" spans="3:64" ht="21" customHeight="1">
      <c r="C139" s="1"/>
      <c r="D139" s="1"/>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row>
    <row r="140" spans="3:64" ht="21" customHeight="1">
      <c r="C140" s="1"/>
      <c r="D140" s="1"/>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row>
    <row r="141" spans="3:64" ht="21" customHeight="1">
      <c r="C141" s="1"/>
      <c r="D141" s="1"/>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row>
    <row r="142" spans="3:64" ht="21" customHeight="1">
      <c r="C142" s="1"/>
      <c r="D142" s="1"/>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row>
    <row r="143" spans="3:64" ht="21" customHeight="1">
      <c r="C143" s="1"/>
      <c r="D143" s="1"/>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row>
    <row r="144" spans="3:64" ht="21" customHeight="1">
      <c r="C144" s="1"/>
      <c r="D144" s="1"/>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row>
    <row r="145" spans="3:64" ht="21" customHeight="1">
      <c r="C145" s="1"/>
      <c r="D145" s="1"/>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row>
    <row r="146" spans="3:64" ht="21" customHeight="1">
      <c r="C146" s="1"/>
      <c r="D146" s="1"/>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row>
    <row r="147" spans="3:64" ht="21" customHeight="1">
      <c r="C147" s="1"/>
      <c r="D147" s="1"/>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row>
    <row r="148" spans="3:64" ht="21" customHeight="1">
      <c r="C148" s="1"/>
      <c r="D148" s="1"/>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row>
    <row r="149" spans="3:64" ht="21" customHeight="1">
      <c r="C149" s="1"/>
      <c r="D149" s="1"/>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row>
    <row r="150" spans="3:64" ht="21" customHeight="1">
      <c r="C150" s="1"/>
      <c r="D150" s="1"/>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row>
    <row r="151" spans="3:64" ht="21" customHeight="1">
      <c r="C151" s="1"/>
      <c r="D151" s="1"/>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row>
    <row r="152" spans="3:64" ht="21" customHeight="1">
      <c r="C152" s="1"/>
      <c r="D152" s="1"/>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row>
    <row r="153" spans="3:64" ht="21" customHeight="1">
      <c r="C153" s="1"/>
      <c r="D153" s="1"/>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row>
    <row r="154" spans="3:64" ht="21" customHeight="1">
      <c r="C154" s="1"/>
      <c r="D154" s="1"/>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row>
    <row r="155" spans="3:64" ht="21" customHeight="1">
      <c r="C155" s="1"/>
      <c r="D155" s="1"/>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row>
    <row r="156" spans="3:64" ht="21" customHeight="1">
      <c r="C156" s="1"/>
      <c r="D156" s="1"/>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row>
    <row r="157" spans="3:64" ht="21" customHeight="1">
      <c r="C157" s="1"/>
      <c r="D157" s="1"/>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row>
    <row r="158" spans="3:64" ht="21" customHeight="1">
      <c r="C158" s="1"/>
      <c r="D158" s="1"/>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row>
    <row r="159" spans="3:64" ht="21" customHeight="1">
      <c r="C159" s="1"/>
      <c r="D159" s="1"/>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row>
    <row r="160" spans="3:64" ht="21" customHeight="1">
      <c r="C160" s="1"/>
      <c r="D160" s="1"/>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row>
  </sheetData>
  <mergeCells count="5">
    <mergeCell ref="C3:I3"/>
    <mergeCell ref="C36:I36"/>
    <mergeCell ref="C37:I37"/>
    <mergeCell ref="C38:I38"/>
    <mergeCell ref="C39:I3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607483"/>
  </sheetPr>
  <dimension ref="C1:BL160"/>
  <sheetViews>
    <sheetView showGridLines="0" workbookViewId="0">
      <pane xSplit="4" ySplit="7" topLeftCell="E8" activePane="bottomRight" state="frozen"/>
      <selection pane="topRight"/>
      <selection pane="bottomLeft"/>
      <selection pane="bottomRight" activeCell="E8" sqref="E8"/>
    </sheetView>
  </sheetViews>
  <sheetFormatPr baseColWidth="10" defaultColWidth="8.83203125" defaultRowHeight="14"/>
  <cols>
    <col min="1" max="2" width="2" customWidth="1"/>
    <col min="3" max="3" width="52" customWidth="1"/>
    <col min="4" max="4" width="3" customWidth="1"/>
    <col min="5" max="6" width="75" customWidth="1"/>
    <col min="7" max="64" width="15" customWidth="1"/>
  </cols>
  <sheetData>
    <row r="1" spans="3:64" ht="21" customHeight="1">
      <c r="C1" s="1"/>
      <c r="D1" s="1"/>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row>
    <row r="2" spans="3:64" ht="21" customHeight="1">
      <c r="C2" s="57" t="s">
        <v>1023</v>
      </c>
      <c r="D2" s="1"/>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row>
    <row r="3" spans="3:64" ht="36" customHeight="1">
      <c r="C3" s="117" t="s">
        <v>828</v>
      </c>
      <c r="D3" s="117"/>
      <c r="E3" s="118"/>
      <c r="F3" s="118"/>
      <c r="G3" s="118"/>
      <c r="H3" s="118"/>
      <c r="I3" s="118"/>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row>
    <row r="4" spans="3:64" ht="21" customHeight="1">
      <c r="C4" s="1"/>
      <c r="D4" s="1"/>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row>
    <row r="5" spans="3:64" ht="21" customHeight="1">
      <c r="C5" s="1"/>
      <c r="D5" s="1"/>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row>
    <row r="6" spans="3:64" ht="21" customHeight="1">
      <c r="C6" s="1"/>
      <c r="D6" s="1"/>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row>
    <row r="7" spans="3:64" ht="26" customHeight="1">
      <c r="C7" s="60" t="s">
        <v>1024</v>
      </c>
      <c r="D7" s="60"/>
      <c r="E7" s="61" t="s">
        <v>1025</v>
      </c>
      <c r="F7" s="61" t="s">
        <v>1026</v>
      </c>
      <c r="G7" s="61"/>
      <c r="H7" s="61"/>
      <c r="I7" s="61"/>
      <c r="J7" s="61"/>
      <c r="K7" s="61"/>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row>
    <row r="8" spans="3:64" ht="76" customHeight="1">
      <c r="C8" s="12" t="s">
        <v>1027</v>
      </c>
      <c r="D8" s="12"/>
      <c r="E8" s="13" t="s">
        <v>1028</v>
      </c>
      <c r="F8" s="13" t="s">
        <v>1029</v>
      </c>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row>
    <row r="9" spans="3:64" ht="76" customHeight="1">
      <c r="C9" s="12" t="s">
        <v>1030</v>
      </c>
      <c r="D9" s="12"/>
      <c r="E9" s="13" t="s">
        <v>1031</v>
      </c>
      <c r="F9" s="13" t="s">
        <v>1032</v>
      </c>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row>
    <row r="10" spans="3:64" ht="76" customHeight="1">
      <c r="C10" s="12" t="s">
        <v>1033</v>
      </c>
      <c r="D10" s="12"/>
      <c r="E10" s="13" t="s">
        <v>1034</v>
      </c>
      <c r="F10" s="13" t="s">
        <v>1035</v>
      </c>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row>
    <row r="11" spans="3:64" ht="76" customHeight="1">
      <c r="C11" s="12" t="s">
        <v>1036</v>
      </c>
      <c r="D11" s="12"/>
      <c r="E11" s="13" t="s">
        <v>1037</v>
      </c>
      <c r="F11" s="13" t="s">
        <v>1038</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row>
    <row r="12" spans="3:64" ht="76" customHeight="1">
      <c r="C12" s="12" t="s">
        <v>1039</v>
      </c>
      <c r="D12" s="12"/>
      <c r="E12" s="13" t="s">
        <v>1040</v>
      </c>
      <c r="F12" s="13" t="s">
        <v>1041</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row>
    <row r="13" spans="3:64" ht="76" customHeight="1">
      <c r="C13" s="12" t="s">
        <v>1042</v>
      </c>
      <c r="D13" s="12"/>
      <c r="E13" s="13" t="s">
        <v>1043</v>
      </c>
      <c r="F13" s="13" t="s">
        <v>1044</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row>
    <row r="14" spans="3:64" ht="76" customHeight="1">
      <c r="C14" s="12" t="s">
        <v>1045</v>
      </c>
      <c r="D14" s="12"/>
      <c r="E14" s="13" t="s">
        <v>1046</v>
      </c>
      <c r="F14" s="13" t="s">
        <v>1047</v>
      </c>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row>
    <row r="15" spans="3:64" ht="76" customHeight="1">
      <c r="C15" s="12" t="s">
        <v>1048</v>
      </c>
      <c r="D15" s="12"/>
      <c r="E15" s="13" t="s">
        <v>1049</v>
      </c>
      <c r="F15" s="13" t="s">
        <v>1050</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row>
    <row r="16" spans="3:64" ht="76" customHeight="1">
      <c r="C16" s="12" t="s">
        <v>1051</v>
      </c>
      <c r="D16" s="12"/>
      <c r="E16" s="13" t="s">
        <v>1052</v>
      </c>
      <c r="F16" s="13" t="s">
        <v>1053</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row>
    <row r="17" spans="3:64" ht="76" customHeight="1">
      <c r="C17" s="12" t="s">
        <v>1054</v>
      </c>
      <c r="D17" s="12"/>
      <c r="E17" s="13" t="s">
        <v>1055</v>
      </c>
      <c r="F17" s="13" t="s">
        <v>1056</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row>
    <row r="18" spans="3:64" ht="76" customHeight="1">
      <c r="C18" s="12" t="s">
        <v>1057</v>
      </c>
      <c r="D18" s="12"/>
      <c r="E18" s="13" t="s">
        <v>1058</v>
      </c>
      <c r="F18" s="13" t="s">
        <v>1059</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row>
    <row r="19" spans="3:64" ht="76" customHeight="1">
      <c r="C19" s="12" t="s">
        <v>1060</v>
      </c>
      <c r="D19" s="12"/>
      <c r="E19" s="13" t="s">
        <v>1061</v>
      </c>
      <c r="F19" s="13" t="s">
        <v>1062</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row>
    <row r="20" spans="3:64" ht="76" customHeight="1">
      <c r="C20" s="12" t="s">
        <v>1063</v>
      </c>
      <c r="D20" s="12"/>
      <c r="E20" s="13" t="s">
        <v>1064</v>
      </c>
      <c r="F20" s="13" t="s">
        <v>1065</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row>
    <row r="21" spans="3:64" ht="76" customHeight="1">
      <c r="C21" s="12" t="s">
        <v>1066</v>
      </c>
      <c r="D21" s="12"/>
      <c r="E21" s="13" t="s">
        <v>1067</v>
      </c>
      <c r="F21" s="13" t="s">
        <v>1068</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row>
    <row r="22" spans="3:64" ht="76" customHeight="1">
      <c r="C22" s="12" t="s">
        <v>1069</v>
      </c>
      <c r="D22" s="12"/>
      <c r="E22" s="13" t="s">
        <v>1070</v>
      </c>
      <c r="F22" s="13" t="s">
        <v>1071</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row>
    <row r="23" spans="3:64" ht="76" customHeight="1">
      <c r="C23" s="12" t="s">
        <v>1072</v>
      </c>
      <c r="D23" s="12"/>
      <c r="E23" s="13" t="s">
        <v>1073</v>
      </c>
      <c r="F23" s="13" t="s">
        <v>1074</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row>
    <row r="24" spans="3:64" ht="21" customHeight="1">
      <c r="C24" s="1"/>
      <c r="D24" s="1"/>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row>
    <row r="25" spans="3:64" ht="21" customHeight="1">
      <c r="C25" s="1"/>
      <c r="D25" s="1"/>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row>
    <row r="26" spans="3:64" ht="21" customHeight="1">
      <c r="C26" s="1"/>
      <c r="D26" s="1"/>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row>
    <row r="27" spans="3:64" ht="21" customHeight="1">
      <c r="C27" s="1"/>
      <c r="D27" s="1"/>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row>
    <row r="28" spans="3:64" ht="21" customHeight="1">
      <c r="C28" s="1"/>
      <c r="D28" s="1"/>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row>
    <row r="29" spans="3:64" ht="21" customHeight="1">
      <c r="C29" s="1"/>
      <c r="D29" s="1"/>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row>
    <row r="30" spans="3:64" ht="21" customHeight="1">
      <c r="C30" s="1"/>
      <c r="D30" s="1"/>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row>
    <row r="31" spans="3:64" ht="21" customHeight="1">
      <c r="C31" s="1"/>
      <c r="D31" s="1"/>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row>
    <row r="32" spans="3:64" ht="21" customHeight="1">
      <c r="C32" s="1"/>
      <c r="D32" s="1"/>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row>
    <row r="33" spans="3:64" ht="21" customHeight="1">
      <c r="C33" s="1"/>
      <c r="D33" s="1"/>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row>
    <row r="34" spans="3:64" ht="21" customHeight="1">
      <c r="C34" s="1"/>
      <c r="D34" s="1"/>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row>
    <row r="35" spans="3:64" ht="21" customHeight="1">
      <c r="C35" s="1"/>
      <c r="D35" s="1"/>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row>
    <row r="36" spans="3:64" ht="21" customHeight="1">
      <c r="C36" s="1"/>
      <c r="D36" s="1"/>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row>
    <row r="37" spans="3:64" ht="21" customHeight="1">
      <c r="C37" s="1"/>
      <c r="D37" s="1"/>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row>
    <row r="38" spans="3:64" ht="21" customHeight="1">
      <c r="C38" s="1"/>
      <c r="D38" s="1"/>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row>
    <row r="39" spans="3:64" ht="21" customHeight="1">
      <c r="C39" s="1"/>
      <c r="D39" s="1"/>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row>
    <row r="40" spans="3:64" ht="21" customHeight="1">
      <c r="C40" s="1"/>
      <c r="D40" s="1"/>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row>
    <row r="41" spans="3:64" ht="21" customHeight="1">
      <c r="C41" s="1"/>
      <c r="D41" s="1"/>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row>
    <row r="42" spans="3:64" ht="21" customHeight="1">
      <c r="C42" s="1"/>
      <c r="D42" s="1"/>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row>
    <row r="43" spans="3:64" ht="21" customHeight="1">
      <c r="C43" s="1"/>
      <c r="D43" s="1"/>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row>
    <row r="44" spans="3:64" ht="21" customHeight="1">
      <c r="C44" s="1"/>
      <c r="D44" s="1"/>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row>
    <row r="45" spans="3:64" ht="21" customHeight="1">
      <c r="C45" s="1"/>
      <c r="D45" s="1"/>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row>
    <row r="46" spans="3:64" ht="21" customHeight="1">
      <c r="C46" s="1"/>
      <c r="D46" s="1"/>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row>
    <row r="47" spans="3:64" ht="21" customHeight="1">
      <c r="C47" s="1"/>
      <c r="D47" s="1"/>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row>
    <row r="48" spans="3:64" ht="21" customHeight="1">
      <c r="C48" s="1"/>
      <c r="D48" s="1"/>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row>
    <row r="49" spans="3:64" ht="21" customHeight="1">
      <c r="C49" s="1"/>
      <c r="D49" s="1"/>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row>
    <row r="50" spans="3:64" ht="21" customHeight="1">
      <c r="C50" s="1"/>
      <c r="D50" s="1"/>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row>
    <row r="51" spans="3:64" ht="21" customHeight="1">
      <c r="C51" s="1"/>
      <c r="D51" s="1"/>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row>
    <row r="52" spans="3:64" ht="21" customHeight="1">
      <c r="C52" s="1"/>
      <c r="D52" s="1"/>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row>
    <row r="53" spans="3:64" ht="21" customHeight="1">
      <c r="C53" s="1"/>
      <c r="D53" s="1"/>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row>
    <row r="54" spans="3:64" ht="21" customHeight="1">
      <c r="C54" s="1"/>
      <c r="D54" s="1"/>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row>
    <row r="55" spans="3:64" ht="21" customHeight="1">
      <c r="C55" s="1"/>
      <c r="D55" s="1"/>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row>
    <row r="56" spans="3:64" ht="21" customHeight="1">
      <c r="C56" s="1"/>
      <c r="D56" s="1"/>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row>
    <row r="57" spans="3:64" ht="21" customHeight="1">
      <c r="C57" s="1"/>
      <c r="D57" s="1"/>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row>
    <row r="58" spans="3:64" ht="21" customHeight="1">
      <c r="C58" s="1"/>
      <c r="D58" s="1"/>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row>
    <row r="59" spans="3:64" ht="21" customHeight="1">
      <c r="C59" s="1"/>
      <c r="D59" s="1"/>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row>
    <row r="60" spans="3:64" ht="21" customHeight="1">
      <c r="C60" s="1"/>
      <c r="D60" s="1"/>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row>
    <row r="61" spans="3:64" ht="21" customHeight="1">
      <c r="C61" s="1"/>
      <c r="D61" s="1"/>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row>
    <row r="62" spans="3:64" ht="21" customHeight="1">
      <c r="C62" s="1"/>
      <c r="D62" s="1"/>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row>
    <row r="63" spans="3:64" ht="21" customHeight="1">
      <c r="C63" s="1"/>
      <c r="D63" s="1"/>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row>
    <row r="64" spans="3:64" ht="21" customHeight="1">
      <c r="C64" s="1"/>
      <c r="D64" s="1"/>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row>
    <row r="65" spans="3:64" ht="21" customHeight="1">
      <c r="C65" s="1"/>
      <c r="D65" s="1"/>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row>
    <row r="66" spans="3:64" ht="21" customHeight="1">
      <c r="C66" s="1"/>
      <c r="D66" s="1"/>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row>
    <row r="67" spans="3:64" ht="21" customHeight="1">
      <c r="C67" s="1"/>
      <c r="D67" s="1"/>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row>
    <row r="68" spans="3:64" ht="21" customHeight="1">
      <c r="C68" s="1"/>
      <c r="D68" s="1"/>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row>
    <row r="69" spans="3:64" ht="21" customHeight="1">
      <c r="C69" s="1"/>
      <c r="D69" s="1"/>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row>
    <row r="70" spans="3:64" ht="21" customHeight="1">
      <c r="C70" s="1"/>
      <c r="D70" s="1"/>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row>
    <row r="71" spans="3:64" ht="21" customHeight="1">
      <c r="C71" s="1"/>
      <c r="D71" s="1"/>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row>
    <row r="72" spans="3:64" ht="21" customHeight="1">
      <c r="C72" s="1"/>
      <c r="D72" s="1"/>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row>
    <row r="73" spans="3:64" ht="21" customHeight="1">
      <c r="C73" s="1"/>
      <c r="D73" s="1"/>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row>
    <row r="74" spans="3:64" ht="21" customHeight="1">
      <c r="C74" s="1"/>
      <c r="D74" s="1"/>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row>
    <row r="75" spans="3:64" ht="21" customHeight="1">
      <c r="C75" s="1"/>
      <c r="D75" s="1"/>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row>
    <row r="76" spans="3:64" ht="21" customHeight="1">
      <c r="C76" s="1"/>
      <c r="D76" s="1"/>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row>
    <row r="77" spans="3:64" ht="21" customHeight="1">
      <c r="C77" s="1"/>
      <c r="D77" s="1"/>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row>
    <row r="78" spans="3:64" ht="21" customHeight="1">
      <c r="C78" s="1"/>
      <c r="D78" s="1"/>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row>
    <row r="79" spans="3:64" ht="21" customHeight="1">
      <c r="C79" s="1"/>
      <c r="D79" s="1"/>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row>
    <row r="80" spans="3:64" ht="21" customHeight="1">
      <c r="C80" s="1"/>
      <c r="D80" s="1"/>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row>
    <row r="81" spans="3:64" ht="21" customHeight="1">
      <c r="C81" s="1"/>
      <c r="D81" s="1"/>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row>
    <row r="82" spans="3:64" ht="21" customHeight="1">
      <c r="C82" s="1"/>
      <c r="D82" s="1"/>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row>
    <row r="83" spans="3:64" ht="21" customHeight="1">
      <c r="C83" s="1"/>
      <c r="D83" s="1"/>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row>
    <row r="84" spans="3:64" ht="21" customHeight="1">
      <c r="C84" s="1"/>
      <c r="D84" s="1"/>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row>
    <row r="85" spans="3:64" ht="21" customHeight="1">
      <c r="C85" s="1"/>
      <c r="D85" s="1"/>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row>
    <row r="86" spans="3:64" ht="21" customHeight="1">
      <c r="C86" s="1"/>
      <c r="D86" s="1"/>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row>
    <row r="87" spans="3:64" ht="21" customHeight="1">
      <c r="C87" s="1"/>
      <c r="D87" s="1"/>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row>
    <row r="88" spans="3:64" ht="21" customHeight="1">
      <c r="C88" s="1"/>
      <c r="D88" s="1"/>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row>
    <row r="89" spans="3:64" ht="21" customHeight="1">
      <c r="C89" s="1"/>
      <c r="D89" s="1"/>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row>
    <row r="90" spans="3:64" ht="21" customHeight="1">
      <c r="C90" s="1"/>
      <c r="D90" s="1"/>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row>
    <row r="91" spans="3:64" ht="21" customHeight="1">
      <c r="C91" s="1"/>
      <c r="D91" s="1"/>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row>
    <row r="92" spans="3:64" ht="21" customHeight="1">
      <c r="C92" s="1"/>
      <c r="D92" s="1"/>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row>
    <row r="93" spans="3:64" ht="21" customHeight="1">
      <c r="C93" s="1"/>
      <c r="D93" s="1"/>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row>
    <row r="94" spans="3:64" ht="21" customHeight="1">
      <c r="C94" s="1"/>
      <c r="D94" s="1"/>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row>
    <row r="95" spans="3:64" ht="21" customHeight="1">
      <c r="C95" s="1"/>
      <c r="D95" s="1"/>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row>
    <row r="96" spans="3:64" ht="21" customHeight="1">
      <c r="C96" s="1"/>
      <c r="D96" s="1"/>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row>
    <row r="97" spans="3:64" ht="21" customHeight="1">
      <c r="C97" s="1"/>
      <c r="D97" s="1"/>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row>
    <row r="98" spans="3:64" ht="21" customHeight="1">
      <c r="C98" s="1"/>
      <c r="D98" s="1"/>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row>
    <row r="99" spans="3:64" ht="21" customHeight="1">
      <c r="C99" s="1"/>
      <c r="D99" s="1"/>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row>
    <row r="100" spans="3:64" ht="21" customHeight="1">
      <c r="C100" s="1"/>
      <c r="D100" s="1"/>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row>
    <row r="101" spans="3:64" ht="21" customHeight="1">
      <c r="C101" s="1"/>
      <c r="D101" s="1"/>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row>
    <row r="102" spans="3:64" ht="21" customHeight="1">
      <c r="C102" s="1"/>
      <c r="D102" s="1"/>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row>
    <row r="103" spans="3:64" ht="21" customHeight="1">
      <c r="C103" s="1"/>
      <c r="D103" s="1"/>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row>
    <row r="104" spans="3:64" ht="21" customHeight="1">
      <c r="C104" s="1"/>
      <c r="D104" s="1"/>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row>
    <row r="105" spans="3:64" ht="21" customHeight="1">
      <c r="C105" s="1"/>
      <c r="D105" s="1"/>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row>
    <row r="106" spans="3:64" ht="21" customHeight="1">
      <c r="C106" s="1"/>
      <c r="D106" s="1"/>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row>
    <row r="107" spans="3:64" ht="21" customHeight="1">
      <c r="C107" s="1"/>
      <c r="D107" s="1"/>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row>
    <row r="108" spans="3:64" ht="21" customHeight="1">
      <c r="C108" s="1"/>
      <c r="D108" s="1"/>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row>
    <row r="109" spans="3:64" ht="21" customHeight="1">
      <c r="C109" s="1"/>
      <c r="D109" s="1"/>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row>
    <row r="110" spans="3:64" ht="21" customHeight="1">
      <c r="C110" s="1"/>
      <c r="D110" s="1"/>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row>
    <row r="111" spans="3:64" ht="21" customHeight="1">
      <c r="C111" s="1"/>
      <c r="D111" s="1"/>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row>
    <row r="112" spans="3:64" ht="21" customHeight="1">
      <c r="C112" s="1"/>
      <c r="D112" s="1"/>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row>
    <row r="113" spans="3:64" ht="21" customHeight="1">
      <c r="C113" s="1"/>
      <c r="D113" s="1"/>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row>
    <row r="114" spans="3:64" ht="21" customHeight="1">
      <c r="C114" s="1"/>
      <c r="D114" s="1"/>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row>
    <row r="115" spans="3:64" ht="21" customHeight="1">
      <c r="C115" s="1"/>
      <c r="D115" s="1"/>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row>
    <row r="116" spans="3:64" ht="21" customHeight="1">
      <c r="C116" s="1"/>
      <c r="D116" s="1"/>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row>
    <row r="117" spans="3:64" ht="21" customHeight="1">
      <c r="C117" s="1"/>
      <c r="D117" s="1"/>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row>
    <row r="118" spans="3:64" ht="21" customHeight="1">
      <c r="C118" s="1"/>
      <c r="D118" s="1"/>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row>
    <row r="119" spans="3:64" ht="21" customHeight="1">
      <c r="C119" s="1"/>
      <c r="D119" s="1"/>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row>
    <row r="120" spans="3:64" ht="21" customHeight="1">
      <c r="C120" s="1"/>
      <c r="D120" s="1"/>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row>
    <row r="121" spans="3:64" ht="21" customHeight="1">
      <c r="C121" s="1"/>
      <c r="D121" s="1"/>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row>
    <row r="122" spans="3:64" ht="21" customHeight="1">
      <c r="C122" s="1"/>
      <c r="D122" s="1"/>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row>
    <row r="123" spans="3:64" ht="21" customHeight="1">
      <c r="C123" s="1"/>
      <c r="D123" s="1"/>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row>
    <row r="124" spans="3:64" ht="21" customHeight="1">
      <c r="C124" s="1"/>
      <c r="D124" s="1"/>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row>
    <row r="125" spans="3:64" ht="21" customHeight="1">
      <c r="C125" s="1"/>
      <c r="D125" s="1"/>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row>
    <row r="126" spans="3:64" ht="21" customHeight="1">
      <c r="C126" s="1"/>
      <c r="D126" s="1"/>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row>
    <row r="127" spans="3:64" ht="21" customHeight="1">
      <c r="C127" s="1"/>
      <c r="D127" s="1"/>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row>
    <row r="128" spans="3:64" ht="21" customHeight="1">
      <c r="C128" s="1"/>
      <c r="D128" s="1"/>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row>
    <row r="129" spans="3:64" ht="21" customHeight="1">
      <c r="C129" s="1"/>
      <c r="D129" s="1"/>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row>
    <row r="130" spans="3:64" ht="21" customHeight="1">
      <c r="C130" s="1"/>
      <c r="D130" s="1"/>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row>
    <row r="131" spans="3:64" ht="21" customHeight="1">
      <c r="C131" s="1"/>
      <c r="D131" s="1"/>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row>
    <row r="132" spans="3:64" ht="21" customHeight="1">
      <c r="C132" s="1"/>
      <c r="D132" s="1"/>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row>
    <row r="133" spans="3:64" ht="21" customHeight="1">
      <c r="C133" s="1"/>
      <c r="D133" s="1"/>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row>
    <row r="134" spans="3:64" ht="21" customHeight="1">
      <c r="C134" s="1"/>
      <c r="D134" s="1"/>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row>
    <row r="135" spans="3:64" ht="21" customHeight="1">
      <c r="C135" s="1"/>
      <c r="D135" s="1"/>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row>
    <row r="136" spans="3:64" ht="21" customHeight="1">
      <c r="C136" s="1"/>
      <c r="D136" s="1"/>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row>
    <row r="137" spans="3:64" ht="21" customHeight="1">
      <c r="C137" s="1"/>
      <c r="D137" s="1"/>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row>
    <row r="138" spans="3:64" ht="21" customHeight="1">
      <c r="C138" s="1"/>
      <c r="D138" s="1"/>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row>
    <row r="139" spans="3:64" ht="21" customHeight="1">
      <c r="C139" s="1"/>
      <c r="D139" s="1"/>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row>
    <row r="140" spans="3:64" ht="21" customHeight="1">
      <c r="C140" s="1"/>
      <c r="D140" s="1"/>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row>
    <row r="141" spans="3:64" ht="21" customHeight="1">
      <c r="C141" s="1"/>
      <c r="D141" s="1"/>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row>
    <row r="142" spans="3:64" ht="21" customHeight="1">
      <c r="C142" s="1"/>
      <c r="D142" s="1"/>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row>
    <row r="143" spans="3:64" ht="21" customHeight="1">
      <c r="C143" s="1"/>
      <c r="D143" s="1"/>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row>
    <row r="144" spans="3:64" ht="21" customHeight="1">
      <c r="C144" s="1"/>
      <c r="D144" s="1"/>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row>
    <row r="145" spans="3:64" ht="21" customHeight="1">
      <c r="C145" s="1"/>
      <c r="D145" s="1"/>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row>
    <row r="146" spans="3:64" ht="21" customHeight="1">
      <c r="C146" s="1"/>
      <c r="D146" s="1"/>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row>
    <row r="147" spans="3:64" ht="21" customHeight="1">
      <c r="C147" s="1"/>
      <c r="D147" s="1"/>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row>
    <row r="148" spans="3:64" ht="21" customHeight="1">
      <c r="C148" s="1"/>
      <c r="D148" s="1"/>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row>
    <row r="149" spans="3:64" ht="21" customHeight="1">
      <c r="C149" s="1"/>
      <c r="D149" s="1"/>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row>
    <row r="150" spans="3:64" ht="21" customHeight="1">
      <c r="C150" s="1"/>
      <c r="D150" s="1"/>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row>
    <row r="151" spans="3:64" ht="21" customHeight="1">
      <c r="C151" s="1"/>
      <c r="D151" s="1"/>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row>
    <row r="152" spans="3:64" ht="21" customHeight="1">
      <c r="C152" s="1"/>
      <c r="D152" s="1"/>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row>
    <row r="153" spans="3:64" ht="21" customHeight="1">
      <c r="C153" s="1"/>
      <c r="D153" s="1"/>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row>
    <row r="154" spans="3:64" ht="21" customHeight="1">
      <c r="C154" s="1"/>
      <c r="D154" s="1"/>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row>
    <row r="155" spans="3:64" ht="21" customHeight="1">
      <c r="C155" s="1"/>
      <c r="D155" s="1"/>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row>
    <row r="156" spans="3:64" ht="21" customHeight="1">
      <c r="C156" s="1"/>
      <c r="D156" s="1"/>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row>
    <row r="157" spans="3:64" ht="21" customHeight="1">
      <c r="C157" s="1"/>
      <c r="D157" s="1"/>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row>
    <row r="158" spans="3:64" ht="21" customHeight="1">
      <c r="C158" s="1"/>
      <c r="D158" s="1"/>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row>
    <row r="159" spans="3:64" ht="21" customHeight="1">
      <c r="C159" s="1"/>
      <c r="D159" s="1"/>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row>
    <row r="160" spans="3:64" ht="21" customHeight="1">
      <c r="C160" s="1"/>
      <c r="D160" s="1"/>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row>
  </sheetData>
  <mergeCells count="1">
    <mergeCell ref="C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Overview</vt:lpstr>
      <vt:lpstr>Capacity</vt:lpstr>
      <vt:lpstr>Assumptions</vt:lpstr>
      <vt:lpstr>Statements</vt:lpstr>
      <vt:lpstr>Revenue costs</vt:lpstr>
      <vt:lpstr>Registrations</vt:lpstr>
      <vt:lpstr>Transfers</vt:lpstr>
      <vt:lpstr>Debt cash</vt:lpstr>
      <vt:lpstr>PL bridge</vt:lpstr>
      <vt:lpstr>UEFA bridge</vt:lpstr>
      <vt:lpstr>Case comparison</vt:lpstr>
      <vt:lpstr>Historical</vt:lpstr>
      <vt:lpstr>Rules sources</vt:lpstr>
      <vt:lpstr>Audit</vt:lpstr>
      <vt:lpstr>ReadMe</vt:lpstr>
      <vt:lpstr>Financial review</vt:lpstr>
      <vt:lpstr>FCFF</vt:lpstr>
      <vt:lpstr>Valuation</vt:lpstr>
      <vt:lpstr>Comps</vt:lpstr>
      <vt:lpstr>Valuation 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Ryo Hiraiwa</cp:lastModifiedBy>
  <dcterms:created xsi:type="dcterms:W3CDTF">2026-10-12T20:20:49Z</dcterms:created>
  <dcterms:modified xsi:type="dcterms:W3CDTF">2026-10-12T20:20:49Z</dcterms:modified>
</cp:coreProperties>
</file>